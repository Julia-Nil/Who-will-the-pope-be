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set to feed to R" sheetId="1" r:id="rId4"/>
    <sheet state="visible" name="current election to feed to R" sheetId="2" r:id="rId5"/>
    <sheet state="visible" name="all popes" sheetId="3" r:id="rId6"/>
    <sheet state="visible" name="sandbox" sheetId="4" r:id="rId7"/>
    <sheet state="visible" name="data dictionary for R data" sheetId="5" r:id="rId8"/>
    <sheet state="visible" name="old elections" sheetId="6" r:id="rId9"/>
  </sheets>
  <definedNames/>
  <calcPr/>
</workbook>
</file>

<file path=xl/sharedStrings.xml><?xml version="1.0" encoding="utf-8"?>
<sst xmlns="http://schemas.openxmlformats.org/spreadsheetml/2006/main" count="9542" uniqueCount="4638">
  <si>
    <t>conclave_date</t>
  </si>
  <si>
    <t>pope_name</t>
  </si>
  <si>
    <t>rank</t>
  </si>
  <si>
    <t>name</t>
  </si>
  <si>
    <t>name_words</t>
  </si>
  <si>
    <t>country_serving</t>
  </si>
  <si>
    <t>born</t>
  </si>
  <si>
    <t>age_at_conclave</t>
  </si>
  <si>
    <t>years_served_as_cardinal</t>
  </si>
  <si>
    <t>cardinal_type</t>
  </si>
  <si>
    <t>date_created</t>
  </si>
  <si>
    <t>creator_pope</t>
  </si>
  <si>
    <t>position</t>
  </si>
  <si>
    <t>votes_received_in_prev_conclave</t>
  </si>
  <si>
    <t>newsweek_choice</t>
  </si>
  <si>
    <t>betting_market</t>
  </si>
  <si>
    <t>first_language</t>
  </si>
  <si>
    <t>elected</t>
  </si>
  <si>
    <t>29-May-1724</t>
  </si>
  <si>
    <t>Benedict XIII</t>
  </si>
  <si>
    <t>Pierfrancesco Orsini</t>
  </si>
  <si>
    <r>
      <rPr>
        <color rgb="FF1155CC"/>
        <u/>
      </rPr>
      <t>Italy</t>
    </r>
  </si>
  <si>
    <t>2-Feb-1649</t>
  </si>
  <si>
    <t>CB</t>
  </si>
  <si>
    <t>22-Feb-1672</t>
  </si>
  <si>
    <t>Clement X</t>
  </si>
  <si>
    <t>Archbishop of Benevento</t>
  </si>
  <si>
    <t>Italian</t>
  </si>
  <si>
    <t>yes</t>
  </si>
  <si>
    <t>12-Jul-1730</t>
  </si>
  <si>
    <t>Clement XII</t>
  </si>
  <si>
    <t>Lorenzo Corsini</t>
  </si>
  <si>
    <r>
      <rPr>
        <color rgb="FF1155CC"/>
        <u/>
      </rPr>
      <t>Italy</t>
    </r>
  </si>
  <si>
    <t>7-Apr-1652</t>
  </si>
  <si>
    <t>17-May-1706</t>
  </si>
  <si>
    <t>Clement XI</t>
  </si>
  <si>
    <t>Archbishop of Nicomedia</t>
  </si>
  <si>
    <t>17-Aug-1740</t>
  </si>
  <si>
    <t>Benedict XIV</t>
  </si>
  <si>
    <t>Prospero Lorenzo Lambertini</t>
  </si>
  <si>
    <r>
      <rPr>
        <color rgb="FF1155CC"/>
        <u/>
      </rPr>
      <t>Italy</t>
    </r>
  </si>
  <si>
    <t>31-Mar-1675</t>
  </si>
  <si>
    <t>CP</t>
  </si>
  <si>
    <t>30-Apr-1728</t>
  </si>
  <si>
    <t>Archbishop of Ancona e Numana</t>
  </si>
  <si>
    <t>6-Jul-1758</t>
  </si>
  <si>
    <t>Clement XIII</t>
  </si>
  <si>
    <t xml:space="preserve">Carlo della Torre di Rezzonico </t>
  </si>
  <si>
    <r>
      <rPr>
        <color rgb="FF1155CC"/>
        <u/>
      </rPr>
      <t>Italy</t>
    </r>
  </si>
  <si>
    <t>7-Mar-1693</t>
  </si>
  <si>
    <t>20-Dec-1737</t>
  </si>
  <si>
    <t>Bishop of Padua</t>
  </si>
  <si>
    <t>19-May-1769</t>
  </si>
  <si>
    <t>Clement XIV</t>
  </si>
  <si>
    <t>Giovanni Vincenzo Antonio Ganganelli</t>
  </si>
  <si>
    <r>
      <rPr>
        <color rgb="FF1155CC"/>
        <u/>
      </rPr>
      <t>Italy</t>
    </r>
  </si>
  <si>
    <t>31-Oct-1705</t>
  </si>
  <si>
    <t>24-Sep-1759</t>
  </si>
  <si>
    <t>NA</t>
  </si>
  <si>
    <t>15-Feb-1775</t>
  </si>
  <si>
    <t>Pius VI</t>
  </si>
  <si>
    <t>Giovanni Angelo Onofrio Melchiorre Natale Antonio Braschi</t>
  </si>
  <si>
    <r>
      <rPr>
        <color rgb="FF1155CC"/>
        <u/>
      </rPr>
      <t>Italy</t>
    </r>
  </si>
  <si>
    <t>25-Dec-1717</t>
  </si>
  <si>
    <t>26-Apr-1773</t>
  </si>
  <si>
    <t>General Treasurer of the Apostolic Camera</t>
  </si>
  <si>
    <t>14-Mar-1800</t>
  </si>
  <si>
    <t>Pius VII</t>
  </si>
  <si>
    <t>Barnaba Niccolò Maria Luigi Chiaramonti</t>
  </si>
  <si>
    <r>
      <rPr>
        <color rgb="FF1155CC"/>
        <u/>
      </rPr>
      <t>Italy</t>
    </r>
  </si>
  <si>
    <t>14-Aug-1742</t>
  </si>
  <si>
    <t>14-Feb-1785</t>
  </si>
  <si>
    <t>Abbot of San Paolo fuori le Mura</t>
  </si>
  <si>
    <t>28-Sep-1823</t>
  </si>
  <si>
    <t>Leo XII</t>
  </si>
  <si>
    <t>Annibale Francesco Clemente Melchiorre Girolamo Nicola della Genga</t>
  </si>
  <si>
    <r>
      <rPr>
        <color rgb="FF1155CC"/>
        <u/>
      </rPr>
      <t>Italy</t>
    </r>
  </si>
  <si>
    <t>22-Aug-1760</t>
  </si>
  <si>
    <t>8-Mar-1816</t>
  </si>
  <si>
    <t>Archbishop of Senigallia</t>
  </si>
  <si>
    <t>31-Mar-1829</t>
  </si>
  <si>
    <t>Pius VIII</t>
  </si>
  <si>
    <t>Francesco Saverio Maria Felice Castiglioni</t>
  </si>
  <si>
    <r>
      <rPr>
        <color rgb="FF1155CC"/>
        <u/>
      </rPr>
      <t>Italy</t>
    </r>
  </si>
  <si>
    <t>20-Nov-1761</t>
  </si>
  <si>
    <t>Prefect of the Congregation of the Index</t>
  </si>
  <si>
    <t>2-Feb-1831</t>
  </si>
  <si>
    <t>Gregory XVI</t>
  </si>
  <si>
    <t>Bartolomeo Alberto Cappellari</t>
  </si>
  <si>
    <r>
      <rPr>
        <color rgb="FF1155CC"/>
        <u/>
      </rPr>
      <t>Italy</t>
    </r>
  </si>
  <si>
    <t>18-Sep-1765</t>
  </si>
  <si>
    <t>21-Mar-1825</t>
  </si>
  <si>
    <t>Prefect of the Congregation for Propagation of the Faith</t>
  </si>
  <si>
    <t>16-Jun-1846</t>
  </si>
  <si>
    <t>Pius IX</t>
  </si>
  <si>
    <t>Giovanni Maria Battista Pietro Pellegrino Isidoro Mastai-Ferretti</t>
  </si>
  <si>
    <r>
      <rPr>
        <color rgb="FF1155CC"/>
        <u/>
      </rPr>
      <t>Italy</t>
    </r>
  </si>
  <si>
    <t>13-May-1792</t>
  </si>
  <si>
    <t>14-Dec-1840</t>
  </si>
  <si>
    <t>Archbishop of Spoleto</t>
  </si>
  <si>
    <t>20-Feb-1878</t>
  </si>
  <si>
    <t>Leo XIII</t>
  </si>
  <si>
    <t>Gioacchino Vincenzo Raffaele Luigi Pecci</t>
  </si>
  <si>
    <r>
      <rPr>
        <color rgb="FF1155CC"/>
        <u/>
      </rPr>
      <t>Italy</t>
    </r>
  </si>
  <si>
    <t>2-Mar-1810</t>
  </si>
  <si>
    <t>19-Dec-1853</t>
  </si>
  <si>
    <t xml:space="preserve">Archbishop-Bishop of Perugia </t>
  </si>
  <si>
    <t>Pius X</t>
  </si>
  <si>
    <t>Giuseppe Melchiorre Sarto</t>
  </si>
  <si>
    <r>
      <rPr>
        <color rgb="FF1155CC"/>
        <u/>
      </rPr>
      <t>Italy</t>
    </r>
  </si>
  <si>
    <t>2-Jun-1835</t>
  </si>
  <si>
    <t>12-Jun-1893</t>
  </si>
  <si>
    <t>Patriarch of Venice</t>
  </si>
  <si>
    <t>Benedict XV</t>
  </si>
  <si>
    <t>Giacomo Paolo Giovanni Battista della Chiesa</t>
  </si>
  <si>
    <r>
      <rPr>
        <color rgb="FF1155CC"/>
        <u/>
      </rPr>
      <t>Italy</t>
    </r>
  </si>
  <si>
    <t>21-Nov-1854</t>
  </si>
  <si>
    <t>Archbishop of Bologna</t>
  </si>
  <si>
    <t>Pius XI</t>
  </si>
  <si>
    <t>Ambrogio Damiano Achille Ratti</t>
  </si>
  <si>
    <r>
      <rPr>
        <color rgb="FF1155CC"/>
        <u/>
      </rPr>
      <t>Italy</t>
    </r>
  </si>
  <si>
    <t>31-May-1857</t>
  </si>
  <si>
    <t>Archbishop of Milan</t>
  </si>
  <si>
    <t>Pius XII</t>
  </si>
  <si>
    <t xml:space="preserve">Eugenio Maria Giuseppe Giovanni Pacelli </t>
  </si>
  <si>
    <r>
      <rPr>
        <color rgb="FF1155CC"/>
        <u/>
      </rPr>
      <t>Italy</t>
    </r>
  </si>
  <si>
    <t>2-Mar-1876</t>
  </si>
  <si>
    <t>Cardinal Secretary of State</t>
  </si>
  <si>
    <t>John XXIII</t>
  </si>
  <si>
    <t xml:space="preserve">Angelo Giuseppe Roncalli </t>
  </si>
  <si>
    <r>
      <rPr>
        <color rgb="FF1155CC"/>
        <u/>
      </rPr>
      <t>Italy</t>
    </r>
  </si>
  <si>
    <t>25-Nov-1881</t>
  </si>
  <si>
    <t>Paul VI</t>
  </si>
  <si>
    <t xml:space="preserve">Giovanni Battista Enrico Antonio Maria Montini </t>
  </si>
  <si>
    <r>
      <rPr>
        <color rgb="FF1155CC"/>
        <u/>
      </rPr>
      <t>Italy</t>
    </r>
  </si>
  <si>
    <t>26-Sep-1897</t>
  </si>
  <si>
    <r>
      <rPr>
        <color rgb="FF1155CC"/>
        <u/>
      </rPr>
      <t>Giovanni Battista Re</t>
    </r>
  </si>
  <si>
    <r>
      <rPr>
        <color rgb="FF1155CC"/>
        <u/>
      </rPr>
      <t>Italy</t>
    </r>
  </si>
  <si>
    <t>John Paul II</t>
  </si>
  <si>
    <r>
      <t xml:space="preserve">Prefect emeritus of the </t>
    </r>
    <r>
      <rPr>
        <color rgb="FF1155CC"/>
        <u/>
      </rPr>
      <t>Congregation for Bishops</t>
    </r>
  </si>
  <si>
    <t>no</t>
  </si>
  <si>
    <r>
      <rPr>
        <color rgb="FF1155CC"/>
        <u/>
      </rPr>
      <t>Tarcisio Bertone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</si>
  <si>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</si>
  <si>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Secretary of State</t>
    </r>
    <r>
      <rPr/>
      <t xml:space="preserve"> and </t>
    </r>
    <r>
      <rPr>
        <color rgb="FF1155CC"/>
        <u/>
      </rPr>
      <t>Camerlengo of the Holy Roman Church</t>
    </r>
  </si>
  <si>
    <r>
      <rPr>
        <color rgb="FF1155CC"/>
        <u/>
      </rPr>
      <t>Antonios Naguib</t>
    </r>
  </si>
  <si>
    <r>
      <rPr>
        <color rgb="FF1155CC"/>
        <u/>
      </rPr>
      <t>Egypt</t>
    </r>
  </si>
  <si>
    <t>Benedict XVI</t>
  </si>
  <si>
    <r>
      <rPr>
        <color rgb="FF1155CC"/>
        <u/>
      </rPr>
      <t>Patriarch emeritus of Alexandria</t>
    </r>
    <r>
      <rPr/>
      <t xml:space="preserve">
(</t>
    </r>
    <r>
      <rPr>
        <color rgb="FF1155CC"/>
        <u/>
      </rPr>
      <t>Coptic Church</t>
    </r>
    <r>
      <rPr/>
      <t>)</t>
    </r>
  </si>
  <si>
    <t>Arabic</t>
  </si>
  <si>
    <r>
      <rPr>
        <color rgb="FF1155CC"/>
        <u/>
      </rPr>
      <t>Béchara Boutros Raï</t>
    </r>
    <r>
      <rPr/>
      <t xml:space="preserve"> </t>
    </r>
  </si>
  <si>
    <r>
      <rPr>
        <color rgb="FF1155CC"/>
        <u/>
      </rPr>
      <t>Lebanon</t>
    </r>
  </si>
  <si>
    <r>
      <rPr>
        <color rgb="FF1155CC"/>
        <u/>
      </rPr>
      <t>Patriarch of Antioch</t>
    </r>
    <r>
      <rPr/>
      <t xml:space="preserve">
(</t>
    </r>
    <r>
      <rPr>
        <color rgb="FF1155CC"/>
        <u/>
      </rPr>
      <t>Maronite Church</t>
    </r>
    <r>
      <rPr/>
      <t>)</t>
    </r>
  </si>
  <si>
    <r>
      <rPr>
        <color rgb="FF1155CC"/>
        <u/>
      </rPr>
      <t>Godfried Danneels</t>
    </r>
  </si>
  <si>
    <r>
      <rPr>
        <color rgb="FF1155CC"/>
        <u/>
      </rPr>
      <t>Belgium</t>
    </r>
  </si>
  <si>
    <r>
      <rPr>
        <color rgb="FF1155CC"/>
        <u/>
      </rPr>
      <t>Archbishop emeritus of Mechelen–Brussels</t>
    </r>
  </si>
  <si>
    <t>Dutch</t>
  </si>
  <si>
    <r>
      <rPr>
        <color rgb="FF1155CC"/>
        <u/>
      </rPr>
      <t>Joachim Meisner</t>
    </r>
  </si>
  <si>
    <r>
      <rPr>
        <color rgb="FF1155CC"/>
        <u/>
      </rPr>
      <t>Germany</t>
    </r>
  </si>
  <si>
    <r>
      <rPr>
        <color rgb="FF1155CC"/>
        <u/>
      </rPr>
      <t>Archbishop of Cologne</t>
    </r>
  </si>
  <si>
    <t>German</t>
  </si>
  <si>
    <r>
      <rPr>
        <color rgb="FF1155CC"/>
        <u/>
      </rPr>
      <t>Nicolás de Jesús López Rodríguez</t>
    </r>
  </si>
  <si>
    <r>
      <rPr>
        <color rgb="FF1155CC"/>
        <u/>
      </rPr>
      <t>Dominican Republic</t>
    </r>
  </si>
  <si>
    <r>
      <rPr>
        <color rgb="FF1155CC"/>
        <u/>
      </rPr>
      <t>Archbishop of Santo Domingo</t>
    </r>
  </si>
  <si>
    <t>Spanish</t>
  </si>
  <si>
    <r>
      <rPr>
        <color rgb="FF1155CC"/>
        <u/>
      </rPr>
      <t>Roger Michael Mahony</t>
    </r>
  </si>
  <si>
    <r>
      <rPr>
        <color rgb="FF1155CC"/>
        <u/>
      </rPr>
      <t>United States</t>
    </r>
  </si>
  <si>
    <r>
      <rPr>
        <color rgb="FF1155CC"/>
        <u/>
      </rPr>
      <t>Archbishop emeritus of Los Angeles</t>
    </r>
  </si>
  <si>
    <t>English</t>
  </si>
  <si>
    <r>
      <rPr>
        <color rgb="FF1155CC"/>
        <u/>
      </rPr>
      <t>Jaime Lucas Ortega y Alamino</t>
    </r>
  </si>
  <si>
    <r>
      <rPr>
        <color rgb="FF1155CC"/>
        <u/>
      </rPr>
      <t>Cuba</t>
    </r>
  </si>
  <si>
    <r>
      <rPr>
        <color rgb="FF1155CC"/>
        <u/>
      </rPr>
      <t>Archbishop of San Cristóbal de la Habana</t>
    </r>
  </si>
  <si>
    <r>
      <rPr>
        <color rgb="FF1155CC"/>
        <u/>
      </rPr>
      <t>Jean-Claude Turcotte</t>
    </r>
  </si>
  <si>
    <r>
      <rPr>
        <color rgb="FF1155CC"/>
        <u/>
      </rPr>
      <t>Canada</t>
    </r>
  </si>
  <si>
    <r>
      <rPr>
        <color rgb="FF1155CC"/>
        <u/>
      </rPr>
      <t>Archbishop emeritus of Montreal</t>
    </r>
  </si>
  <si>
    <t>French</t>
  </si>
  <si>
    <r>
      <rPr>
        <color rgb="FF1155CC"/>
        <u/>
      </rPr>
      <t>Vinko Puljić</t>
    </r>
  </si>
  <si>
    <r>
      <rPr>
        <color rgb="FF1155CC"/>
        <u/>
      </rPr>
      <t>Bosnia and Herzegovina</t>
    </r>
  </si>
  <si>
    <r>
      <rPr>
        <color rgb="FF1155CC"/>
        <u/>
      </rPr>
      <t>Archbishop of Vrhbosna</t>
    </r>
  </si>
  <si>
    <t>Croatian</t>
  </si>
  <si>
    <r>
      <rPr>
        <color rgb="FF1155CC"/>
        <u/>
      </rPr>
      <t>Juan Sandoval Íñiguez</t>
    </r>
  </si>
  <si>
    <r>
      <rPr>
        <color rgb="FF1155CC"/>
        <u/>
      </rPr>
      <t>Mexico</t>
    </r>
  </si>
  <si>
    <r>
      <rPr>
        <color rgb="FF1155CC"/>
        <u/>
      </rPr>
      <t>Archbishop emeritus of Guadalajara</t>
    </r>
  </si>
  <si>
    <r>
      <rPr>
        <color rgb="FF1155CC"/>
        <u/>
      </rPr>
      <t>Antonio María Rouco Varela</t>
    </r>
  </si>
  <si>
    <r>
      <rPr>
        <color rgb="FF1155CC"/>
        <u/>
      </rPr>
      <t>Spain</t>
    </r>
  </si>
  <si>
    <r>
      <rPr>
        <color rgb="FF1155CC"/>
        <u/>
      </rPr>
      <t>Archbishop of Madrid</t>
    </r>
  </si>
  <si>
    <r>
      <rPr>
        <color rgb="FF1155CC"/>
        <u/>
      </rPr>
      <t>Dionigi Tettamanzi</t>
    </r>
  </si>
  <si>
    <r>
      <rPr>
        <color rgb="FF1155CC"/>
        <u/>
      </rPr>
      <t>Italy</t>
    </r>
  </si>
  <si>
    <r>
      <rPr>
        <color rgb="FF1155CC"/>
        <u/>
      </rPr>
      <t>Archbishop emeritus of Milan</t>
    </r>
  </si>
  <si>
    <r>
      <rPr>
        <color rgb="FF1155CC"/>
        <u/>
      </rPr>
      <t>Polycarp Pengo</t>
    </r>
  </si>
  <si>
    <r>
      <rPr>
        <color rgb="FF1155CC"/>
        <u/>
      </rPr>
      <t>Tanzania</t>
    </r>
  </si>
  <si>
    <r>
      <rPr>
        <color rgb="FF1155CC"/>
        <u/>
      </rPr>
      <t>Archbishop of Dar-es-Salaam</t>
    </r>
  </si>
  <si>
    <t>Swahili</t>
  </si>
  <si>
    <r>
      <rPr>
        <color rgb="FF1155CC"/>
        <u/>
      </rPr>
      <t>Christoph Schönborn</t>
    </r>
    <r>
      <rPr/>
      <t xml:space="preserve"> </t>
    </r>
  </si>
  <si>
    <r>
      <rPr>
        <color rgb="FF1155CC"/>
        <u/>
      </rPr>
      <t>Austria</t>
    </r>
  </si>
  <si>
    <r>
      <rPr>
        <color rgb="FF1155CC"/>
        <u/>
      </rPr>
      <t>Archbishop of Vienna</t>
    </r>
  </si>
  <si>
    <r>
      <rPr>
        <color rgb="FF1155CC"/>
        <u/>
      </rPr>
      <t>Norberto Rivera Carrera</t>
    </r>
  </si>
  <si>
    <r>
      <rPr>
        <color rgb="FF1155CC"/>
        <u/>
      </rPr>
      <t>Mexico</t>
    </r>
  </si>
  <si>
    <r>
      <rPr>
        <color rgb="FF1155CC"/>
        <u/>
      </rPr>
      <t>Archbishop of Mexico</t>
    </r>
  </si>
  <si>
    <r>
      <rPr>
        <color rgb="FF1155CC"/>
        <u/>
      </rPr>
      <t>Francis Eugene George</t>
    </r>
    <r>
      <rPr/>
      <t xml:space="preserve"> </t>
    </r>
  </si>
  <si>
    <r>
      <rPr>
        <color rgb="FF1155CC"/>
        <u/>
      </rPr>
      <t>United States</t>
    </r>
  </si>
  <si>
    <r>
      <rPr>
        <color rgb="FF1155CC"/>
        <u/>
      </rPr>
      <t>Archbishop of Chicago</t>
    </r>
  </si>
  <si>
    <r>
      <rPr>
        <color rgb="FF1155CC"/>
        <u/>
      </rPr>
      <t>Zenon Grocholewski</t>
    </r>
  </si>
  <si>
    <r>
      <rPr>
        <color rgb="FF1155CC"/>
        <u/>
      </rPr>
      <t>Poland</t>
    </r>
  </si>
  <si>
    <r>
      <t xml:space="preserve">Prefect of the </t>
    </r>
    <r>
      <rPr>
        <color rgb="FF1155CC"/>
        <u/>
      </rPr>
      <t>Congregation for Catholic Education</t>
    </r>
  </si>
  <si>
    <t>Polish</t>
  </si>
  <si>
    <r>
      <rPr>
        <color rgb="FF1155CC"/>
        <u/>
      </rPr>
      <t>Crescenzio Sepe</t>
    </r>
  </si>
  <si>
    <r>
      <rPr>
        <color rgb="FF1155CC"/>
        <u/>
      </rPr>
      <t>Italy</t>
    </r>
  </si>
  <si>
    <r>
      <rPr>
        <color rgb="FF1155CC"/>
        <u/>
      </rPr>
      <t>Archbishop of Naples</t>
    </r>
  </si>
  <si>
    <r>
      <rPr>
        <color rgb="FF1155CC"/>
        <u/>
      </rPr>
      <t>Walter Kasper</t>
    </r>
  </si>
  <si>
    <r>
      <rPr>
        <color rgb="FF1155CC"/>
        <u/>
      </rPr>
      <t>Germany</t>
    </r>
  </si>
  <si>
    <r>
      <t xml:space="preserve">President emeritus of the </t>
    </r>
    <r>
      <rPr>
        <color rgb="FF1155CC"/>
        <u/>
      </rPr>
      <t>Pontifical Council for Promoting Christian Unity</t>
    </r>
  </si>
  <si>
    <r>
      <rPr>
        <color rgb="FF1155CC"/>
        <u/>
      </rPr>
      <t>Ivan Dias</t>
    </r>
  </si>
  <si>
    <r>
      <rPr>
        <color rgb="FF1155CC"/>
        <u/>
      </rPr>
      <t>India</t>
    </r>
  </si>
  <si>
    <r>
      <t xml:space="preserve">Prefect emeritus of the </t>
    </r>
    <r>
      <rPr>
        <color rgb="FF1155CC"/>
        <u/>
      </rPr>
      <t>Congregation for the Evangelization of Peoples</t>
    </r>
  </si>
  <si>
    <t>Marathi</t>
  </si>
  <si>
    <r>
      <rPr>
        <color rgb="FF1155CC"/>
        <u/>
      </rPr>
      <t>Geraldo Majella Agnelo</t>
    </r>
  </si>
  <si>
    <r>
      <rPr>
        <color rgb="FF1155CC"/>
        <u/>
      </rPr>
      <t>Brazil</t>
    </r>
  </si>
  <si>
    <r>
      <rPr>
        <color rgb="FF1155CC"/>
        <u/>
      </rPr>
      <t>Archbishop emeritus of São Salvador da Bahia</t>
    </r>
  </si>
  <si>
    <t>Portuguese</t>
  </si>
  <si>
    <r>
      <rPr>
        <color rgb="FF1155CC"/>
        <u/>
      </rPr>
      <t>Audrys Juozas Bačkis</t>
    </r>
  </si>
  <si>
    <r>
      <rPr>
        <color rgb="FF1155CC"/>
        <u/>
      </rPr>
      <t>Lithuania</t>
    </r>
  </si>
  <si>
    <r>
      <rPr>
        <color rgb="FF1155CC"/>
        <u/>
      </rPr>
      <t>Archbishop of Vilnius</t>
    </r>
  </si>
  <si>
    <t>Lithuanian</t>
  </si>
  <si>
    <r>
      <rPr>
        <color rgb="FF1155CC"/>
        <u/>
      </rPr>
      <t>Francisco Javier Errázuriz Ossa</t>
    </r>
    <r>
      <rPr/>
      <t xml:space="preserve"> </t>
    </r>
  </si>
  <si>
    <r>
      <rPr>
        <color rgb="FF1155CC"/>
        <u/>
      </rPr>
      <t>Chile</t>
    </r>
  </si>
  <si>
    <r>
      <rPr>
        <color rgb="FF1155CC"/>
        <u/>
      </rPr>
      <t>Archbishop emeritus of Santiago de Chile</t>
    </r>
  </si>
  <si>
    <r>
      <rPr>
        <color rgb="FF1155CC"/>
        <u/>
      </rPr>
      <t>Julio Terrazas Sandoval</t>
    </r>
    <r>
      <rPr/>
      <t xml:space="preserve"> </t>
    </r>
  </si>
  <si>
    <r>
      <rPr>
        <color rgb="FF1155CC"/>
        <u/>
      </rPr>
      <t>Bolivia</t>
    </r>
  </si>
  <si>
    <r>
      <rPr>
        <color rgb="FF1155CC"/>
        <u/>
      </rPr>
      <t>Archbishop of Santa Cruz de la Sierra</t>
    </r>
  </si>
  <si>
    <r>
      <rPr>
        <color rgb="FF1155CC"/>
        <u/>
      </rPr>
      <t>Wilfrid Fox Napier</t>
    </r>
    <r>
      <rPr/>
      <t xml:space="preserve"> </t>
    </r>
  </si>
  <si>
    <r>
      <rPr>
        <color rgb="FF1155CC"/>
        <u/>
      </rPr>
      <t>South Africa</t>
    </r>
  </si>
  <si>
    <r>
      <rPr>
        <color rgb="FF1155CC"/>
        <u/>
      </rPr>
      <t>Archbishop of Durban</t>
    </r>
  </si>
  <si>
    <r>
      <rPr>
        <color rgb="FF1155CC"/>
        <u/>
      </rPr>
      <t>Óscar Andrés Rodríguez Maradiaga</t>
    </r>
    <r>
      <rPr/>
      <t xml:space="preserve"> </t>
    </r>
  </si>
  <si>
    <r>
      <rPr>
        <color rgb="FF1155CC"/>
        <u/>
      </rPr>
      <t>Honduras</t>
    </r>
  </si>
  <si>
    <r>
      <rPr>
        <color rgb="FF1155CC"/>
        <u/>
      </rPr>
      <t>Archbishop of Tegucigalpa</t>
    </r>
  </si>
  <si>
    <r>
      <rPr>
        <color rgb="FF1155CC"/>
        <u/>
      </rPr>
      <t>Juan Luis Cipriani Thorne</t>
    </r>
  </si>
  <si>
    <r>
      <rPr>
        <color rgb="FF1155CC"/>
        <u/>
      </rPr>
      <t>Peru</t>
    </r>
  </si>
  <si>
    <r>
      <rPr>
        <color rgb="FF1155CC"/>
        <u/>
      </rPr>
      <t>Archbishop of Lima</t>
    </r>
  </si>
  <si>
    <r>
      <rPr>
        <color rgb="FF1155CC"/>
        <u/>
      </rPr>
      <t>Cláudio Hummes</t>
    </r>
    <r>
      <rPr/>
      <t xml:space="preserve"> </t>
    </r>
  </si>
  <si>
    <r>
      <rPr>
        <color rgb="FF1155CC"/>
        <u/>
      </rPr>
      <t>Brazil</t>
    </r>
  </si>
  <si>
    <r>
      <t xml:space="preserve">Prefect emeritus of the </t>
    </r>
    <r>
      <rPr>
        <color rgb="FF1155CC"/>
        <u/>
      </rPr>
      <t>Congregation for the Clergy</t>
    </r>
  </si>
  <si>
    <t>Francis</t>
  </si>
  <si>
    <r>
      <rPr>
        <color rgb="FF1155CC"/>
        <u/>
      </rPr>
      <t>Jorge Mario Bergoglio</t>
    </r>
    <r>
      <rPr/>
      <t xml:space="preserve"> </t>
    </r>
  </si>
  <si>
    <r>
      <rPr>
        <color rgb="FF1155CC"/>
        <u/>
      </rPr>
      <t>Argentina</t>
    </r>
  </si>
  <si>
    <r>
      <rPr>
        <color rgb="FF1155CC"/>
        <u/>
      </rPr>
      <t>Archbishop of Buenos Aires</t>
    </r>
  </si>
  <si>
    <r>
      <rPr>
        <color rgb="FF1155CC"/>
        <u/>
      </rPr>
      <t>José da Cruz Policarpo</t>
    </r>
  </si>
  <si>
    <r>
      <rPr>
        <color rgb="FF1155CC"/>
        <u/>
      </rPr>
      <t>Portugal</t>
    </r>
  </si>
  <si>
    <r>
      <rPr>
        <color rgb="FF1155CC"/>
        <u/>
      </rPr>
      <t>Patriarch of Lisbon</t>
    </r>
  </si>
  <si>
    <r>
      <rPr>
        <color rgb="FF1155CC"/>
        <u/>
      </rPr>
      <t>Severino Poletto</t>
    </r>
  </si>
  <si>
    <r>
      <rPr>
        <color rgb="FF1155CC"/>
        <u/>
      </rPr>
      <t>Italy</t>
    </r>
  </si>
  <si>
    <r>
      <rPr>
        <color rgb="FF1155CC"/>
        <u/>
      </rPr>
      <t>Archbishop emeritus of Turin</t>
    </r>
  </si>
  <si>
    <r>
      <rPr>
        <color rgb="FF1155CC"/>
        <u/>
      </rPr>
      <t>Karl Lehmann</t>
    </r>
  </si>
  <si>
    <r>
      <rPr>
        <color rgb="FF1155CC"/>
        <u/>
      </rPr>
      <t>Germany</t>
    </r>
  </si>
  <si>
    <r>
      <rPr>
        <color rgb="FF1155CC"/>
        <u/>
      </rPr>
      <t>Bishop of Mainz</t>
    </r>
  </si>
  <si>
    <r>
      <rPr>
        <color rgb="FF1155CC"/>
        <u/>
      </rPr>
      <t>Angelo Scola</t>
    </r>
  </si>
  <si>
    <r>
      <rPr>
        <color rgb="FF1155CC"/>
        <u/>
      </rPr>
      <t>Italy</t>
    </r>
  </si>
  <si>
    <r>
      <rPr>
        <color rgb="FF1155CC"/>
        <u/>
      </rPr>
      <t>Archbishop of Milan</t>
    </r>
  </si>
  <si>
    <r>
      <rPr>
        <color rgb="FF1155CC"/>
        <u/>
      </rPr>
      <t>Anthony Olubunmi Okogie</t>
    </r>
  </si>
  <si>
    <r>
      <rPr>
        <color rgb="FF1155CC"/>
        <u/>
      </rPr>
      <t>Nigeria</t>
    </r>
  </si>
  <si>
    <r>
      <rPr>
        <color rgb="FF1155CC"/>
        <u/>
      </rPr>
      <t>Archbishop emeritus of Lagos</t>
    </r>
  </si>
  <si>
    <t>Yoruba</t>
  </si>
  <si>
    <r>
      <rPr>
        <color rgb="FF1155CC"/>
        <u/>
      </rPr>
      <t>Gabriel Zubeir Wako</t>
    </r>
  </si>
  <si>
    <r>
      <rPr>
        <color rgb="FF1155CC"/>
        <u/>
      </rPr>
      <t>Sudan</t>
    </r>
  </si>
  <si>
    <r>
      <rPr>
        <color rgb="FF1155CC"/>
        <u/>
      </rPr>
      <t>Archbishop of Khartoum</t>
    </r>
  </si>
  <si>
    <r>
      <rPr>
        <color rgb="FF1155CC"/>
        <u/>
      </rPr>
      <t>Carlos Amigo Vallejo</t>
    </r>
    <r>
      <rPr/>
      <t xml:space="preserve"> </t>
    </r>
  </si>
  <si>
    <r>
      <rPr>
        <color rgb="FF1155CC"/>
        <u/>
      </rPr>
      <t>Spain</t>
    </r>
  </si>
  <si>
    <r>
      <rPr>
        <color rgb="FF1155CC"/>
        <u/>
      </rPr>
      <t>Archbishop emeritus of Seville</t>
    </r>
  </si>
  <si>
    <r>
      <rPr>
        <color rgb="FF1155CC"/>
        <u/>
      </rPr>
      <t>Justin Francis Rigali</t>
    </r>
  </si>
  <si>
    <r>
      <rPr>
        <color rgb="FF1155CC"/>
        <u/>
      </rPr>
      <t>United States</t>
    </r>
  </si>
  <si>
    <r>
      <rPr>
        <color rgb="FF1155CC"/>
        <u/>
      </rPr>
      <t>Archbishop emeritus of Philadelphia</t>
    </r>
  </si>
  <si>
    <r>
      <rPr>
        <color rgb="FF1155CC"/>
        <u/>
      </rPr>
      <t>Ennio Antonelli</t>
    </r>
  </si>
  <si>
    <r>
      <rPr>
        <color rgb="FF1155CC"/>
        <u/>
      </rPr>
      <t>Italy</t>
    </r>
  </si>
  <si>
    <r>
      <t xml:space="preserve">President emeritus of the </t>
    </r>
    <r>
      <rPr>
        <color rgb="FF1155CC"/>
        <u/>
      </rPr>
      <t>Pontifical Council for the Family</t>
    </r>
  </si>
  <si>
    <r>
      <rPr>
        <color rgb="FF1155CC"/>
        <u/>
      </rPr>
      <t>Peter Kodwo Appiah Turkson</t>
    </r>
  </si>
  <si>
    <r>
      <rPr>
        <color rgb="FF1155CC"/>
        <u/>
      </rPr>
      <t>Ghana</t>
    </r>
  </si>
  <si>
    <r>
      <t xml:space="preserve">President of the </t>
    </r>
    <r>
      <rPr>
        <color rgb="FF1155CC"/>
        <u/>
      </rPr>
      <t>Pontifical Council for Justice and Peace</t>
    </r>
  </si>
  <si>
    <t>Fante</t>
  </si>
  <si>
    <r>
      <rPr>
        <color rgb="FF1155CC"/>
        <u/>
      </rPr>
      <t>Telesphore Placidus Toppo</t>
    </r>
  </si>
  <si>
    <r>
      <rPr>
        <color rgb="FF1155CC"/>
        <u/>
      </rPr>
      <t>India</t>
    </r>
  </si>
  <si>
    <r>
      <rPr>
        <color rgb="FF1155CC"/>
        <u/>
      </rPr>
      <t>Archbishop of Ranchi</t>
    </r>
  </si>
  <si>
    <t>Hindi</t>
  </si>
  <si>
    <r>
      <rPr>
        <color rgb="FF1155CC"/>
        <u/>
      </rPr>
      <t>George Pell</t>
    </r>
  </si>
  <si>
    <r>
      <rPr>
        <color rgb="FF1155CC"/>
        <u/>
      </rPr>
      <t>Australia</t>
    </r>
  </si>
  <si>
    <r>
      <rPr>
        <color rgb="FF1155CC"/>
        <u/>
      </rPr>
      <t>Archbishop of Sydney</t>
    </r>
  </si>
  <si>
    <r>
      <rPr>
        <color rgb="FF1155CC"/>
        <u/>
      </rPr>
      <t>Josip Bozanić</t>
    </r>
  </si>
  <si>
    <r>
      <rPr>
        <color rgb="FF1155CC"/>
        <u/>
      </rPr>
      <t>Croatia</t>
    </r>
  </si>
  <si>
    <r>
      <rPr>
        <color rgb="FF1155CC"/>
        <u/>
      </rPr>
      <t>Archbishop of Zagreb</t>
    </r>
  </si>
  <si>
    <r>
      <rPr>
        <color rgb="FF1155CC"/>
        <u/>
      </rPr>
      <t>Jean-Baptiste Phạm Minh Mẫn</t>
    </r>
  </si>
  <si>
    <r>
      <rPr>
        <color rgb="FF1155CC"/>
        <u/>
      </rPr>
      <t>Vietnam</t>
    </r>
  </si>
  <si>
    <r>
      <rPr>
        <color rgb="FF1155CC"/>
        <u/>
      </rPr>
      <t>Archbishop of Ho Chi Minh City</t>
    </r>
  </si>
  <si>
    <t>Vietnamese</t>
  </si>
  <si>
    <r>
      <rPr>
        <color rgb="FF1155CC"/>
        <u/>
      </rPr>
      <t>Philippe Barbarin</t>
    </r>
  </si>
  <si>
    <r>
      <rPr>
        <color rgb="FF1155CC"/>
        <u/>
      </rPr>
      <t>France</t>
    </r>
  </si>
  <si>
    <r>
      <rPr>
        <color rgb="FF1155CC"/>
        <u/>
      </rPr>
      <t>Archbishop of Lyon</t>
    </r>
  </si>
  <si>
    <r>
      <rPr>
        <color rgb="FF1155CC"/>
        <u/>
      </rPr>
      <t>Péter Erdő</t>
    </r>
  </si>
  <si>
    <r>
      <rPr>
        <color rgb="FF1155CC"/>
        <u/>
      </rPr>
      <t>Hungary</t>
    </r>
  </si>
  <si>
    <r>
      <rPr>
        <color rgb="FF1155CC"/>
        <u/>
      </rPr>
      <t>Archbishop of Esztergom–Budapest</t>
    </r>
  </si>
  <si>
    <t>Hungarian</t>
  </si>
  <si>
    <r>
      <rPr>
        <color rgb="FF1155CC"/>
        <u/>
      </rPr>
      <t>Marc Ouellet</t>
    </r>
    <r>
      <rPr/>
      <t xml:space="preserve"> </t>
    </r>
  </si>
  <si>
    <r>
      <rPr>
        <color rgb="FF1155CC"/>
        <u/>
      </rPr>
      <t>Canada</t>
    </r>
  </si>
  <si>
    <r>
      <t xml:space="preserve">Prefect of the </t>
    </r>
    <r>
      <rPr>
        <color rgb="FF1155CC"/>
        <u/>
      </rPr>
      <t>Congregation for Bishops</t>
    </r>
  </si>
  <si>
    <r>
      <rPr>
        <color rgb="FF1155CC"/>
        <u/>
      </rPr>
      <t>Agostino Vallini</t>
    </r>
  </si>
  <si>
    <r>
      <rPr>
        <color rgb="FF1155CC"/>
        <u/>
      </rPr>
      <t>Italy</t>
    </r>
  </si>
  <si>
    <r>
      <rPr>
        <color rgb="FF1155CC"/>
        <u/>
      </rPr>
      <t>Vicar General for Rome</t>
    </r>
    <r>
      <rPr/>
      <t xml:space="preserve"> and Archpriest of the </t>
    </r>
    <r>
      <rPr>
        <color rgb="FF1155CC"/>
        <u/>
      </rPr>
      <t>Papal Basilica of Saint John Lateran</t>
    </r>
  </si>
  <si>
    <r>
      <rPr>
        <color rgb="FF1155CC"/>
        <u/>
      </rPr>
      <t>Jorge Liberato Urosa Savino</t>
    </r>
  </si>
  <si>
    <r>
      <rPr>
        <color rgb="FF1155CC"/>
        <u/>
      </rPr>
      <t>Venezuela</t>
    </r>
  </si>
  <si>
    <r>
      <rPr>
        <color rgb="FF1155CC"/>
        <u/>
      </rPr>
      <t>Archbishop of Caracas</t>
    </r>
  </si>
  <si>
    <r>
      <rPr>
        <color rgb="FF1155CC"/>
        <u/>
      </rPr>
      <t>Jean-Pierre Ricard</t>
    </r>
  </si>
  <si>
    <r>
      <rPr>
        <color rgb="FF1155CC"/>
        <u/>
      </rPr>
      <t>France</t>
    </r>
  </si>
  <si>
    <r>
      <rPr>
        <color rgb="FF1155CC"/>
        <u/>
      </rPr>
      <t>Archbishop of Bordeaux</t>
    </r>
  </si>
  <si>
    <r>
      <rPr>
        <color rgb="FF1155CC"/>
        <u/>
      </rPr>
      <t>Antonio Cañizares Llovera</t>
    </r>
  </si>
  <si>
    <r>
      <rPr>
        <color rgb="FF1155CC"/>
        <u/>
      </rPr>
      <t>Spain</t>
    </r>
  </si>
  <si>
    <r>
      <t xml:space="preserve">Prefect of the </t>
    </r>
    <r>
      <rPr>
        <color rgb="FF1155CC"/>
        <u/>
      </rPr>
      <t>Congregation for Divine Worship and the Discipline of the Sacraments</t>
    </r>
  </si>
  <si>
    <t>Seán Patrick O'Malley</t>
  </si>
  <si>
    <r>
      <rPr>
        <color rgb="FF1155CC"/>
        <u/>
      </rPr>
      <t>United States</t>
    </r>
  </si>
  <si>
    <r>
      <rPr>
        <color rgb="FF1155CC"/>
        <u/>
      </rPr>
      <t>Archbishop of Boston</t>
    </r>
  </si>
  <si>
    <r>
      <rPr>
        <color rgb="FF1155CC"/>
        <u/>
      </rPr>
      <t>Stanisław Dziwisz</t>
    </r>
  </si>
  <si>
    <r>
      <rPr>
        <color rgb="FF1155CC"/>
        <u/>
      </rPr>
      <t>Poland</t>
    </r>
  </si>
  <si>
    <r>
      <rPr>
        <color rgb="FF1155CC"/>
        <u/>
      </rPr>
      <t>Archbishop of Kraków</t>
    </r>
  </si>
  <si>
    <r>
      <rPr>
        <color rgb="FF1155CC"/>
        <u/>
      </rPr>
      <t>Carlo Caffarra</t>
    </r>
  </si>
  <si>
    <r>
      <rPr>
        <color rgb="FF1155CC"/>
        <u/>
      </rPr>
      <t>Italy</t>
    </r>
  </si>
  <si>
    <r>
      <rPr>
        <color rgb="FF1155CC"/>
        <u/>
      </rPr>
      <t>Archbishop of Bologna</t>
    </r>
  </si>
  <si>
    <r>
      <rPr>
        <color rgb="FF1155CC"/>
        <u/>
      </rPr>
      <t>Seán Baptist Brady</t>
    </r>
  </si>
  <si>
    <r>
      <rPr>
        <color rgb="FF1155CC"/>
        <u/>
      </rPr>
      <t>Ireland</t>
    </r>
  </si>
  <si>
    <r>
      <rPr>
        <color rgb="FF1155CC"/>
        <u/>
      </rPr>
      <t>Archbishop of Armagh</t>
    </r>
  </si>
  <si>
    <r>
      <rPr>
        <color rgb="FF1155CC"/>
        <u/>
      </rPr>
      <t>Lluís Martínez Sistach</t>
    </r>
  </si>
  <si>
    <r>
      <rPr>
        <color rgb="FF1155CC"/>
        <u/>
      </rPr>
      <t>Spain</t>
    </r>
  </si>
  <si>
    <r>
      <rPr>
        <color rgb="FF1155CC"/>
        <u/>
      </rPr>
      <t>Archbishop of Barcelona</t>
    </r>
  </si>
  <si>
    <t>Catalan</t>
  </si>
  <si>
    <r>
      <rPr>
        <color rgb="FF1155CC"/>
        <u/>
      </rPr>
      <t>André Vingt-Trois</t>
    </r>
  </si>
  <si>
    <r>
      <rPr>
        <color rgb="FF1155CC"/>
        <u/>
      </rPr>
      <t>France</t>
    </r>
  </si>
  <si>
    <r>
      <rPr>
        <color rgb="FF1155CC"/>
        <u/>
      </rPr>
      <t>Archbishop of Paris</t>
    </r>
  </si>
  <si>
    <r>
      <rPr>
        <color rgb="FF1155CC"/>
        <u/>
      </rPr>
      <t>Angelo Bagnasco</t>
    </r>
  </si>
  <si>
    <r>
      <rPr>
        <color rgb="FF1155CC"/>
        <u/>
      </rPr>
      <t>Italy</t>
    </r>
  </si>
  <si>
    <r>
      <rPr>
        <color rgb="FF1155CC"/>
        <u/>
      </rPr>
      <t>Archbishop of Genoa</t>
    </r>
  </si>
  <si>
    <r>
      <rPr>
        <color rgb="FF1155CC"/>
        <u/>
      </rPr>
      <t>Théodore-Adrien Sarr</t>
    </r>
  </si>
  <si>
    <r>
      <rPr>
        <color rgb="FF1155CC"/>
        <u/>
      </rPr>
      <t>Senegal</t>
    </r>
  </si>
  <si>
    <r>
      <rPr>
        <color rgb="FF1155CC"/>
        <u/>
      </rPr>
      <t>Archbishop of Dakar</t>
    </r>
  </si>
  <si>
    <r>
      <rPr>
        <color rgb="FF1155CC"/>
        <u/>
      </rPr>
      <t>Oswald Gracias</t>
    </r>
  </si>
  <si>
    <r>
      <rPr>
        <color rgb="FF1155CC"/>
        <u/>
      </rPr>
      <t>India</t>
    </r>
  </si>
  <si>
    <r>
      <rPr>
        <color rgb="FF1155CC"/>
        <u/>
      </rPr>
      <t>Archbishop of Bombay</t>
    </r>
  </si>
  <si>
    <r>
      <rPr>
        <color rgb="FF1155CC"/>
        <u/>
      </rPr>
      <t>Francisco Robles Ortega</t>
    </r>
  </si>
  <si>
    <r>
      <rPr>
        <color rgb="FF1155CC"/>
        <u/>
      </rPr>
      <t>Mexico</t>
    </r>
  </si>
  <si>
    <r>
      <rPr>
        <color rgb="FF1155CC"/>
        <u/>
      </rPr>
      <t>Archbishop of Guadalajara</t>
    </r>
  </si>
  <si>
    <r>
      <rPr>
        <color rgb="FF1155CC"/>
        <u/>
      </rPr>
      <t>Daniel Nicholas DiNardo</t>
    </r>
  </si>
  <si>
    <r>
      <rPr>
        <color rgb="FF1155CC"/>
        <u/>
      </rPr>
      <t>United States</t>
    </r>
  </si>
  <si>
    <r>
      <rPr>
        <color rgb="FF1155CC"/>
        <u/>
      </rPr>
      <t>Archbishop of Galveston–Houston</t>
    </r>
  </si>
  <si>
    <r>
      <rPr>
        <color rgb="FF1155CC"/>
        <u/>
      </rPr>
      <t>Odilo Pedro Scherer</t>
    </r>
  </si>
  <si>
    <r>
      <rPr>
        <color rgb="FF1155CC"/>
        <u/>
      </rPr>
      <t>Brazil</t>
    </r>
  </si>
  <si>
    <r>
      <rPr>
        <color rgb="FF1155CC"/>
        <u/>
      </rPr>
      <t>Archbishop of São Paulo</t>
    </r>
  </si>
  <si>
    <r>
      <rPr>
        <color rgb="FF1155CC"/>
        <u/>
      </rPr>
      <t>John Njue</t>
    </r>
  </si>
  <si>
    <r>
      <rPr>
        <color rgb="FF1155CC"/>
        <u/>
      </rPr>
      <t>Kenya</t>
    </r>
  </si>
  <si>
    <r>
      <rPr>
        <color rgb="FF1155CC"/>
        <u/>
      </rPr>
      <t>Archbishop of Nairobi</t>
    </r>
  </si>
  <si>
    <t>Kikuyu</t>
  </si>
  <si>
    <r>
      <rPr>
        <color rgb="FF1155CC"/>
        <u/>
      </rPr>
      <t>Raúl Eduardo Vela Chiriboga</t>
    </r>
  </si>
  <si>
    <r>
      <rPr>
        <color rgb="FF1155CC"/>
        <u/>
      </rPr>
      <t>Ecuador</t>
    </r>
  </si>
  <si>
    <r>
      <rPr>
        <color rgb="FF1155CC"/>
        <u/>
      </rPr>
      <t>Archbishop emeritus of Quito</t>
    </r>
  </si>
  <si>
    <r>
      <rPr>
        <color rgb="FF1155CC"/>
        <u/>
      </rPr>
      <t>Laurent Monsengwo Pasinya</t>
    </r>
  </si>
  <si>
    <r>
      <rPr>
        <color rgb="FF1155CC"/>
        <u/>
      </rPr>
      <t>Democratic Republic of the Congo</t>
    </r>
  </si>
  <si>
    <r>
      <rPr>
        <color rgb="FF1155CC"/>
        <u/>
      </rPr>
      <t>Archbishop of Kinshasa</t>
    </r>
  </si>
  <si>
    <t>Lingala</t>
  </si>
  <si>
    <r>
      <rPr>
        <color rgb="FF1155CC"/>
        <u/>
      </rPr>
      <t>Paolo Romeo</t>
    </r>
  </si>
  <si>
    <r>
      <rPr>
        <color rgb="FF1155CC"/>
        <u/>
      </rPr>
      <t>Italy</t>
    </r>
  </si>
  <si>
    <r>
      <rPr>
        <color rgb="FF1155CC"/>
        <u/>
      </rPr>
      <t>Archbishop of Palermo</t>
    </r>
  </si>
  <si>
    <r>
      <rPr>
        <color rgb="FF1155CC"/>
        <u/>
      </rPr>
      <t>Donald William Wuerl</t>
    </r>
  </si>
  <si>
    <r>
      <rPr>
        <color rgb="FF1155CC"/>
        <u/>
      </rPr>
      <t>United States</t>
    </r>
  </si>
  <si>
    <r>
      <rPr>
        <color rgb="FF1155CC"/>
        <u/>
      </rPr>
      <t>Archbishop of Washington</t>
    </r>
  </si>
  <si>
    <r>
      <rPr>
        <color rgb="FF1155CC"/>
        <u/>
      </rPr>
      <t>Raymundo Damasceno Assis</t>
    </r>
  </si>
  <si>
    <r>
      <rPr>
        <color rgb="FF1155CC"/>
        <u/>
      </rPr>
      <t>Brazil</t>
    </r>
  </si>
  <si>
    <r>
      <rPr>
        <color rgb="FF1155CC"/>
        <u/>
      </rPr>
      <t>Archbishop of Aparecida</t>
    </r>
  </si>
  <si>
    <r>
      <rPr>
        <color rgb="FF1155CC"/>
        <u/>
      </rPr>
      <t>Kazimierz Nycz</t>
    </r>
  </si>
  <si>
    <r>
      <rPr>
        <color rgb="FF1155CC"/>
        <u/>
      </rPr>
      <t>Poland</t>
    </r>
  </si>
  <si>
    <r>
      <rPr>
        <color rgb="FF1155CC"/>
        <u/>
      </rPr>
      <t>Archbishop of Warsaw</t>
    </r>
  </si>
  <si>
    <r>
      <rPr>
        <color rgb="FF1155CC"/>
        <u/>
      </rPr>
      <t>Albert Malcolm Ranjith Patabendige Don</t>
    </r>
  </si>
  <si>
    <r>
      <rPr>
        <color rgb="FF1155CC"/>
        <u/>
      </rPr>
      <t>Sri Lanka</t>
    </r>
  </si>
  <si>
    <r>
      <rPr>
        <color rgb="FF1155CC"/>
        <u/>
      </rPr>
      <t>Archbishop of Colombo</t>
    </r>
  </si>
  <si>
    <t>Sinhala</t>
  </si>
  <si>
    <r>
      <rPr>
        <color rgb="FF1155CC"/>
        <u/>
      </rPr>
      <t>Reinhard Marx</t>
    </r>
  </si>
  <si>
    <r>
      <rPr>
        <color rgb="FF1155CC"/>
        <u/>
      </rPr>
      <t>Germany</t>
    </r>
  </si>
  <si>
    <r>
      <rPr>
        <color rgb="FF1155CC"/>
        <u/>
      </rPr>
      <t>Archbishop of Munich and Freising</t>
    </r>
  </si>
  <si>
    <r>
      <rPr>
        <color rgb="FF1155CC"/>
        <u/>
      </rPr>
      <t>George Alencherry</t>
    </r>
  </si>
  <si>
    <r>
      <rPr>
        <color rgb="FF1155CC"/>
        <u/>
      </rPr>
      <t>India</t>
    </r>
  </si>
  <si>
    <r>
      <rPr>
        <color rgb="FF1155CC"/>
        <u/>
      </rPr>
      <t>Major Archbishop of Ernakulam–Angamaly</t>
    </r>
    <r>
      <rPr/>
      <t xml:space="preserve">
(</t>
    </r>
    <r>
      <rPr>
        <color rgb="FF1155CC"/>
        <u/>
      </rPr>
      <t>Syro-Malabar Church</t>
    </r>
    <r>
      <rPr/>
      <t>)</t>
    </r>
  </si>
  <si>
    <t>Malayalam</t>
  </si>
  <si>
    <r>
      <rPr>
        <color rgb="FF1155CC"/>
        <u/>
      </rPr>
      <t>Thomas Christopher Collins</t>
    </r>
  </si>
  <si>
    <r>
      <rPr>
        <color rgb="FF1155CC"/>
        <u/>
      </rPr>
      <t>Canada</t>
    </r>
  </si>
  <si>
    <r>
      <rPr>
        <color rgb="FF1155CC"/>
        <u/>
      </rPr>
      <t>Archbishop of Toronto</t>
    </r>
  </si>
  <si>
    <r>
      <rPr>
        <color rgb="FF1155CC"/>
        <u/>
      </rPr>
      <t>Dominik Duka</t>
    </r>
    <r>
      <rPr/>
      <t xml:space="preserve"> </t>
    </r>
  </si>
  <si>
    <r>
      <rPr>
        <color rgb="FF1155CC"/>
        <u/>
      </rPr>
      <t>Czech Republic</t>
    </r>
  </si>
  <si>
    <r>
      <rPr>
        <color rgb="FF1155CC"/>
        <u/>
      </rPr>
      <t>Archbishop of Prague</t>
    </r>
  </si>
  <si>
    <t>Czech</t>
  </si>
  <si>
    <r>
      <rPr>
        <color rgb="FF1155CC"/>
        <u/>
      </rPr>
      <t>Willem Jacobus Eijk</t>
    </r>
  </si>
  <si>
    <r>
      <rPr>
        <color rgb="FF1155CC"/>
        <u/>
      </rPr>
      <t>Netherlands</t>
    </r>
  </si>
  <si>
    <r>
      <rPr>
        <color rgb="FF1155CC"/>
        <u/>
      </rPr>
      <t>Archbishop of Utrecht</t>
    </r>
  </si>
  <si>
    <r>
      <rPr>
        <color rgb="FF1155CC"/>
        <u/>
      </rPr>
      <t>Giuseppe Betori</t>
    </r>
  </si>
  <si>
    <r>
      <rPr>
        <color rgb="FF1155CC"/>
        <u/>
      </rPr>
      <t>Italy</t>
    </r>
  </si>
  <si>
    <r>
      <rPr>
        <color rgb="FF1155CC"/>
        <u/>
      </rPr>
      <t>Archbishop of Florence</t>
    </r>
  </si>
  <si>
    <r>
      <rPr>
        <color rgb="FF1155CC"/>
        <u/>
      </rPr>
      <t>Timothy Michael Dolan</t>
    </r>
  </si>
  <si>
    <r>
      <rPr>
        <color rgb="FF1155CC"/>
        <u/>
      </rPr>
      <t>United States</t>
    </r>
  </si>
  <si>
    <r>
      <rPr>
        <color rgb="FF1155CC"/>
        <u/>
      </rPr>
      <t>Archbishop of New York</t>
    </r>
  </si>
  <si>
    <r>
      <rPr>
        <color rgb="FF1155CC"/>
        <u/>
      </rPr>
      <t>Rainer Maria Woelki</t>
    </r>
  </si>
  <si>
    <r>
      <rPr>
        <color rgb="FF1155CC"/>
        <u/>
      </rPr>
      <t>Germany</t>
    </r>
  </si>
  <si>
    <r>
      <rPr>
        <color rgb="FF1155CC"/>
        <u/>
      </rPr>
      <t>Archbishop of Berlin</t>
    </r>
  </si>
  <si>
    <r>
      <rPr>
        <color rgb="FF1155CC"/>
        <u/>
      </rPr>
      <t>John Tong Hon</t>
    </r>
  </si>
  <si>
    <r>
      <rPr>
        <color rgb="FF1155CC"/>
        <u/>
      </rPr>
      <t>China</t>
    </r>
    <r>
      <rPr/>
      <t xml:space="preserve">
(</t>
    </r>
    <r>
      <rPr>
        <color rgb="FF1155CC"/>
        <u/>
      </rPr>
      <t>Hong Kong</t>
    </r>
    <r>
      <rPr/>
      <t>)</t>
    </r>
    <r>
      <rPr>
        <color rgb="FF1155CC"/>
        <u/>
      </rPr>
      <t>[</t>
    </r>
    <r>
      <rPr>
        <color rgb="FF1155CC"/>
        <u/>
      </rPr>
      <t>d</t>
    </r>
    <r>
      <rPr/>
      <t>]</t>
    </r>
  </si>
  <si>
    <r>
      <rPr>
        <color rgb="FF1155CC"/>
        <u/>
      </rPr>
      <t>Bishop of Hong Kong</t>
    </r>
  </si>
  <si>
    <t>Cantonese</t>
  </si>
  <si>
    <r>
      <rPr>
        <color rgb="FF1155CC"/>
        <u/>
      </rPr>
      <t>Baselios Cleemis Thottunkal</t>
    </r>
  </si>
  <si>
    <r>
      <rPr>
        <color rgb="FF1155CC"/>
        <u/>
      </rPr>
      <t>India</t>
    </r>
  </si>
  <si>
    <r>
      <rPr>
        <color rgb="FF1155CC"/>
        <u/>
      </rPr>
      <t>Major Archbishop of Trivandrum</t>
    </r>
    <r>
      <rPr/>
      <t xml:space="preserve">
(</t>
    </r>
    <r>
      <rPr>
        <color rgb="FF1155CC"/>
        <u/>
      </rPr>
      <t>Syro-Malankara Church</t>
    </r>
    <r>
      <rPr/>
      <t>)</t>
    </r>
  </si>
  <si>
    <r>
      <rPr>
        <color rgb="FF1155CC"/>
        <u/>
      </rPr>
      <t>John Olorunfemi Onaiyekan</t>
    </r>
  </si>
  <si>
    <r>
      <rPr>
        <color rgb="FF1155CC"/>
        <u/>
      </rPr>
      <t>Nigeria</t>
    </r>
  </si>
  <si>
    <r>
      <rPr>
        <color rgb="FF1155CC"/>
        <u/>
      </rPr>
      <t>Archbishop of Abuja</t>
    </r>
  </si>
  <si>
    <r>
      <rPr>
        <color rgb="FF1155CC"/>
        <u/>
      </rPr>
      <t>Rubén Salazar Gómez</t>
    </r>
  </si>
  <si>
    <r>
      <rPr>
        <color rgb="FF1155CC"/>
        <u/>
      </rPr>
      <t>Colombia</t>
    </r>
  </si>
  <si>
    <r>
      <rPr>
        <color rgb="FF1155CC"/>
        <u/>
      </rPr>
      <t>Archbishop of Bogotá</t>
    </r>
  </si>
  <si>
    <r>
      <rPr>
        <color rgb="FF1155CC"/>
        <u/>
      </rPr>
      <t>Luis Antonio Gokim Tagle</t>
    </r>
  </si>
  <si>
    <r>
      <rPr>
        <color rgb="FF1155CC"/>
        <u/>
      </rPr>
      <t>Philippines</t>
    </r>
  </si>
  <si>
    <r>
      <rPr>
        <color rgb="FF1155CC"/>
        <u/>
      </rPr>
      <t>Archbishop of Manila</t>
    </r>
  </si>
  <si>
    <t>Tagalog</t>
  </si>
  <si>
    <r>
      <rPr>
        <color rgb="FF1155CC"/>
        <u/>
      </rPr>
      <t>Jean-Louis Tauran</t>
    </r>
  </si>
  <si>
    <r>
      <rPr>
        <color rgb="FF1155CC"/>
        <u/>
      </rPr>
      <t>France</t>
    </r>
  </si>
  <si>
    <t>CD</t>
  </si>
  <si>
    <r>
      <t xml:space="preserve">President of the </t>
    </r>
    <r>
      <rPr>
        <color rgb="FF1155CC"/>
        <u/>
      </rPr>
      <t>Pontifical Council for Interreligious Dialogue</t>
    </r>
    <r>
      <rPr/>
      <t xml:space="preserve"> (</t>
    </r>
    <r>
      <rPr>
        <color rgb="FF1155CC"/>
        <u/>
      </rPr>
      <t>Protodeacon</t>
    </r>
    <r>
      <rPr/>
      <t>)</t>
    </r>
  </si>
  <si>
    <r>
      <rPr>
        <color rgb="FF1155CC"/>
        <u/>
      </rPr>
      <t>Attilio Nicora</t>
    </r>
  </si>
  <si>
    <r>
      <rPr>
        <color rgb="FF1155CC"/>
        <u/>
      </rPr>
      <t>Italy</t>
    </r>
  </si>
  <si>
    <r>
      <rPr>
        <color rgb="FF1155CC"/>
        <u/>
      </rPr>
      <t>Pontifical Legate for the Basilicas of Saint Francis and Saint Mary of the Angels in Assisi</t>
    </r>
    <r>
      <rPr/>
      <t xml:space="preserve"> and President of the </t>
    </r>
    <r>
      <rPr>
        <color rgb="FF1155CC"/>
        <u/>
      </rPr>
      <t>Financial Information Authority</t>
    </r>
  </si>
  <si>
    <r>
      <rPr>
        <color rgb="FF1155CC"/>
        <u/>
      </rPr>
      <t>William Joseph Levada</t>
    </r>
  </si>
  <si>
    <r>
      <rPr>
        <color rgb="FF1155CC"/>
        <u/>
      </rPr>
      <t>United States</t>
    </r>
  </si>
  <si>
    <r>
      <t xml:space="preserve">Prefect emeritus of the </t>
    </r>
    <r>
      <rPr>
        <color rgb="FF1155CC"/>
        <u/>
      </rPr>
      <t>Congregation for the Doctrine of the Faith</t>
    </r>
  </si>
  <si>
    <r>
      <rPr>
        <color rgb="FF1155CC"/>
        <u/>
      </rPr>
      <t>Franc Rodé</t>
    </r>
    <r>
      <rPr/>
      <t xml:space="preserve"> </t>
    </r>
    <r>
      <rPr>
        <color rgb="FF1155CC"/>
        <u/>
      </rPr>
      <t>CM</t>
    </r>
  </si>
  <si>
    <r>
      <rPr>
        <color rgb="FF1155CC"/>
        <u/>
      </rPr>
      <t>Slovenia</t>
    </r>
  </si>
  <si>
    <r>
      <t xml:space="preserve">Prefect emeritus of the </t>
    </r>
    <r>
      <rPr>
        <color rgb="FF1155CC"/>
        <u/>
      </rPr>
      <t>Congregation for Institutes of Consecrated Life and Societies of Apostolic Life</t>
    </r>
  </si>
  <si>
    <t>Slovene</t>
  </si>
  <si>
    <r>
      <rPr>
        <color rgb="FF1155CC"/>
        <u/>
      </rPr>
      <t>Leonardo Sandri</t>
    </r>
  </si>
  <si>
    <r>
      <rPr>
        <color rgb="FF1155CC"/>
        <u/>
      </rPr>
      <t>Argentina</t>
    </r>
  </si>
  <si>
    <r>
      <t xml:space="preserve">Prefect of the </t>
    </r>
    <r>
      <rPr>
        <color rgb="FF1155CC"/>
        <u/>
      </rPr>
      <t>Congregation for the Oriental Churches</t>
    </r>
  </si>
  <si>
    <r>
      <rPr>
        <color rgb="FF1155CC"/>
        <u/>
      </rPr>
      <t>Giovanni Lajolo</t>
    </r>
  </si>
  <si>
    <r>
      <rPr>
        <color rgb="FF1155CC"/>
        <u/>
      </rPr>
      <t>Italy</t>
    </r>
  </si>
  <si>
    <r>
      <t xml:space="preserve">President emeritus of the </t>
    </r>
    <r>
      <rPr>
        <color rgb="FF1155CC"/>
        <u/>
      </rPr>
      <t>Pontifical Commission for Vatican City State</t>
    </r>
  </si>
  <si>
    <r>
      <rPr>
        <color rgb="FF1155CC"/>
        <u/>
      </rPr>
      <t>Paul Josef Cordes</t>
    </r>
  </si>
  <si>
    <r>
      <rPr>
        <color rgb="FF1155CC"/>
        <u/>
      </rPr>
      <t>Germany</t>
    </r>
  </si>
  <si>
    <r>
      <t xml:space="preserve">President emeritus of the </t>
    </r>
    <r>
      <rPr>
        <color rgb="FF1155CC"/>
        <u/>
      </rPr>
      <t xml:space="preserve">Pontifical Council </t>
    </r>
    <r>
      <rPr/>
      <t>Cor Unum</t>
    </r>
  </si>
  <si>
    <r>
      <rPr>
        <color rgb="FF1155CC"/>
        <u/>
      </rPr>
      <t>Angelo Comastri</t>
    </r>
  </si>
  <si>
    <r>
      <rPr>
        <color rgb="FF1155CC"/>
        <u/>
      </rPr>
      <t>Italy</t>
    </r>
  </si>
  <si>
    <r>
      <rPr>
        <color rgb="FF1155CC"/>
        <u/>
      </rPr>
      <t>Vicar General for Vatican City</t>
    </r>
    <r>
      <rPr/>
      <t xml:space="preserve">, Archpriest of the </t>
    </r>
    <r>
      <rPr>
        <color rgb="FF1155CC"/>
        <u/>
      </rPr>
      <t>Papal Basilica of Saint Peter</t>
    </r>
    <r>
      <rPr/>
      <t xml:space="preserve"> and President of the </t>
    </r>
    <r>
      <rPr>
        <color rgb="FF1155CC"/>
        <u/>
      </rPr>
      <t>Fabric of Saint Peter</t>
    </r>
  </si>
  <si>
    <r>
      <rPr>
        <color rgb="FF1155CC"/>
        <u/>
      </rPr>
      <t>Stanisław Ryłko</t>
    </r>
  </si>
  <si>
    <r>
      <rPr>
        <color rgb="FF1155CC"/>
        <u/>
      </rPr>
      <t>Poland</t>
    </r>
  </si>
  <si>
    <r>
      <t xml:space="preserve">President of the </t>
    </r>
    <r>
      <rPr>
        <color rgb="FF1155CC"/>
        <u/>
      </rPr>
      <t>Pontifical Council for the Laity</t>
    </r>
  </si>
  <si>
    <r>
      <rPr>
        <color rgb="FF1155CC"/>
        <u/>
      </rPr>
      <t>Raffaele Farina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</si>
  <si>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</si>
  <si>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Archivist and Librarian emeritus of the Holy Roman Church</t>
    </r>
  </si>
  <si>
    <r>
      <rPr>
        <color rgb="FF1155CC"/>
        <u/>
      </rPr>
      <t>Angelo Amato</t>
    </r>
    <r>
      <rPr/>
      <t xml:space="preserve"> </t>
    </r>
  </si>
  <si>
    <r>
      <rPr>
        <color rgb="FF1155CC"/>
        <u/>
      </rPr>
      <t>Italy</t>
    </r>
  </si>
  <si>
    <r>
      <t xml:space="preserve">Prefect of the </t>
    </r>
    <r>
      <rPr>
        <color rgb="FF1155CC"/>
        <u/>
      </rPr>
      <t>Congregation for the Causes of Saints</t>
    </r>
  </si>
  <si>
    <r>
      <rPr>
        <color rgb="FF1155CC"/>
        <u/>
      </rPr>
      <t>Robert Sarah</t>
    </r>
  </si>
  <si>
    <r>
      <rPr>
        <color rgb="FF1155CC"/>
        <u/>
      </rPr>
      <t>Guinea</t>
    </r>
  </si>
  <si>
    <r>
      <t xml:space="preserve">President of the </t>
    </r>
    <r>
      <rPr>
        <color rgb="FF1155CC"/>
        <u/>
      </rPr>
      <t xml:space="preserve">Pontifical Council </t>
    </r>
    <r>
      <rPr/>
      <t>Cor Unum</t>
    </r>
  </si>
  <si>
    <r>
      <rPr>
        <color rgb="FF1155CC"/>
        <u/>
      </rPr>
      <t>Francesco Monterisi</t>
    </r>
  </si>
  <si>
    <r>
      <rPr>
        <color rgb="FF1155CC"/>
        <u/>
      </rPr>
      <t>Italy</t>
    </r>
  </si>
  <si>
    <r>
      <t xml:space="preserve">Archpriest emeritus of the </t>
    </r>
    <r>
      <rPr>
        <color rgb="FF1155CC"/>
        <u/>
      </rPr>
      <t>Papal Basilica of Saint Paul Outside the Walls</t>
    </r>
  </si>
  <si>
    <r>
      <rPr>
        <color rgb="FF1155CC"/>
        <u/>
      </rPr>
      <t>Raymond Leo Burke</t>
    </r>
  </si>
  <si>
    <r>
      <rPr>
        <color rgb="FF1155CC"/>
        <u/>
      </rPr>
      <t>United States</t>
    </r>
  </si>
  <si>
    <r>
      <t xml:space="preserve">Prefect of the </t>
    </r>
    <r>
      <rPr>
        <color rgb="FF1155CC"/>
        <u/>
      </rPr>
      <t>Supreme Tribunal of the Apostolic Signatura</t>
    </r>
  </si>
  <si>
    <r>
      <rPr>
        <color rgb="FF1155CC"/>
        <u/>
      </rPr>
      <t>Kurt Koch</t>
    </r>
  </si>
  <si>
    <r>
      <rPr>
        <color rgb="FF1155CC"/>
        <u/>
      </rPr>
      <t>Switzerland</t>
    </r>
  </si>
  <si>
    <r>
      <t xml:space="preserve">President of the </t>
    </r>
    <r>
      <rPr>
        <color rgb="FF1155CC"/>
        <u/>
      </rPr>
      <t>Pontifical Council for Promoting Christian Unity</t>
    </r>
  </si>
  <si>
    <r>
      <rPr>
        <color rgb="FF1155CC"/>
        <u/>
      </rPr>
      <t>Paolo Sardi</t>
    </r>
  </si>
  <si>
    <r>
      <rPr>
        <color rgb="FF1155CC"/>
        <u/>
      </rPr>
      <t>Italy</t>
    </r>
  </si>
  <si>
    <r>
      <t xml:space="preserve">Patron of the </t>
    </r>
    <r>
      <rPr>
        <color rgb="FF1155CC"/>
        <u/>
      </rPr>
      <t>Sovereign Military Order of Malta</t>
    </r>
  </si>
  <si>
    <r>
      <rPr>
        <color rgb="FF1155CC"/>
        <u/>
      </rPr>
      <t>Mauro Piacenza</t>
    </r>
  </si>
  <si>
    <r>
      <rPr>
        <color rgb="FF1155CC"/>
        <u/>
      </rPr>
      <t>Italy</t>
    </r>
  </si>
  <si>
    <r>
      <t xml:space="preserve">Prefect of the </t>
    </r>
    <r>
      <rPr>
        <color rgb="FF1155CC"/>
        <u/>
      </rPr>
      <t>Congregation for the Clergy</t>
    </r>
  </si>
  <si>
    <r>
      <rPr>
        <color rgb="FF1155CC"/>
        <u/>
      </rPr>
      <t>Velasio De Paolis</t>
    </r>
    <r>
      <rPr/>
      <t xml:space="preserve"> </t>
    </r>
  </si>
  <si>
    <r>
      <rPr>
        <color rgb="FF1155CC"/>
        <u/>
      </rPr>
      <t>Italy</t>
    </r>
  </si>
  <si>
    <r>
      <t xml:space="preserve">President emeritus of the </t>
    </r>
    <r>
      <rPr>
        <color rgb="FF1155CC"/>
        <u/>
      </rPr>
      <t>Prefecture for the Economic Affairs of the Holy See</t>
    </r>
  </si>
  <si>
    <r>
      <rPr>
        <color rgb="FF1155CC"/>
        <u/>
      </rPr>
      <t>Gianfranco Ravasi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</si>
  <si>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</si>
  <si>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Pontifical Council for Culture</t>
    </r>
  </si>
  <si>
    <r>
      <rPr>
        <color rgb="FF1155CC"/>
        <u/>
      </rPr>
      <t>Fernando Filoni</t>
    </r>
  </si>
  <si>
    <r>
      <rPr>
        <color rgb="FF1155CC"/>
        <u/>
      </rPr>
      <t>Italy</t>
    </r>
  </si>
  <si>
    <r>
      <t xml:space="preserve">Prefect of the </t>
    </r>
    <r>
      <rPr>
        <color rgb="FF1155CC"/>
        <u/>
      </rPr>
      <t>Congregation for the Evangelization of Peoples</t>
    </r>
  </si>
  <si>
    <r>
      <rPr>
        <color rgb="FF1155CC"/>
        <u/>
      </rPr>
      <t>Manuel Monteiro de Castro</t>
    </r>
  </si>
  <si>
    <r>
      <rPr>
        <color rgb="FF1155CC"/>
        <u/>
      </rPr>
      <t>Portugal</t>
    </r>
  </si>
  <si>
    <r>
      <rPr>
        <color rgb="FF1155CC"/>
        <u/>
      </rPr>
      <t>Major Penitentiary</t>
    </r>
  </si>
  <si>
    <r>
      <rPr>
        <color rgb="FF1155CC"/>
        <u/>
      </rPr>
      <t>Santos Abril y Castelló</t>
    </r>
  </si>
  <si>
    <r>
      <rPr>
        <color rgb="FF1155CC"/>
        <u/>
      </rPr>
      <t>Spain</t>
    </r>
  </si>
  <si>
    <r>
      <t xml:space="preserve">Archpriest of the </t>
    </r>
    <r>
      <rPr>
        <color rgb="FF1155CC"/>
        <u/>
      </rPr>
      <t>Papal Basilica of Saint Mary Major</t>
    </r>
  </si>
  <si>
    <r>
      <rPr>
        <color rgb="FF1155CC"/>
        <u/>
      </rPr>
      <t>Antonio Maria Vegliò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</si>
  <si>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</si>
  <si>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Pontifical Council for the Pastoral Care of Migrants and Itinerant People</t>
    </r>
  </si>
  <si>
    <r>
      <rPr>
        <color rgb="FF1155CC"/>
        <u/>
      </rPr>
      <t>Giuseppe Bertello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</si>
  <si>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</si>
  <si>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Pontifical Commission for Vatican City State</t>
    </r>
  </si>
  <si>
    <r>
      <rPr>
        <color rgb="FF1155CC"/>
        <u/>
      </rPr>
      <t>Francesco Coccopalmerio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</si>
  <si>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</si>
  <si>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Pontifical Council for Legislative Texts</t>
    </r>
  </si>
  <si>
    <r>
      <rPr>
        <color rgb="FF1155CC"/>
        <u/>
      </rPr>
      <t>João Braz de Aviz</t>
    </r>
  </si>
  <si>
    <r>
      <rPr>
        <color rgb="FF1155CC"/>
        <u/>
      </rPr>
      <t>Brazil</t>
    </r>
  </si>
  <si>
    <r>
      <t xml:space="preserve">Prefect of the </t>
    </r>
    <r>
      <rPr>
        <color rgb="FF1155CC"/>
        <u/>
      </rPr>
      <t>Congregation for Institutes of Consecrated Life and Societies of Apostolic Life</t>
    </r>
  </si>
  <si>
    <r>
      <rPr>
        <color rgb="FF1155CC"/>
        <u/>
      </rPr>
      <t>Edwin Frederick O'Brien</t>
    </r>
  </si>
  <si>
    <r>
      <rPr>
        <color rgb="FF1155CC"/>
        <u/>
      </rPr>
      <t>United States</t>
    </r>
  </si>
  <si>
    <r>
      <t xml:space="preserve">Grand Master of the </t>
    </r>
    <r>
      <rPr>
        <color rgb="FF1155CC"/>
        <u/>
      </rPr>
      <t>Order of the Holy Sepulchre</t>
    </r>
  </si>
  <si>
    <r>
      <rPr>
        <color rgb="FF1155CC"/>
        <u/>
      </rPr>
      <t>Domenico Calcagno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</si>
  <si>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</si>
  <si>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Administration of the Patrimony of the Apostolic See</t>
    </r>
  </si>
  <si>
    <r>
      <rPr>
        <color rgb="FF1155CC"/>
        <u/>
      </rPr>
      <t>Giuseppe Versaldi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</si>
  <si>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</si>
  <si>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Prefecture for the Economic Affairs of the Holy See</t>
    </r>
  </si>
  <si>
    <r>
      <rPr>
        <color rgb="FF1155CC"/>
        <u/>
      </rPr>
      <t>James Michael Harvey</t>
    </r>
  </si>
  <si>
    <r>
      <rPr>
        <color rgb="FF1155CC"/>
        <u/>
      </rPr>
      <t>United States</t>
    </r>
  </si>
  <si>
    <r>
      <t xml:space="preserve">Archpriest of the </t>
    </r>
    <r>
      <rPr>
        <color rgb="FF1155CC"/>
        <u/>
      </rPr>
      <t>Papal Basilica of Saint Paul Outside the Walls</t>
    </r>
  </si>
  <si>
    <t>Joseph Alois Ratzinger</t>
  </si>
  <si>
    <r>
      <rPr>
        <color rgb="FF1155CC"/>
        <u/>
      </rPr>
      <t>Germany</t>
    </r>
  </si>
  <si>
    <r>
      <t xml:space="preserve">Prefect of the </t>
    </r>
    <r>
      <rPr>
        <color rgb="FF1155CC"/>
        <u/>
      </rPr>
      <t>Congregation for the Doctrine of the Faith</t>
    </r>
    <r>
      <rPr/>
      <t xml:space="preserve"> (</t>
    </r>
    <r>
      <rPr>
        <color rgb="FF1155CC"/>
        <u/>
      </rPr>
      <t>Dean</t>
    </r>
    <r>
      <rPr/>
      <t>)</t>
    </r>
  </si>
  <si>
    <r>
      <rPr>
        <color rgb="FF1155CC"/>
        <u/>
      </rPr>
      <t>Angelo Sodano</t>
    </r>
  </si>
  <si>
    <r>
      <rPr>
        <color rgb="FF1155CC"/>
        <u/>
      </rPr>
      <t>Italy</t>
    </r>
  </si>
  <si>
    <r>
      <rPr>
        <color rgb="FF1155CC"/>
        <u/>
      </rPr>
      <t>Secretary of State</t>
    </r>
    <r>
      <rPr/>
      <t xml:space="preserve"> (</t>
    </r>
    <r>
      <rPr>
        <color rgb="FF1155CC"/>
        <u/>
      </rPr>
      <t>Vice-Dean</t>
    </r>
    <r>
      <rPr/>
      <t>)</t>
    </r>
  </si>
  <si>
    <r>
      <rPr>
        <color rgb="FF1155CC"/>
        <u/>
      </rPr>
      <t>Alfonso López Trujillo</t>
    </r>
  </si>
  <si>
    <r>
      <rPr>
        <color rgb="FF1155CC"/>
        <u/>
      </rPr>
      <t>Colombia</t>
    </r>
  </si>
  <si>
    <r>
      <t xml:space="preserve">President of the </t>
    </r>
    <r>
      <rPr>
        <color rgb="FF1155CC"/>
        <u/>
      </rPr>
      <t>Pontifical Council for the Family</t>
    </r>
  </si>
  <si>
    <r>
      <rPr>
        <color rgb="FF1155CC"/>
        <u/>
      </rPr>
      <t>Giovanni Battista Re</t>
    </r>
  </si>
  <si>
    <r>
      <rPr>
        <color rgb="FF1155CC"/>
        <u/>
      </rPr>
      <t>Italy</t>
    </r>
  </si>
  <si>
    <r>
      <t xml:space="preserve">Prefect of the </t>
    </r>
    <r>
      <rPr>
        <color rgb="FF1155CC"/>
        <u/>
      </rPr>
      <t>Congregation for Bishops</t>
    </r>
  </si>
  <si>
    <r>
      <rPr>
        <color rgb="FF1155CC"/>
        <u/>
      </rPr>
      <t>Ignace Moussa I Daoud</t>
    </r>
  </si>
  <si>
    <r>
      <rPr>
        <color rgb="FF1155CC"/>
        <u/>
      </rPr>
      <t>Syria</t>
    </r>
  </si>
  <si>
    <r>
      <t xml:space="preserve">Prefect of the </t>
    </r>
    <r>
      <rPr>
        <color rgb="FF1155CC"/>
        <u/>
      </rPr>
      <t>Congregation for the Oriental Churches</t>
    </r>
    <r>
      <rPr/>
      <t xml:space="preserve">
(</t>
    </r>
    <r>
      <rPr>
        <color rgb="FF1155CC"/>
        <u/>
      </rPr>
      <t>Syriac Church</t>
    </r>
    <r>
      <rPr/>
      <t>)</t>
    </r>
  </si>
  <si>
    <r>
      <rPr>
        <color rgb="FF1155CC"/>
        <u/>
      </rPr>
      <t>William Wakefield Baum</t>
    </r>
  </si>
  <si>
    <r>
      <rPr>
        <color rgb="FF1155CC"/>
        <u/>
      </rPr>
      <t>United States</t>
    </r>
  </si>
  <si>
    <r>
      <rPr>
        <color rgb="FF1155CC"/>
        <u/>
      </rPr>
      <t>Major Penitentiary emeritus</t>
    </r>
  </si>
  <si>
    <r>
      <rPr>
        <color rgb="FF1155CC"/>
        <u/>
      </rPr>
      <t>Marco Cé</t>
    </r>
  </si>
  <si>
    <r>
      <rPr>
        <color rgb="FF1155CC"/>
        <u/>
      </rPr>
      <t>Italy</t>
    </r>
  </si>
  <si>
    <r>
      <rPr>
        <color rgb="FF1155CC"/>
        <u/>
      </rPr>
      <t>Patriarch emeritus of Venice</t>
    </r>
  </si>
  <si>
    <r>
      <rPr>
        <color rgb="FF1155CC"/>
        <u/>
      </rPr>
      <t>Franciszek Macharski</t>
    </r>
  </si>
  <si>
    <r>
      <rPr>
        <color rgb="FF1155CC"/>
        <u/>
      </rPr>
      <t>Poland</t>
    </r>
  </si>
  <si>
    <r>
      <rPr>
        <color rgb="FF1155CC"/>
        <u/>
      </rPr>
      <t>Archbishop of Kraków</t>
    </r>
  </si>
  <si>
    <r>
      <rPr>
        <color rgb="FF1155CC"/>
        <u/>
      </rPr>
      <t>Michael Michai Kitbunchu</t>
    </r>
  </si>
  <si>
    <r>
      <rPr>
        <color rgb="FF1155CC"/>
        <u/>
      </rPr>
      <t>Thailand</t>
    </r>
  </si>
  <si>
    <r>
      <rPr>
        <color rgb="FF1155CC"/>
        <u/>
      </rPr>
      <t>Archbishop of Bangkok</t>
    </r>
  </si>
  <si>
    <t>Thai</t>
  </si>
  <si>
    <r>
      <rPr>
        <color rgb="FF1155CC"/>
        <u/>
      </rPr>
      <t>Godfried Danneels</t>
    </r>
  </si>
  <si>
    <r>
      <rPr>
        <color rgb="FF1155CC"/>
        <u/>
      </rPr>
      <t>Belgium</t>
    </r>
  </si>
  <si>
    <r>
      <rPr>
        <color rgb="FF1155CC"/>
        <u/>
      </rPr>
      <t>Archbishop of Mechelen–Brussels</t>
    </r>
  </si>
  <si>
    <r>
      <rPr>
        <color rgb="FF1155CC"/>
        <u/>
      </rPr>
      <t>Thomas Stafford Williams</t>
    </r>
  </si>
  <si>
    <r>
      <rPr>
        <color rgb="FF1155CC"/>
        <u/>
      </rPr>
      <t>New Zealand</t>
    </r>
  </si>
  <si>
    <r>
      <rPr>
        <color rgb="FF1155CC"/>
        <u/>
      </rPr>
      <t>Archbishop emeritus of Wellington</t>
    </r>
  </si>
  <si>
    <r>
      <rPr>
        <color rgb="FF1155CC"/>
        <u/>
      </rPr>
      <t>Carlo Maria Martini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</si>
  <si>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</si>
  <si>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Archbishop emeritus of Milan</t>
    </r>
  </si>
  <si>
    <r>
      <rPr>
        <color rgb="FF1155CC"/>
        <u/>
      </rPr>
      <t>Jean-Marie Lustiger</t>
    </r>
  </si>
  <si>
    <r>
      <rPr>
        <color rgb="FF1155CC"/>
        <u/>
      </rPr>
      <t>France</t>
    </r>
  </si>
  <si>
    <r>
      <rPr>
        <color rgb="FF1155CC"/>
        <u/>
      </rPr>
      <t>Archbishop emeritus of Paris</t>
    </r>
  </si>
  <si>
    <r>
      <rPr>
        <color rgb="FF1155CC"/>
        <u/>
      </rPr>
      <t>Józef Glemp</t>
    </r>
  </si>
  <si>
    <r>
      <rPr>
        <color rgb="FF1155CC"/>
        <u/>
      </rPr>
      <t>Poland</t>
    </r>
  </si>
  <si>
    <r>
      <rPr>
        <color rgb="FF1155CC"/>
        <u/>
      </rPr>
      <t>Archbishop of Warsaw</t>
    </r>
  </si>
  <si>
    <r>
      <rPr>
        <color rgb="FF1155CC"/>
        <u/>
      </rPr>
      <t>Joachim Meisner</t>
    </r>
  </si>
  <si>
    <r>
      <rPr>
        <color rgb="FF1155CC"/>
        <u/>
      </rPr>
      <t>Germany</t>
    </r>
  </si>
  <si>
    <r>
      <rPr>
        <color rgb="FF1155CC"/>
        <u/>
      </rPr>
      <t>Archbishop of Cologne</t>
    </r>
  </si>
  <si>
    <r>
      <rPr>
        <color rgb="FF1155CC"/>
        <u/>
      </rPr>
      <t>Francis Arinze</t>
    </r>
  </si>
  <si>
    <r>
      <rPr>
        <color rgb="FF1155CC"/>
        <u/>
      </rPr>
      <t>Nigeria</t>
    </r>
  </si>
  <si>
    <r>
      <t xml:space="preserve">Prefect of the </t>
    </r>
    <r>
      <rPr>
        <color rgb="FF1155CC"/>
        <u/>
      </rPr>
      <t>Congregation for Divine Worship and the Discipline of the Sacraments</t>
    </r>
  </si>
  <si>
    <t>Igbo</t>
  </si>
  <si>
    <r>
      <rPr>
        <color rgb="FF1155CC"/>
        <u/>
      </rPr>
      <t>Miguel Obando Bravo</t>
    </r>
    <r>
      <rPr/>
      <t xml:space="preserve"> </t>
    </r>
  </si>
  <si>
    <r>
      <rPr>
        <color rgb="FF1155CC"/>
        <u/>
      </rPr>
      <t>Nicaragua</t>
    </r>
  </si>
  <si>
    <r>
      <rPr>
        <color rgb="FF1155CC"/>
        <u/>
      </rPr>
      <t>Archbishop emeritus of Managua</t>
    </r>
  </si>
  <si>
    <r>
      <rPr>
        <color rgb="FF1155CC"/>
        <u/>
      </rPr>
      <t>Ricardo Jamin Vidal</t>
    </r>
  </si>
  <si>
    <r>
      <rPr>
        <color rgb="FF1155CC"/>
        <u/>
      </rPr>
      <t>Philippines</t>
    </r>
  </si>
  <si>
    <r>
      <rPr>
        <color rgb="FF1155CC"/>
        <u/>
      </rPr>
      <t>Archbishop of Cebu</t>
    </r>
  </si>
  <si>
    <t>Cebuano</t>
  </si>
  <si>
    <r>
      <rPr>
        <color rgb="FF1155CC"/>
        <u/>
      </rPr>
      <t>Paul Poupard</t>
    </r>
  </si>
  <si>
    <r>
      <rPr>
        <color rgb="FF1155CC"/>
        <u/>
      </rPr>
      <t>France</t>
    </r>
  </si>
  <si>
    <r>
      <t xml:space="preserve">President of the </t>
    </r>
    <r>
      <rPr>
        <color rgb="FF1155CC"/>
        <u/>
      </rPr>
      <t>Pontifical Council for Culture</t>
    </r>
  </si>
  <si>
    <r>
      <rPr>
        <color rgb="FF1155CC"/>
        <u/>
      </rPr>
      <t>Friedrich Wetter</t>
    </r>
  </si>
  <si>
    <r>
      <rPr>
        <color rgb="FF1155CC"/>
        <u/>
      </rPr>
      <t>Germany</t>
    </r>
  </si>
  <si>
    <r>
      <rPr>
        <color rgb="FF1155CC"/>
        <u/>
      </rPr>
      <t>Archbishop of Munich and Freising</t>
    </r>
  </si>
  <si>
    <r>
      <rPr>
        <color rgb="FF1155CC"/>
        <u/>
      </rPr>
      <t>Adrianus Johannes Simonis</t>
    </r>
  </si>
  <si>
    <r>
      <rPr>
        <color rgb="FF1155CC"/>
        <u/>
      </rPr>
      <t>Netherlands</t>
    </r>
  </si>
  <si>
    <r>
      <rPr>
        <color rgb="FF1155CC"/>
        <u/>
      </rPr>
      <t>Archbishop of Utrecht</t>
    </r>
  </si>
  <si>
    <r>
      <rPr>
        <color rgb="FF1155CC"/>
        <u/>
      </rPr>
      <t>Bernard Francis Law</t>
    </r>
  </si>
  <si>
    <r>
      <rPr>
        <color rgb="FF1155CC"/>
        <u/>
      </rPr>
      <t>United States</t>
    </r>
  </si>
  <si>
    <r>
      <t xml:space="preserve">Archpriest of the </t>
    </r>
    <r>
      <rPr>
        <color rgb="FF1155CC"/>
        <u/>
      </rPr>
      <t>Papal Basilica of Saint Mary Major</t>
    </r>
  </si>
  <si>
    <r>
      <rPr>
        <color rgb="FF1155CC"/>
        <u/>
      </rPr>
      <t>Giacomo Biffi</t>
    </r>
  </si>
  <si>
    <r>
      <rPr>
        <color rgb="FF1155CC"/>
        <u/>
      </rPr>
      <t>Italy</t>
    </r>
  </si>
  <si>
    <r>
      <rPr>
        <color rgb="FF1155CC"/>
        <u/>
      </rPr>
      <t>Archbishop emeritus of Bologna</t>
    </r>
  </si>
  <si>
    <r>
      <rPr>
        <color rgb="FF1155CC"/>
        <u/>
      </rPr>
      <t>Eduardo Martínez Somalo</t>
    </r>
  </si>
  <si>
    <r>
      <rPr>
        <color rgb="FF1155CC"/>
        <u/>
      </rPr>
      <t>Spain</t>
    </r>
  </si>
  <si>
    <r>
      <t xml:space="preserve">Prefect emeritus of the </t>
    </r>
    <r>
      <rPr>
        <color rgb="FF1155CC"/>
        <u/>
      </rPr>
      <t>Congregation for Institutes of Consecrated Life and Societies of Apostolic Life</t>
    </r>
    <r>
      <rPr/>
      <t xml:space="preserve"> and </t>
    </r>
    <r>
      <rPr>
        <color rgb="FF1155CC"/>
        <u/>
      </rPr>
      <t>Camerlengo of the Holy Roman Church</t>
    </r>
  </si>
  <si>
    <r>
      <rPr>
        <color rgb="FF1155CC"/>
        <u/>
      </rPr>
      <t>José Freire Falcão</t>
    </r>
  </si>
  <si>
    <r>
      <rPr>
        <color rgb="FF1155CC"/>
        <u/>
      </rPr>
      <t>Brazil</t>
    </r>
  </si>
  <si>
    <r>
      <rPr>
        <color rgb="FF1155CC"/>
        <u/>
      </rPr>
      <t>Archbishop emeritus of Brasília</t>
    </r>
  </si>
  <si>
    <r>
      <rPr>
        <color rgb="FF1155CC"/>
        <u/>
      </rPr>
      <t>Michele Giordano</t>
    </r>
  </si>
  <si>
    <r>
      <rPr>
        <color rgb="FF1155CC"/>
        <u/>
      </rPr>
      <t>Italy</t>
    </r>
  </si>
  <si>
    <r>
      <rPr>
        <color rgb="FF1155CC"/>
        <u/>
      </rPr>
      <t>Archbishop of Naples</t>
    </r>
  </si>
  <si>
    <r>
      <rPr>
        <color rgb="FF1155CC"/>
        <u/>
      </rPr>
      <t>Edmund Casimir Szoka</t>
    </r>
  </si>
  <si>
    <r>
      <rPr>
        <color rgb="FF1155CC"/>
        <u/>
      </rPr>
      <t>United States</t>
    </r>
  </si>
  <si>
    <r>
      <t xml:space="preserve">President of the </t>
    </r>
    <r>
      <rPr>
        <color rgb="FF1155CC"/>
        <u/>
      </rPr>
      <t>Pontifical Commission for Vatican City State</t>
    </r>
  </si>
  <si>
    <r>
      <rPr>
        <color rgb="FF1155CC"/>
        <u/>
      </rPr>
      <t>László Paskai</t>
    </r>
    <r>
      <rPr/>
      <t xml:space="preserve"> </t>
    </r>
  </si>
  <si>
    <r>
      <rPr>
        <color rgb="FF1155CC"/>
        <u/>
      </rPr>
      <t>Hungary</t>
    </r>
  </si>
  <si>
    <r>
      <rPr>
        <color rgb="FF1155CC"/>
        <u/>
      </rPr>
      <t>Archbishop emeritus of Esztergom–Budapest</t>
    </r>
  </si>
  <si>
    <r>
      <rPr>
        <color rgb="FF1155CC"/>
        <u/>
      </rPr>
      <t>Christian Wiyghan Tumi</t>
    </r>
  </si>
  <si>
    <r>
      <rPr>
        <color rgb="FF1155CC"/>
        <u/>
      </rPr>
      <t>Cameroon</t>
    </r>
  </si>
  <si>
    <r>
      <rPr>
        <color rgb="FF1155CC"/>
        <u/>
      </rPr>
      <t>Archbishop of Douala</t>
    </r>
  </si>
  <si>
    <r>
      <rPr>
        <color rgb="FF1155CC"/>
        <u/>
      </rPr>
      <t>Frédéric Etsou-Nzabi-Bamungwabi</t>
    </r>
    <r>
      <rPr/>
      <t xml:space="preserve"> </t>
    </r>
    <r>
      <rPr>
        <color rgb="FF1155CC"/>
        <u/>
      </rPr>
      <t>CICM</t>
    </r>
  </si>
  <si>
    <r>
      <rPr>
        <color rgb="FF1155CC"/>
        <u/>
      </rPr>
      <t>Democratic Republic of the Congo</t>
    </r>
  </si>
  <si>
    <r>
      <rPr>
        <color rgb="FF1155CC"/>
        <u/>
      </rPr>
      <t>Archbishop of Kinshasa</t>
    </r>
  </si>
  <si>
    <r>
      <rPr>
        <color rgb="FF1155CC"/>
        <u/>
      </rPr>
      <t>Nicolás de Jesús López Rodríguez</t>
    </r>
  </si>
  <si>
    <r>
      <rPr>
        <color rgb="FF1155CC"/>
        <u/>
      </rPr>
      <t>Dominican Republic</t>
    </r>
  </si>
  <si>
    <r>
      <rPr>
        <color rgb="FF1155CC"/>
        <u/>
      </rPr>
      <t>Archbishop of Santo Domingo</t>
    </r>
  </si>
  <si>
    <r>
      <rPr>
        <color rgb="FF1155CC"/>
        <u/>
      </rPr>
      <t>Roger Michael Mahony</t>
    </r>
  </si>
  <si>
    <r>
      <rPr>
        <color rgb="FF1155CC"/>
        <u/>
      </rPr>
      <t>United States</t>
    </r>
  </si>
  <si>
    <r>
      <rPr>
        <color rgb="FF1155CC"/>
        <u/>
      </rPr>
      <t>Archbishop of Los Angeles</t>
    </r>
  </si>
  <si>
    <r>
      <rPr>
        <color rgb="FF1155CC"/>
        <u/>
      </rPr>
      <t>Camillo Ruini</t>
    </r>
  </si>
  <si>
    <r>
      <rPr>
        <color rgb="FF1155CC"/>
        <u/>
      </rPr>
      <t>Italy</t>
    </r>
  </si>
  <si>
    <r>
      <rPr>
        <color rgb="FF1155CC"/>
        <u/>
      </rPr>
      <t>Vicar General for Rome</t>
    </r>
    <r>
      <rPr/>
      <t xml:space="preserve"> and Archpriest of the </t>
    </r>
    <r>
      <rPr>
        <color rgb="FF1155CC"/>
        <u/>
      </rPr>
      <t>Papal Basilica of Saint John Lateran</t>
    </r>
  </si>
  <si>
    <r>
      <rPr>
        <color rgb="FF1155CC"/>
        <u/>
      </rPr>
      <t>Henri Schwery</t>
    </r>
  </si>
  <si>
    <r>
      <rPr>
        <color rgb="FF1155CC"/>
        <u/>
      </rPr>
      <t>Switzerland</t>
    </r>
  </si>
  <si>
    <r>
      <rPr>
        <color rgb="FF1155CC"/>
        <u/>
      </rPr>
      <t>Bishop emeritus of Sion</t>
    </r>
  </si>
  <si>
    <r>
      <rPr>
        <color rgb="FF1155CC"/>
        <u/>
      </rPr>
      <t>Georg Maximilian Sterzinsky</t>
    </r>
  </si>
  <si>
    <r>
      <rPr>
        <color rgb="FF1155CC"/>
        <u/>
      </rPr>
      <t>Germany</t>
    </r>
  </si>
  <si>
    <r>
      <rPr>
        <color rgb="FF1155CC"/>
        <u/>
      </rPr>
      <t>Archbishop of Berlin</t>
    </r>
  </si>
  <si>
    <r>
      <rPr>
        <color rgb="FF1155CC"/>
        <u/>
      </rPr>
      <t>Miloslav Vlk</t>
    </r>
  </si>
  <si>
    <r>
      <rPr>
        <color rgb="FF1155CC"/>
        <u/>
      </rPr>
      <t>Czech Republic</t>
    </r>
  </si>
  <si>
    <r>
      <rPr>
        <color rgb="FF1155CC"/>
        <u/>
      </rPr>
      <t>Archbishop of Prague</t>
    </r>
  </si>
  <si>
    <r>
      <rPr>
        <color rgb="FF1155CC"/>
        <u/>
      </rPr>
      <t>Peter Seiichi Shirayanagi</t>
    </r>
  </si>
  <si>
    <r>
      <rPr>
        <color rgb="FF1155CC"/>
        <u/>
      </rPr>
      <t>Japan</t>
    </r>
  </si>
  <si>
    <r>
      <rPr>
        <color rgb="FF1155CC"/>
        <u/>
      </rPr>
      <t>Archbishop emeritus of Tokyo</t>
    </r>
  </si>
  <si>
    <t>Japanese</t>
  </si>
  <si>
    <r>
      <rPr>
        <color rgb="FF1155CC"/>
        <u/>
      </rPr>
      <t>Julius Darmaatmadja</t>
    </r>
    <r>
      <rPr/>
      <t xml:space="preserve"> </t>
    </r>
  </si>
  <si>
    <r>
      <rPr>
        <color rgb="FF1155CC"/>
        <u/>
      </rPr>
      <t>Indonesia</t>
    </r>
  </si>
  <si>
    <r>
      <rPr>
        <color rgb="FF1155CC"/>
        <u/>
      </rPr>
      <t>Archbishop of Jakarta</t>
    </r>
  </si>
  <si>
    <t>Javanese</t>
  </si>
  <si>
    <r>
      <rPr>
        <color rgb="FF1155CC"/>
        <u/>
      </rPr>
      <t>Jaime Lucas Ortega y Alamino</t>
    </r>
  </si>
  <si>
    <r>
      <rPr>
        <color rgb="FF1155CC"/>
        <u/>
      </rPr>
      <t>Cuba</t>
    </r>
  </si>
  <si>
    <r>
      <rPr>
        <color rgb="FF1155CC"/>
        <u/>
      </rPr>
      <t>Archbishop of San Cristóbal de la Habana</t>
    </r>
  </si>
  <si>
    <r>
      <rPr>
        <color rgb="FF1155CC"/>
        <u/>
      </rPr>
      <t>Emmanuel Wamala</t>
    </r>
  </si>
  <si>
    <r>
      <rPr>
        <color rgb="FF1155CC"/>
        <u/>
      </rPr>
      <t>Uganda</t>
    </r>
  </si>
  <si>
    <r>
      <rPr>
        <color rgb="FF1155CC"/>
        <u/>
      </rPr>
      <t>Archbishop of Kampala</t>
    </r>
  </si>
  <si>
    <t>Luganda</t>
  </si>
  <si>
    <r>
      <rPr>
        <color rgb="FF1155CC"/>
        <u/>
      </rPr>
      <t>William Henry Keeler</t>
    </r>
  </si>
  <si>
    <r>
      <rPr>
        <color rgb="FF1155CC"/>
        <u/>
      </rPr>
      <t>United States</t>
    </r>
  </si>
  <si>
    <r>
      <rPr>
        <color rgb="FF1155CC"/>
        <u/>
      </rPr>
      <t>Archbishop of Baltimore</t>
    </r>
  </si>
  <si>
    <r>
      <rPr>
        <color rgb="FF1155CC"/>
        <u/>
      </rPr>
      <t>Jean-Claude Turcotte</t>
    </r>
  </si>
  <si>
    <r>
      <rPr>
        <color rgb="FF1155CC"/>
        <u/>
      </rPr>
      <t>Canada</t>
    </r>
  </si>
  <si>
    <r>
      <rPr>
        <color rgb="FF1155CC"/>
        <u/>
      </rPr>
      <t>Archbishop of Montreal</t>
    </r>
  </si>
  <si>
    <r>
      <rPr>
        <color rgb="FF1155CC"/>
        <u/>
      </rPr>
      <t>Ricardo María Carles Gordó</t>
    </r>
  </si>
  <si>
    <r>
      <rPr>
        <color rgb="FF1155CC"/>
        <u/>
      </rPr>
      <t>Spain</t>
    </r>
  </si>
  <si>
    <r>
      <rPr>
        <color rgb="FF1155CC"/>
        <u/>
      </rPr>
      <t>Archbishop emeritus of Barcelona</t>
    </r>
  </si>
  <si>
    <r>
      <rPr>
        <color rgb="FF1155CC"/>
        <u/>
      </rPr>
      <t>Adam Joseph Maida</t>
    </r>
  </si>
  <si>
    <r>
      <rPr>
        <color rgb="FF1155CC"/>
        <u/>
      </rPr>
      <t>United States</t>
    </r>
  </si>
  <si>
    <r>
      <rPr>
        <color rgb="FF1155CC"/>
        <u/>
      </rPr>
      <t>Archbishop of Detroit</t>
    </r>
  </si>
  <si>
    <r>
      <rPr>
        <color rgb="FF1155CC"/>
        <u/>
      </rPr>
      <t>Vinko Puljić</t>
    </r>
  </si>
  <si>
    <r>
      <rPr>
        <color rgb="FF1155CC"/>
        <u/>
      </rPr>
      <t>Bosnia and Herzegovina</t>
    </r>
  </si>
  <si>
    <r>
      <rPr>
        <color rgb="FF1155CC"/>
        <u/>
      </rPr>
      <t>Archbishop of Vrhbosna</t>
    </r>
  </si>
  <si>
    <r>
      <rPr>
        <color rgb="FF1155CC"/>
        <u/>
      </rPr>
      <t>Armand Gaetan Razafindratandra</t>
    </r>
  </si>
  <si>
    <r>
      <rPr>
        <color rgb="FF1155CC"/>
        <u/>
      </rPr>
      <t>Madagascar</t>
    </r>
  </si>
  <si>
    <r>
      <rPr>
        <color rgb="FF1155CC"/>
        <u/>
      </rPr>
      <t>Archbishop of Antananarivo</t>
    </r>
  </si>
  <si>
    <t>Malagasy</t>
  </si>
  <si>
    <r>
      <rPr>
        <color rgb="FF1155CC"/>
        <u/>
      </rPr>
      <t>Juan Sandoval Íñiguez</t>
    </r>
  </si>
  <si>
    <r>
      <rPr>
        <color rgb="FF1155CC"/>
        <u/>
      </rPr>
      <t>Mexico</t>
    </r>
  </si>
  <si>
    <r>
      <rPr>
        <color rgb="FF1155CC"/>
        <u/>
      </rPr>
      <t>Archbishop of Guadalajara</t>
    </r>
  </si>
  <si>
    <r>
      <rPr>
        <color rgb="FF1155CC"/>
        <u/>
      </rPr>
      <t>Salvatore De Giorgi</t>
    </r>
  </si>
  <si>
    <r>
      <rPr>
        <color rgb="FF1155CC"/>
        <u/>
      </rPr>
      <t>Italy</t>
    </r>
  </si>
  <si>
    <r>
      <rPr>
        <color rgb="FF1155CC"/>
        <u/>
      </rPr>
      <t>Archbishop of Palermo</t>
    </r>
  </si>
  <si>
    <r>
      <rPr>
        <color rgb="FF1155CC"/>
        <u/>
      </rPr>
      <t>Antonio María Rouco Varela</t>
    </r>
  </si>
  <si>
    <r>
      <rPr>
        <color rgb="FF1155CC"/>
        <u/>
      </rPr>
      <t>Spain</t>
    </r>
  </si>
  <si>
    <r>
      <rPr>
        <color rgb="FF1155CC"/>
        <u/>
      </rPr>
      <t>Archbishop of Madrid</t>
    </r>
  </si>
  <si>
    <r>
      <rPr>
        <color rgb="FF1155CC"/>
        <u/>
      </rPr>
      <t>Aloysius Matthew Ambrozic</t>
    </r>
  </si>
  <si>
    <r>
      <rPr>
        <color rgb="FF1155CC"/>
        <u/>
      </rPr>
      <t>Canada</t>
    </r>
  </si>
  <si>
    <r>
      <rPr>
        <color rgb="FF1155CC"/>
        <u/>
      </rPr>
      <t>Archbishop of Toronto</t>
    </r>
  </si>
  <si>
    <t>Slovenian</t>
  </si>
  <si>
    <r>
      <rPr>
        <color rgb="FF1155CC"/>
        <u/>
      </rPr>
      <t>Dionigi Tettamanzi</t>
    </r>
  </si>
  <si>
    <r>
      <rPr>
        <color rgb="FF1155CC"/>
        <u/>
      </rPr>
      <t>Italy</t>
    </r>
  </si>
  <si>
    <r>
      <rPr>
        <color rgb="FF1155CC"/>
        <u/>
      </rPr>
      <t>Archbishop of Milan</t>
    </r>
  </si>
  <si>
    <r>
      <rPr>
        <color rgb="FF1155CC"/>
        <u/>
      </rPr>
      <t>Polycarp Pengo</t>
    </r>
  </si>
  <si>
    <r>
      <rPr>
        <color rgb="FF1155CC"/>
        <u/>
      </rPr>
      <t>Tanzania</t>
    </r>
  </si>
  <si>
    <r>
      <rPr>
        <color rgb="FF1155CC"/>
        <u/>
      </rPr>
      <t>Archbishop of Dar-es-Salaam</t>
    </r>
  </si>
  <si>
    <r>
      <rPr>
        <color rgb="FF1155CC"/>
        <u/>
      </rPr>
      <t>Christoph Schönborn</t>
    </r>
    <r>
      <rPr/>
      <t xml:space="preserve"> </t>
    </r>
  </si>
  <si>
    <r>
      <rPr>
        <color rgb="FF1155CC"/>
        <u/>
      </rPr>
      <t>Austria</t>
    </r>
  </si>
  <si>
    <r>
      <rPr>
        <color rgb="FF1155CC"/>
        <u/>
      </rPr>
      <t>Archbishop of Vienna</t>
    </r>
  </si>
  <si>
    <r>
      <rPr>
        <color rgb="FF1155CC"/>
        <u/>
      </rPr>
      <t>Norberto Rivera Carrera</t>
    </r>
  </si>
  <si>
    <r>
      <rPr>
        <color rgb="FF1155CC"/>
        <u/>
      </rPr>
      <t>Mexico</t>
    </r>
  </si>
  <si>
    <r>
      <rPr>
        <color rgb="FF1155CC"/>
        <u/>
      </rPr>
      <t>Archbishop of Mexico</t>
    </r>
  </si>
  <si>
    <r>
      <rPr>
        <color rgb="FF1155CC"/>
        <u/>
      </rPr>
      <t>Francis Eugene George</t>
    </r>
    <r>
      <rPr/>
      <t xml:space="preserve"> </t>
    </r>
  </si>
  <si>
    <r>
      <rPr>
        <color rgb="FF1155CC"/>
        <u/>
      </rPr>
      <t>United States</t>
    </r>
  </si>
  <si>
    <r>
      <rPr>
        <color rgb="FF1155CC"/>
        <u/>
      </rPr>
      <t>Archbishop of Chicago</t>
    </r>
  </si>
  <si>
    <r>
      <rPr>
        <color rgb="FF1155CC"/>
        <u/>
      </rPr>
      <t>Marian Jaworski</t>
    </r>
  </si>
  <si>
    <r>
      <rPr>
        <color rgb="FF1155CC"/>
        <u/>
      </rPr>
      <t>Poland</t>
    </r>
    <r>
      <rPr/>
      <t/>
    </r>
    <r>
      <rPr>
        <color rgb="FF1155CC"/>
        <u/>
      </rPr>
      <t>[</t>
    </r>
    <r>
      <rPr>
        <color rgb="FF1155CC"/>
        <u/>
      </rPr>
      <t>a</t>
    </r>
    <r>
      <rPr/>
      <t>]</t>
    </r>
  </si>
  <si>
    <r>
      <rPr>
        <color rgb="FF1155CC"/>
        <u/>
      </rPr>
      <t>Archbishop of Lviv</t>
    </r>
  </si>
  <si>
    <r>
      <rPr>
        <color rgb="FF1155CC"/>
        <u/>
      </rPr>
      <t>Jānis Pujats</t>
    </r>
  </si>
  <si>
    <r>
      <rPr>
        <color rgb="FF1155CC"/>
        <u/>
      </rPr>
      <t>Latvia</t>
    </r>
  </si>
  <si>
    <r>
      <rPr>
        <color rgb="FF1155CC"/>
        <u/>
      </rPr>
      <t>Archbishop of Riga</t>
    </r>
  </si>
  <si>
    <t>Latvian</t>
  </si>
  <si>
    <r>
      <rPr>
        <color rgb="FF1155CC"/>
        <u/>
      </rPr>
      <t>Ivan Dias</t>
    </r>
  </si>
  <si>
    <r>
      <rPr>
        <color rgb="FF1155CC"/>
        <u/>
      </rPr>
      <t>India</t>
    </r>
  </si>
  <si>
    <r>
      <rPr>
        <color rgb="FF1155CC"/>
        <u/>
      </rPr>
      <t>Archbishop of Bombay</t>
    </r>
  </si>
  <si>
    <r>
      <rPr>
        <color rgb="FF1155CC"/>
        <u/>
      </rPr>
      <t>Geraldo Majella Agnelo</t>
    </r>
  </si>
  <si>
    <r>
      <rPr>
        <color rgb="FF1155CC"/>
        <u/>
      </rPr>
      <t>Brazil</t>
    </r>
  </si>
  <si>
    <r>
      <rPr>
        <color rgb="FF1155CC"/>
        <u/>
      </rPr>
      <t>Archbishop of São Salvador da Bahia</t>
    </r>
  </si>
  <si>
    <r>
      <rPr>
        <color rgb="FF1155CC"/>
        <u/>
      </rPr>
      <t>Pedro Rubiano Sáenz</t>
    </r>
  </si>
  <si>
    <r>
      <rPr>
        <color rgb="FF1155CC"/>
        <u/>
      </rPr>
      <t>Colombia</t>
    </r>
  </si>
  <si>
    <r>
      <rPr>
        <color rgb="FF1155CC"/>
        <u/>
      </rPr>
      <t>Archbishop of Bogotá</t>
    </r>
  </si>
  <si>
    <r>
      <rPr>
        <color rgb="FF1155CC"/>
        <u/>
      </rPr>
      <t>Theodore Edgar McCarrick</t>
    </r>
  </si>
  <si>
    <r>
      <rPr>
        <color rgb="FF1155CC"/>
        <u/>
      </rPr>
      <t>United States</t>
    </r>
  </si>
  <si>
    <r>
      <rPr>
        <color rgb="FF1155CC"/>
        <u/>
      </rPr>
      <t>Archbishop of Washington</t>
    </r>
  </si>
  <si>
    <r>
      <rPr>
        <color rgb="FF1155CC"/>
        <u/>
      </rPr>
      <t>Desmond Connell</t>
    </r>
  </si>
  <si>
    <r>
      <rPr>
        <color rgb="FF1155CC"/>
        <u/>
      </rPr>
      <t>Ireland</t>
    </r>
  </si>
  <si>
    <r>
      <rPr>
        <color rgb="FF1155CC"/>
        <u/>
      </rPr>
      <t>Archbishop emeritus of Dublin</t>
    </r>
  </si>
  <si>
    <r>
      <rPr>
        <color rgb="FF1155CC"/>
        <u/>
      </rPr>
      <t>Audrys Juozas Bačkis</t>
    </r>
  </si>
  <si>
    <r>
      <rPr>
        <color rgb="FF1155CC"/>
        <u/>
      </rPr>
      <t>Lithuania</t>
    </r>
  </si>
  <si>
    <r>
      <rPr>
        <color rgb="FF1155CC"/>
        <u/>
      </rPr>
      <t>Archbishop of Vilnius</t>
    </r>
  </si>
  <si>
    <r>
      <rPr>
        <color rgb="FF1155CC"/>
        <u/>
      </rPr>
      <t>Francisco Javier Errázuriz Ossa</t>
    </r>
    <r>
      <rPr/>
      <t xml:space="preserve"> </t>
    </r>
  </si>
  <si>
    <r>
      <rPr>
        <color rgb="FF1155CC"/>
        <u/>
      </rPr>
      <t>Chile</t>
    </r>
  </si>
  <si>
    <r>
      <rPr>
        <color rgb="FF1155CC"/>
        <u/>
      </rPr>
      <t>Archbishop of Santiago de Chile</t>
    </r>
  </si>
  <si>
    <r>
      <rPr>
        <color rgb="FF1155CC"/>
        <u/>
      </rPr>
      <t>Julio Terrazas Sandoval</t>
    </r>
    <r>
      <rPr/>
      <t xml:space="preserve"> </t>
    </r>
  </si>
  <si>
    <r>
      <rPr>
        <color rgb="FF1155CC"/>
        <u/>
      </rPr>
      <t>Bolivia</t>
    </r>
  </si>
  <si>
    <r>
      <rPr>
        <color rgb="FF1155CC"/>
        <u/>
      </rPr>
      <t>Archbishop of Santa Cruz de la Sierra</t>
    </r>
  </si>
  <si>
    <r>
      <rPr>
        <color rgb="FF1155CC"/>
        <u/>
      </rPr>
      <t>Wilfrid Fox Napier</t>
    </r>
    <r>
      <rPr/>
      <t xml:space="preserve"> </t>
    </r>
  </si>
  <si>
    <r>
      <rPr>
        <color rgb="FF1155CC"/>
        <u/>
      </rPr>
      <t>South Africa</t>
    </r>
  </si>
  <si>
    <r>
      <rPr>
        <color rgb="FF1155CC"/>
        <u/>
      </rPr>
      <t>Archbishop of Durban</t>
    </r>
  </si>
  <si>
    <r>
      <rPr>
        <color rgb="FF1155CC"/>
        <u/>
      </rPr>
      <t>Óscar Andrés Rodríguez Maradiaga</t>
    </r>
    <r>
      <rPr/>
      <t xml:space="preserve"> </t>
    </r>
  </si>
  <si>
    <r>
      <rPr>
        <color rgb="FF1155CC"/>
        <u/>
      </rPr>
      <t>Honduras</t>
    </r>
  </si>
  <si>
    <r>
      <rPr>
        <color rgb="FF1155CC"/>
        <u/>
      </rPr>
      <t>Archbishop of Tegucigalpa</t>
    </r>
  </si>
  <si>
    <r>
      <rPr>
        <color rgb="FF1155CC"/>
        <u/>
      </rPr>
      <t>Bernard Agré</t>
    </r>
  </si>
  <si>
    <r>
      <rPr>
        <color rgb="FF1155CC"/>
        <u/>
      </rPr>
      <t>Ivory Coast</t>
    </r>
  </si>
  <si>
    <r>
      <rPr>
        <color rgb="FF1155CC"/>
        <u/>
      </rPr>
      <t>Archbishop of Abidjan</t>
    </r>
  </si>
  <si>
    <r>
      <rPr>
        <color rgb="FF1155CC"/>
        <u/>
      </rPr>
      <t>Juan Luis Cipriani Thorne</t>
    </r>
  </si>
  <si>
    <r>
      <rPr>
        <color rgb="FF1155CC"/>
        <u/>
      </rPr>
      <t>Peru</t>
    </r>
  </si>
  <si>
    <r>
      <rPr>
        <color rgb="FF1155CC"/>
        <u/>
      </rPr>
      <t>Archbishop of Lima</t>
    </r>
  </si>
  <si>
    <r>
      <rPr>
        <color rgb="FF1155CC"/>
        <u/>
      </rPr>
      <t>Francisco Álvarez Martínez</t>
    </r>
  </si>
  <si>
    <r>
      <rPr>
        <color rgb="FF1155CC"/>
        <u/>
      </rPr>
      <t>Spain</t>
    </r>
  </si>
  <si>
    <r>
      <rPr>
        <color rgb="FF1155CC"/>
        <u/>
      </rPr>
      <t>Archbishop emeritus of Toledo</t>
    </r>
  </si>
  <si>
    <r>
      <rPr>
        <color rgb="FF1155CC"/>
        <u/>
      </rPr>
      <t>Cláudio Hummes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</si>
  <si>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</si>
  <si>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Archbishop of São Paulo</t>
    </r>
  </si>
  <si>
    <r>
      <rPr>
        <color rgb="FF1155CC"/>
        <u/>
      </rPr>
      <t>Varkey Vithayathil</t>
    </r>
    <r>
      <rPr/>
      <t xml:space="preserve"> </t>
    </r>
  </si>
  <si>
    <r>
      <rPr>
        <color rgb="FF1155CC"/>
        <u/>
      </rPr>
      <t>India</t>
    </r>
  </si>
  <si>
    <r>
      <rPr>
        <color rgb="FF1155CC"/>
        <u/>
      </rPr>
      <t>Major Archbishop of Ernakulam–Angamaly</t>
    </r>
    <r>
      <rPr/>
      <t xml:space="preserve">
(</t>
    </r>
    <r>
      <rPr>
        <color rgb="FF1155CC"/>
        <u/>
      </rPr>
      <t>Syro-Malabar Church</t>
    </r>
    <r>
      <rPr/>
      <t>)</t>
    </r>
  </si>
  <si>
    <r>
      <rPr>
        <color rgb="FF1155CC"/>
        <u/>
      </rPr>
      <t>Jorge Mario Bergoglio</t>
    </r>
    <r>
      <rPr/>
      <t xml:space="preserve"> </t>
    </r>
  </si>
  <si>
    <r>
      <rPr>
        <color rgb="FF1155CC"/>
        <u/>
      </rPr>
      <t>Argentina</t>
    </r>
  </si>
  <si>
    <r>
      <rPr>
        <color rgb="FF1155CC"/>
        <u/>
      </rPr>
      <t>Archbishop of Buenos Aires</t>
    </r>
  </si>
  <si>
    <r>
      <rPr>
        <color rgb="FF1155CC"/>
        <u/>
      </rPr>
      <t>José da Cruz Policarpo</t>
    </r>
  </si>
  <si>
    <r>
      <rPr>
        <color rgb="FF1155CC"/>
        <u/>
      </rPr>
      <t>Portugal</t>
    </r>
  </si>
  <si>
    <r>
      <rPr>
        <color rgb="FF1155CC"/>
        <u/>
      </rPr>
      <t>Patriarch of Lisbon</t>
    </r>
  </si>
  <si>
    <r>
      <rPr>
        <color rgb="FF1155CC"/>
        <u/>
      </rPr>
      <t>Severino Poletto</t>
    </r>
  </si>
  <si>
    <r>
      <rPr>
        <color rgb="FF1155CC"/>
        <u/>
      </rPr>
      <t>Italy</t>
    </r>
  </si>
  <si>
    <r>
      <rPr>
        <color rgb="FF1155CC"/>
        <u/>
      </rPr>
      <t>Archbishop of Turin</t>
    </r>
  </si>
  <si>
    <r>
      <rPr>
        <color rgb="FF1155CC"/>
        <u/>
      </rPr>
      <t>Cormac Murphy-O'Connor</t>
    </r>
  </si>
  <si>
    <r>
      <rPr>
        <color rgb="FF1155CC"/>
        <u/>
      </rPr>
      <t>United Kingdom</t>
    </r>
  </si>
  <si>
    <r>
      <rPr>
        <color rgb="FF1155CC"/>
        <u/>
      </rPr>
      <t>Archbishop of Westminster</t>
    </r>
  </si>
  <si>
    <r>
      <rPr>
        <color rgb="FF1155CC"/>
        <u/>
      </rPr>
      <t>Edward Michael Egan</t>
    </r>
  </si>
  <si>
    <r>
      <rPr>
        <color rgb="FF1155CC"/>
        <u/>
      </rPr>
      <t>United States</t>
    </r>
  </si>
  <si>
    <r>
      <rPr>
        <color rgb="FF1155CC"/>
        <u/>
      </rPr>
      <t>Archbishop of New York</t>
    </r>
  </si>
  <si>
    <r>
      <rPr>
        <color rgb="FF1155CC"/>
        <u/>
      </rPr>
      <t>Lubomyr Husar</t>
    </r>
    <r>
      <rPr/>
      <t xml:space="preserve"> </t>
    </r>
  </si>
  <si>
    <r>
      <rPr>
        <color rgb="FF1155CC"/>
        <u/>
      </rPr>
      <t>Ukraine</t>
    </r>
  </si>
  <si>
    <r>
      <rPr>
        <color rgb="FF1155CC"/>
        <u/>
      </rPr>
      <t>Major Archbishop of Kyiv–Galicia</t>
    </r>
    <r>
      <rPr/>
      <t xml:space="preserve">
(</t>
    </r>
    <r>
      <rPr>
        <color rgb="FF1155CC"/>
        <u/>
      </rPr>
      <t>Ukrainian Greek Church</t>
    </r>
    <r>
      <rPr/>
      <t>)</t>
    </r>
  </si>
  <si>
    <t>Ukrainian</t>
  </si>
  <si>
    <r>
      <rPr>
        <color rgb="FF1155CC"/>
        <u/>
      </rPr>
      <t>Karl Lehmann</t>
    </r>
  </si>
  <si>
    <r>
      <rPr>
        <color rgb="FF1155CC"/>
        <u/>
      </rPr>
      <t>Germany</t>
    </r>
  </si>
  <si>
    <r>
      <rPr>
        <color rgb="FF1155CC"/>
        <u/>
      </rPr>
      <t>Bishop of Mainz</t>
    </r>
  </si>
  <si>
    <r>
      <rPr>
        <color rgb="FF1155CC"/>
        <u/>
      </rPr>
      <t>Angelo Scola</t>
    </r>
  </si>
  <si>
    <r>
      <rPr>
        <color rgb="FF1155CC"/>
        <u/>
      </rPr>
      <t>Italy</t>
    </r>
  </si>
  <si>
    <r>
      <rPr>
        <color rgb="FF1155CC"/>
        <u/>
      </rPr>
      <t>Patriarch of Venice</t>
    </r>
  </si>
  <si>
    <r>
      <rPr>
        <color rgb="FF1155CC"/>
        <u/>
      </rPr>
      <t>Anthony Olubunmi Okogie</t>
    </r>
  </si>
  <si>
    <r>
      <rPr>
        <color rgb="FF1155CC"/>
        <u/>
      </rPr>
      <t>Nigeria</t>
    </r>
  </si>
  <si>
    <r>
      <rPr>
        <color rgb="FF1155CC"/>
        <u/>
      </rPr>
      <t>Archbishop of Lagos</t>
    </r>
  </si>
  <si>
    <r>
      <rPr>
        <color rgb="FF1155CC"/>
        <u/>
      </rPr>
      <t>Bernard Panafieu</t>
    </r>
  </si>
  <si>
    <r>
      <rPr>
        <color rgb="FF1155CC"/>
        <u/>
      </rPr>
      <t>France</t>
    </r>
  </si>
  <si>
    <r>
      <rPr>
        <color rgb="FF1155CC"/>
        <u/>
      </rPr>
      <t>Archbishop of Marseille</t>
    </r>
  </si>
  <si>
    <r>
      <rPr>
        <color rgb="FF1155CC"/>
        <u/>
      </rPr>
      <t>Gabriel Zubeir Wako</t>
    </r>
  </si>
  <si>
    <r>
      <rPr>
        <color rgb="FF1155CC"/>
        <u/>
      </rPr>
      <t>Sudan</t>
    </r>
  </si>
  <si>
    <r>
      <rPr>
        <color rgb="FF1155CC"/>
        <u/>
      </rPr>
      <t>Archbishop of Khartoum</t>
    </r>
  </si>
  <si>
    <r>
      <rPr>
        <color rgb="FF1155CC"/>
        <u/>
      </rPr>
      <t>Carlos Amigo Vallejo</t>
    </r>
    <r>
      <rPr/>
      <t xml:space="preserve"> </t>
    </r>
  </si>
  <si>
    <r>
      <rPr>
        <color rgb="FF1155CC"/>
        <u/>
      </rPr>
      <t>Spain</t>
    </r>
  </si>
  <si>
    <r>
      <rPr>
        <color rgb="FF1155CC"/>
        <u/>
      </rPr>
      <t>Archbishop of Seville</t>
    </r>
  </si>
  <si>
    <r>
      <rPr>
        <color rgb="FF1155CC"/>
        <u/>
      </rPr>
      <t>Justin Francis Rigali</t>
    </r>
  </si>
  <si>
    <r>
      <rPr>
        <color rgb="FF1155CC"/>
        <u/>
      </rPr>
      <t>United States</t>
    </r>
  </si>
  <si>
    <r>
      <rPr>
        <color rgb="FF1155CC"/>
        <u/>
      </rPr>
      <t>Archbishop of Philadelphia</t>
    </r>
  </si>
  <si>
    <r>
      <rPr>
        <color rgb="FF1155CC"/>
        <u/>
      </rPr>
      <t>Keith Michael Patrick O'Brien</t>
    </r>
  </si>
  <si>
    <r>
      <rPr>
        <color rgb="FF1155CC"/>
        <u/>
      </rPr>
      <t>United Kingdom</t>
    </r>
  </si>
  <si>
    <r>
      <rPr>
        <color rgb="FF1155CC"/>
        <u/>
      </rPr>
      <t>Archbishop of Saint Andrews and Edinburgh</t>
    </r>
  </si>
  <si>
    <r>
      <rPr>
        <color rgb="FF1155CC"/>
        <u/>
      </rPr>
      <t>Eusébio Oscar Scheid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</si>
  <si>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</si>
  <si>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Archbishop of São Sebastião do Rio de Janeiro</t>
    </r>
  </si>
  <si>
    <r>
      <rPr>
        <color rgb="FF1155CC"/>
        <u/>
      </rPr>
      <t>Ennio Antonelli</t>
    </r>
  </si>
  <si>
    <r>
      <rPr>
        <color rgb="FF1155CC"/>
        <u/>
      </rPr>
      <t>Italy</t>
    </r>
  </si>
  <si>
    <r>
      <rPr>
        <color rgb="FF1155CC"/>
        <u/>
      </rPr>
      <t>Archbishop of Florence</t>
    </r>
  </si>
  <si>
    <r>
      <rPr>
        <color rgb="FF1155CC"/>
        <u/>
      </rPr>
      <t>Tarcisio Bertone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</si>
  <si>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</si>
  <si>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Archbishop of Genoa</t>
    </r>
  </si>
  <si>
    <r>
      <rPr>
        <color rgb="FF1155CC"/>
        <u/>
      </rPr>
      <t>Peter Kodwo Appiah Turkson</t>
    </r>
  </si>
  <si>
    <r>
      <rPr>
        <color rgb="FF1155CC"/>
        <u/>
      </rPr>
      <t>Ghana</t>
    </r>
  </si>
  <si>
    <r>
      <rPr>
        <color rgb="FF1155CC"/>
        <u/>
      </rPr>
      <t>Archbishop of Cape Coast</t>
    </r>
  </si>
  <si>
    <r>
      <rPr>
        <color rgb="FF1155CC"/>
        <u/>
      </rPr>
      <t>Telesphore Placidus Toppo</t>
    </r>
  </si>
  <si>
    <r>
      <rPr>
        <color rgb="FF1155CC"/>
        <u/>
      </rPr>
      <t>India</t>
    </r>
  </si>
  <si>
    <r>
      <rPr>
        <color rgb="FF1155CC"/>
        <u/>
      </rPr>
      <t>Archbishop of Ranchi</t>
    </r>
  </si>
  <si>
    <r>
      <rPr>
        <color rgb="FF1155CC"/>
        <u/>
      </rPr>
      <t>George Pell</t>
    </r>
  </si>
  <si>
    <r>
      <rPr>
        <color rgb="FF1155CC"/>
        <u/>
      </rPr>
      <t>Australia</t>
    </r>
  </si>
  <si>
    <r>
      <rPr>
        <color rgb="FF1155CC"/>
        <u/>
      </rPr>
      <t>Archbishop of Sydney</t>
    </r>
  </si>
  <si>
    <r>
      <rPr>
        <color rgb="FF1155CC"/>
        <u/>
      </rPr>
      <t>Josip Bozanić</t>
    </r>
  </si>
  <si>
    <r>
      <rPr>
        <color rgb="FF1155CC"/>
        <u/>
      </rPr>
      <t>Croatia</t>
    </r>
  </si>
  <si>
    <r>
      <rPr>
        <color rgb="FF1155CC"/>
        <u/>
      </rPr>
      <t>Archbishop of Zagreb</t>
    </r>
  </si>
  <si>
    <r>
      <rPr>
        <color rgb="FF1155CC"/>
        <u/>
      </rPr>
      <t>Jean-Baptiste Phạm Minh Mẫn</t>
    </r>
  </si>
  <si>
    <r>
      <rPr>
        <color rgb="FF1155CC"/>
        <u/>
      </rPr>
      <t>Vietnam</t>
    </r>
  </si>
  <si>
    <r>
      <rPr>
        <color rgb="FF1155CC"/>
        <u/>
      </rPr>
      <t>Archbishop of Ho Chi Minh City</t>
    </r>
  </si>
  <si>
    <r>
      <rPr>
        <color rgb="FF1155CC"/>
        <u/>
      </rPr>
      <t>Rodolfo Quezada Toruño</t>
    </r>
  </si>
  <si>
    <r>
      <rPr>
        <color rgb="FF1155CC"/>
        <u/>
      </rPr>
      <t>Guatemala</t>
    </r>
  </si>
  <si>
    <r>
      <rPr>
        <color rgb="FF1155CC"/>
        <u/>
      </rPr>
      <t>Archbishop of Guatemala</t>
    </r>
  </si>
  <si>
    <r>
      <rPr>
        <color rgb="FF1155CC"/>
        <u/>
      </rPr>
      <t>Philippe Barbarin</t>
    </r>
  </si>
  <si>
    <r>
      <rPr>
        <color rgb="FF1155CC"/>
        <u/>
      </rPr>
      <t>France</t>
    </r>
  </si>
  <si>
    <r>
      <rPr>
        <color rgb="FF1155CC"/>
        <u/>
      </rPr>
      <t>Archbishop of Lyon</t>
    </r>
  </si>
  <si>
    <r>
      <rPr>
        <color rgb="FF1155CC"/>
        <u/>
      </rPr>
      <t>Péter Erdő</t>
    </r>
  </si>
  <si>
    <r>
      <rPr>
        <color rgb="FF1155CC"/>
        <u/>
      </rPr>
      <t>Hungary</t>
    </r>
  </si>
  <si>
    <r>
      <rPr>
        <color rgb="FF1155CC"/>
        <u/>
      </rPr>
      <t>Archbishop of Esztergom–Budapest</t>
    </r>
  </si>
  <si>
    <r>
      <rPr>
        <color rgb="FF1155CC"/>
        <u/>
      </rPr>
      <t>Marc Ouellet</t>
    </r>
    <r>
      <rPr/>
      <t xml:space="preserve"> </t>
    </r>
  </si>
  <si>
    <r>
      <rPr>
        <color rgb="FF1155CC"/>
        <u/>
      </rPr>
      <t>Canada</t>
    </r>
  </si>
  <si>
    <r>
      <rPr>
        <color rgb="FF1155CC"/>
        <u/>
      </rPr>
      <t>Archbishop of Quebec</t>
    </r>
  </si>
  <si>
    <r>
      <rPr>
        <color rgb="FF1155CC"/>
        <u/>
      </rPr>
      <t>Jorge Arturo Medina Estévez</t>
    </r>
  </si>
  <si>
    <r>
      <rPr>
        <color rgb="FF1155CC"/>
        <u/>
      </rPr>
      <t>Chile</t>
    </r>
  </si>
  <si>
    <r>
      <t xml:space="preserve">Prefect emeritus of the </t>
    </r>
    <r>
      <rPr>
        <color rgb="FF1155CC"/>
        <u/>
      </rPr>
      <t>Congregation for Divine Worship and the Discipline of the Sacraments</t>
    </r>
    <r>
      <rPr/>
      <t xml:space="preserve"> (</t>
    </r>
    <r>
      <rPr>
        <color rgb="FF1155CC"/>
        <u/>
      </rPr>
      <t>Protodeacon</t>
    </r>
    <r>
      <rPr/>
      <t>)</t>
    </r>
  </si>
  <si>
    <r>
      <rPr>
        <color rgb="FF1155CC"/>
        <u/>
      </rPr>
      <t>Darío Castrillón Hoyos</t>
    </r>
  </si>
  <si>
    <r>
      <rPr>
        <color rgb="FF1155CC"/>
        <u/>
      </rPr>
      <t>Colombia</t>
    </r>
  </si>
  <si>
    <r>
      <t xml:space="preserve">Prefect of the </t>
    </r>
    <r>
      <rPr>
        <color rgb="FF1155CC"/>
        <u/>
      </rPr>
      <t>Congregation for the Clergy</t>
    </r>
    <r>
      <rPr/>
      <t xml:space="preserve"> and President of the </t>
    </r>
    <r>
      <rPr>
        <color rgb="FF1155CC"/>
        <u/>
      </rPr>
      <t xml:space="preserve">Pontifical Commission </t>
    </r>
    <r>
      <rPr/>
      <t>Ecclesia Dei</t>
    </r>
  </si>
  <si>
    <r>
      <rPr>
        <color rgb="FF1155CC"/>
        <u/>
      </rPr>
      <t>James Francis Stafford</t>
    </r>
  </si>
  <si>
    <r>
      <rPr>
        <color rgb="FF1155CC"/>
        <u/>
      </rPr>
      <t>United States</t>
    </r>
  </si>
  <si>
    <r>
      <rPr>
        <color rgb="FF1155CC"/>
        <u/>
      </rPr>
      <t>Major Penitentiary</t>
    </r>
  </si>
  <si>
    <r>
      <rPr>
        <color rgb="FF1155CC"/>
        <u/>
      </rPr>
      <t>Agostino Cacciavillan</t>
    </r>
  </si>
  <si>
    <r>
      <rPr>
        <color rgb="FF1155CC"/>
        <u/>
      </rPr>
      <t>Italy</t>
    </r>
  </si>
  <si>
    <r>
      <t xml:space="preserve">President emeritus of the </t>
    </r>
    <r>
      <rPr>
        <color rgb="FF1155CC"/>
        <u/>
      </rPr>
      <t>Administration of the Patrimony of the Apostolic See</t>
    </r>
  </si>
  <si>
    <r>
      <rPr>
        <color rgb="FF1155CC"/>
        <u/>
      </rPr>
      <t>Sergio Sebastiani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</si>
  <si>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</si>
  <si>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Prefecture for the Economic Affairs of the Holy See</t>
    </r>
  </si>
  <si>
    <r>
      <rPr>
        <color rgb="FF1155CC"/>
        <u/>
      </rPr>
      <t>Zenon Grocholewski</t>
    </r>
  </si>
  <si>
    <r>
      <rPr>
        <color rgb="FF1155CC"/>
        <u/>
      </rPr>
      <t>Poland</t>
    </r>
  </si>
  <si>
    <r>
      <t xml:space="preserve">Prefect of the </t>
    </r>
    <r>
      <rPr>
        <color rgb="FF1155CC"/>
        <u/>
      </rPr>
      <t>Congregation for Catholic Education</t>
    </r>
  </si>
  <si>
    <r>
      <rPr>
        <color rgb="FF1155CC"/>
        <u/>
      </rPr>
      <t>José Saraiva Martins</t>
    </r>
    <r>
      <rPr/>
      <t xml:space="preserve"> </t>
    </r>
  </si>
  <si>
    <r>
      <rPr>
        <color rgb="FF1155CC"/>
        <u/>
      </rPr>
      <t>Portugal</t>
    </r>
  </si>
  <si>
    <r>
      <t xml:space="preserve">Prefect of the </t>
    </r>
    <r>
      <rPr>
        <color rgb="FF1155CC"/>
        <u/>
      </rPr>
      <t>Congregation for the Causes of Saints</t>
    </r>
  </si>
  <si>
    <r>
      <rPr>
        <color rgb="FF1155CC"/>
        <u/>
      </rPr>
      <t>Crescenzio Sepe</t>
    </r>
  </si>
  <si>
    <r>
      <rPr>
        <color rgb="FF1155CC"/>
        <u/>
      </rPr>
      <t>Italy</t>
    </r>
  </si>
  <si>
    <r>
      <t xml:space="preserve">Prefect of the </t>
    </r>
    <r>
      <rPr>
        <color rgb="FF1155CC"/>
        <u/>
      </rPr>
      <t>Congregation for the Evangelization of Peoples</t>
    </r>
  </si>
  <si>
    <r>
      <rPr>
        <color rgb="FF1155CC"/>
        <u/>
      </rPr>
      <t>Mario Francesco Pompedda</t>
    </r>
  </si>
  <si>
    <r>
      <rPr>
        <color rgb="FF1155CC"/>
        <u/>
      </rPr>
      <t>Italy</t>
    </r>
  </si>
  <si>
    <r>
      <t xml:space="preserve">Prefect emeritus of the </t>
    </r>
    <r>
      <rPr>
        <color rgb="FF1155CC"/>
        <u/>
      </rPr>
      <t>Supreme Tribunal of the Apostolic Signatura</t>
    </r>
  </si>
  <si>
    <r>
      <rPr>
        <color rgb="FF1155CC"/>
        <u/>
      </rPr>
      <t>Walter Kasper</t>
    </r>
  </si>
  <si>
    <r>
      <rPr>
        <color rgb="FF1155CC"/>
        <u/>
      </rPr>
      <t>Germany</t>
    </r>
  </si>
  <si>
    <r>
      <t xml:space="preserve">President of the </t>
    </r>
    <r>
      <rPr>
        <color rgb="FF1155CC"/>
        <u/>
      </rPr>
      <t>Pontifical Council for Promoting Christian Unity</t>
    </r>
  </si>
  <si>
    <r>
      <rPr>
        <color rgb="FF1155CC"/>
        <u/>
      </rPr>
      <t>Jean-Louis Tauran</t>
    </r>
  </si>
  <si>
    <r>
      <rPr>
        <color rgb="FF1155CC"/>
        <u/>
      </rPr>
      <t>France</t>
    </r>
  </si>
  <si>
    <r>
      <rPr>
        <color rgb="FF1155CC"/>
        <u/>
      </rPr>
      <t>Archivist and Librarian of the Holy Roman Church</t>
    </r>
  </si>
  <si>
    <r>
      <rPr>
        <color rgb="FF1155CC"/>
        <u/>
      </rPr>
      <t>Renato Raffaele Martino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</si>
  <si>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</si>
  <si>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Pontifical Council for Justice and Peace</t>
    </r>
  </si>
  <si>
    <r>
      <rPr>
        <color rgb="FF1155CC"/>
        <u/>
      </rPr>
      <t>Francesco Marchisano</t>
    </r>
  </si>
  <si>
    <r>
      <rPr>
        <color rgb="FF1155CC"/>
        <u/>
      </rPr>
      <t>Italy</t>
    </r>
  </si>
  <si>
    <r>
      <t xml:space="preserve">Archpriest of the </t>
    </r>
    <r>
      <rPr>
        <color rgb="FF1155CC"/>
        <u/>
      </rPr>
      <t>Papal Basilica of Saint Peter</t>
    </r>
    <r>
      <rPr/>
      <t xml:space="preserve"> and President of the </t>
    </r>
    <r>
      <rPr>
        <color rgb="FF1155CC"/>
        <u/>
      </rPr>
      <t>Labour Office of the Apostolic See</t>
    </r>
  </si>
  <si>
    <r>
      <rPr>
        <color rgb="FF1155CC"/>
        <u/>
      </rPr>
      <t>Julián Herranz Casado</t>
    </r>
  </si>
  <si>
    <r>
      <rPr>
        <color rgb="FF1155CC"/>
        <u/>
      </rPr>
      <t>Spain</t>
    </r>
  </si>
  <si>
    <r>
      <t xml:space="preserve">President of the </t>
    </r>
    <r>
      <rPr>
        <color rgb="FF1155CC"/>
        <u/>
      </rPr>
      <t>Pontifical Council for Legislative Texts</t>
    </r>
  </si>
  <si>
    <r>
      <rPr>
        <color rgb="FF1155CC"/>
        <u/>
      </rPr>
      <t>Javier Lozano Barragán</t>
    </r>
  </si>
  <si>
    <r>
      <rPr>
        <color rgb="FF1155CC"/>
        <u/>
      </rPr>
      <t>Mexico</t>
    </r>
  </si>
  <si>
    <r>
      <t xml:space="preserve">President of the </t>
    </r>
    <r>
      <rPr>
        <color rgb="FF1155CC"/>
        <u/>
      </rPr>
      <t>Pontifical Council for the Pastoral Care of Health Care Workers</t>
    </r>
  </si>
  <si>
    <r>
      <rPr>
        <color rgb="FF1155CC"/>
        <u/>
      </rPr>
      <t>Stephen Fumio Hamao</t>
    </r>
  </si>
  <si>
    <r>
      <rPr>
        <color rgb="FF1155CC"/>
        <u/>
      </rPr>
      <t>Japan</t>
    </r>
  </si>
  <si>
    <r>
      <t xml:space="preserve">President of the </t>
    </r>
    <r>
      <rPr>
        <color rgb="FF1155CC"/>
        <u/>
      </rPr>
      <t>Pontifical Council for the Pastoral Care of Migrants and Itinerant People</t>
    </r>
  </si>
  <si>
    <r>
      <rPr>
        <color rgb="FF1155CC"/>
        <u/>
      </rPr>
      <t>Attilio Nicora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</si>
  <si>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</si>
  <si>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Administration of the Patrimony of the Apostolic See</t>
    </r>
  </si>
  <si>
    <r>
      <rPr>
        <color rgb="FF1155CC"/>
        <u/>
      </rPr>
      <t>Jean-Marie Villot</t>
    </r>
  </si>
  <si>
    <r>
      <rPr>
        <color rgb="FF1155CC"/>
        <u/>
      </rPr>
      <t>France</t>
    </r>
  </si>
  <si>
    <r>
      <rPr>
        <color rgb="FF1155CC"/>
        <u/>
      </rPr>
      <t>Secretary of State</t>
    </r>
    <r>
      <rPr/>
      <t xml:space="preserve">, </t>
    </r>
    <r>
      <rPr>
        <color rgb="FF1155CC"/>
        <u/>
      </rPr>
      <t>Camerlengo of the Holy Roman Church</t>
    </r>
    <r>
      <rPr/>
      <t xml:space="preserve"> and President of the </t>
    </r>
    <r>
      <rPr>
        <color rgb="FF1155CC"/>
        <u/>
      </rPr>
      <t xml:space="preserve">Pontifical Council </t>
    </r>
    <r>
      <rPr/>
      <t>Cor Unum</t>
    </r>
    <r>
      <rPr>
        <color rgb="FF1155CC"/>
        <u/>
      </rPr>
      <t>[</t>
    </r>
    <r>
      <rPr>
        <color rgb="FF1155CC"/>
        <u/>
      </rPr>
      <t>e</t>
    </r>
    <r>
      <rPr/>
      <t>]</t>
    </r>
  </si>
  <si>
    <r>
      <rPr>
        <color rgb="FF1155CC"/>
        <u/>
      </rPr>
      <t>Antonio Samorè</t>
    </r>
  </si>
  <si>
    <r>
      <rPr>
        <color rgb="FF1155CC"/>
        <u/>
      </rPr>
      <t>Italy</t>
    </r>
  </si>
  <si>
    <r>
      <rPr>
        <color rgb="FF1155CC"/>
        <u/>
      </rPr>
      <t>Archivist and Librarian of the Holy Roman Church</t>
    </r>
  </si>
  <si>
    <r>
      <rPr>
        <color rgb="FF1155CC"/>
        <u/>
      </rPr>
      <t>Francesco Carpino</t>
    </r>
  </si>
  <si>
    <r>
      <rPr>
        <color rgb="FF1155CC"/>
        <u/>
      </rPr>
      <t>Italy</t>
    </r>
  </si>
  <si>
    <r>
      <rPr>
        <color rgb="FF1155CC"/>
        <u/>
      </rPr>
      <t>Archbishop emeritus of Palermo</t>
    </r>
  </si>
  <si>
    <r>
      <rPr>
        <color rgb="FF1155CC"/>
        <u/>
      </rPr>
      <t>Sebastiano Baggio</t>
    </r>
  </si>
  <si>
    <r>
      <rPr>
        <color rgb="FF1155CC"/>
        <u/>
      </rPr>
      <t>Italy</t>
    </r>
  </si>
  <si>
    <r>
      <t xml:space="preserve">Prefect of the </t>
    </r>
    <r>
      <rPr>
        <color rgb="FF1155CC"/>
        <u/>
      </rPr>
      <t>Sacred Congregation for Bishops</t>
    </r>
  </si>
  <si>
    <t>Stéphanos I Sidarouss</t>
  </si>
  <si>
    <r>
      <rPr>
        <color rgb="FF1155CC"/>
        <u/>
      </rPr>
      <t>Egypt</t>
    </r>
  </si>
  <si>
    <r>
      <rPr>
        <color rgb="FF1155CC"/>
        <u/>
      </rPr>
      <t>Patriarch of Alexandria</t>
    </r>
    <r>
      <rPr/>
      <t xml:space="preserve">
(</t>
    </r>
    <r>
      <rPr>
        <color rgb="FF1155CC"/>
        <u/>
      </rPr>
      <t>Coptic Catholic Church</t>
    </r>
    <r>
      <rPr/>
      <t>)</t>
    </r>
  </si>
  <si>
    <r>
      <rPr>
        <color rgb="FF1155CC"/>
        <u/>
      </rPr>
      <t>Giuseppe Siri</t>
    </r>
  </si>
  <si>
    <r>
      <rPr>
        <color rgb="FF1155CC"/>
        <u/>
      </rPr>
      <t>Italy</t>
    </r>
  </si>
  <si>
    <r>
      <rPr>
        <color rgb="FF1155CC"/>
        <u/>
      </rPr>
      <t>Archbishop of Genoa</t>
    </r>
  </si>
  <si>
    <r>
      <rPr>
        <color rgb="FF1155CC"/>
        <u/>
      </rPr>
      <t>Stefan Wyszyński</t>
    </r>
  </si>
  <si>
    <r>
      <rPr>
        <color rgb="FF1155CC"/>
        <u/>
      </rPr>
      <t>Poland</t>
    </r>
  </si>
  <si>
    <r>
      <rPr>
        <color rgb="FF1155CC"/>
        <u/>
      </rPr>
      <t>Archbishop of Gniezno</t>
    </r>
    <r>
      <rPr/>
      <t xml:space="preserve"> and </t>
    </r>
    <r>
      <rPr>
        <color rgb="FF1155CC"/>
        <u/>
      </rPr>
      <t>of Warsaw</t>
    </r>
  </si>
  <si>
    <r>
      <rPr>
        <color rgb="FF1155CC"/>
        <u/>
      </rPr>
      <t>Paul Émile Léger</t>
    </r>
    <r>
      <rPr/>
      <t xml:space="preserve"> </t>
    </r>
  </si>
  <si>
    <r>
      <rPr>
        <color rgb="FF1155CC"/>
        <u/>
      </rPr>
      <t>Canada</t>
    </r>
  </si>
  <si>
    <r>
      <rPr>
        <color rgb="FF1155CC"/>
        <u/>
      </rPr>
      <t>Archbishop emeritus of Montreal</t>
    </r>
  </si>
  <si>
    <r>
      <rPr>
        <color rgb="FF1155CC"/>
        <u/>
      </rPr>
      <t>José María Bueno y Monreal</t>
    </r>
  </si>
  <si>
    <r>
      <rPr>
        <color rgb="FF1155CC"/>
        <u/>
      </rPr>
      <t>Spain</t>
    </r>
  </si>
  <si>
    <r>
      <rPr>
        <color rgb="FF1155CC"/>
        <u/>
      </rPr>
      <t>Archbishop of Seville</t>
    </r>
  </si>
  <si>
    <r>
      <rPr>
        <color rgb="FF1155CC"/>
        <u/>
      </rPr>
      <t>Franz König</t>
    </r>
  </si>
  <si>
    <r>
      <rPr>
        <color rgb="FF1155CC"/>
        <u/>
      </rPr>
      <t>Austria</t>
    </r>
  </si>
  <si>
    <r>
      <rPr>
        <color rgb="FF1155CC"/>
        <u/>
      </rPr>
      <t>Archbishop of Vienna</t>
    </r>
    <r>
      <rPr/>
      <t xml:space="preserve"> and President of the </t>
    </r>
    <r>
      <rPr>
        <color rgb="FF1155CC"/>
        <u/>
      </rPr>
      <t>Secretariat for Non-Believers</t>
    </r>
  </si>
  <si>
    <r>
      <rPr>
        <color rgb="FF1155CC"/>
        <u/>
      </rPr>
      <t>Bernardus Johannes Alfrink</t>
    </r>
  </si>
  <si>
    <r>
      <rPr>
        <color rgb="FF1155CC"/>
        <u/>
      </rPr>
      <t>Netherlands</t>
    </r>
  </si>
  <si>
    <r>
      <rPr>
        <color rgb="FF1155CC"/>
        <u/>
      </rPr>
      <t>Archbishop emeritus of Utrecht</t>
    </r>
  </si>
  <si>
    <r>
      <rPr>
        <color rgb="FF1155CC"/>
        <u/>
      </rPr>
      <t>Laurean Rugambwa</t>
    </r>
  </si>
  <si>
    <r>
      <rPr>
        <color rgb="FF1155CC"/>
        <u/>
      </rPr>
      <t>Tanzania</t>
    </r>
  </si>
  <si>
    <r>
      <rPr>
        <color rgb="FF1155CC"/>
        <u/>
      </rPr>
      <t>Archbishop of Dar-es-Salaam</t>
    </r>
  </si>
  <si>
    <r>
      <rPr>
        <color rgb="FF1155CC"/>
        <u/>
      </rPr>
      <t>José Humberto Quintero Parra</t>
    </r>
  </si>
  <si>
    <r>
      <rPr>
        <color rgb="FF1155CC"/>
        <u/>
      </rPr>
      <t>Venezuela</t>
    </r>
  </si>
  <si>
    <r>
      <rPr>
        <color rgb="FF1155CC"/>
        <u/>
      </rPr>
      <t>Archbishop of Caracas</t>
    </r>
  </si>
  <si>
    <r>
      <rPr>
        <color rgb="FF1155CC"/>
        <u/>
      </rPr>
      <t>Juan Landázuri Ricketts</t>
    </r>
    <r>
      <rPr/>
      <t xml:space="preserve"> </t>
    </r>
  </si>
  <si>
    <r>
      <rPr>
        <color rgb="FF1155CC"/>
        <u/>
      </rPr>
      <t>Peru</t>
    </r>
  </si>
  <si>
    <r>
      <rPr>
        <color rgb="FF1155CC"/>
        <u/>
      </rPr>
      <t>Archbishop of Lima</t>
    </r>
  </si>
  <si>
    <r>
      <rPr>
        <color rgb="FF1155CC"/>
        <u/>
      </rPr>
      <t>Raúl Silva Henríquez</t>
    </r>
    <r>
      <rPr/>
      <t xml:space="preserve"> </t>
    </r>
  </si>
  <si>
    <r>
      <rPr>
        <color rgb="FF1155CC"/>
        <u/>
      </rPr>
      <t>Chile</t>
    </r>
  </si>
  <si>
    <r>
      <rPr>
        <color rgb="FF1155CC"/>
        <u/>
      </rPr>
      <t>Archbishop of Santiago de Chile</t>
    </r>
  </si>
  <si>
    <r>
      <rPr>
        <color rgb="FF1155CC"/>
        <u/>
      </rPr>
      <t>Leo-Jozef Suenens</t>
    </r>
  </si>
  <si>
    <r>
      <rPr>
        <color rgb="FF1155CC"/>
        <u/>
      </rPr>
      <t>Belgium</t>
    </r>
  </si>
  <si>
    <r>
      <rPr>
        <color rgb="FF1155CC"/>
        <u/>
      </rPr>
      <t>Archbishop of Mechelen–Brussels</t>
    </r>
  </si>
  <si>
    <r>
      <rPr>
        <color rgb="FF1155CC"/>
        <u/>
      </rPr>
      <t>Thomas Benjamin Cooray</t>
    </r>
    <r>
      <rPr/>
      <t xml:space="preserve"> </t>
    </r>
  </si>
  <si>
    <r>
      <rPr>
        <color rgb="FF1155CC"/>
        <u/>
      </rPr>
      <t>Sri Lanka</t>
    </r>
  </si>
  <si>
    <r>
      <rPr>
        <color rgb="FF1155CC"/>
        <u/>
      </rPr>
      <t>Archbishop emeritus of Colombo</t>
    </r>
  </si>
  <si>
    <r>
      <rPr>
        <color rgb="FF1155CC"/>
        <u/>
      </rPr>
      <t>Maurice Roy</t>
    </r>
  </si>
  <si>
    <r>
      <rPr>
        <color rgb="FF1155CC"/>
        <u/>
      </rPr>
      <t>Canada</t>
    </r>
  </si>
  <si>
    <r>
      <rPr>
        <color rgb="FF1155CC"/>
        <u/>
      </rPr>
      <t>Archbishop of Quebec</t>
    </r>
  </si>
  <si>
    <r>
      <rPr>
        <color rgb="FF1155CC"/>
        <u/>
      </rPr>
      <t>Owen McCann</t>
    </r>
  </si>
  <si>
    <r>
      <rPr>
        <color rgb="FF1155CC"/>
        <u/>
      </rPr>
      <t>South Africa</t>
    </r>
  </si>
  <si>
    <r>
      <rPr>
        <color rgb="FF1155CC"/>
        <u/>
      </rPr>
      <t>Archbishop of Cape Town</t>
    </r>
  </si>
  <si>
    <r>
      <rPr>
        <color rgb="FF1155CC"/>
        <u/>
      </rPr>
      <t>Léon-Étienne Duval</t>
    </r>
  </si>
  <si>
    <r>
      <rPr>
        <color rgb="FF1155CC"/>
        <u/>
      </rPr>
      <t>Algeria</t>
    </r>
  </si>
  <si>
    <r>
      <rPr>
        <color rgb="FF1155CC"/>
        <u/>
      </rPr>
      <t>Archbishop of Algiers</t>
    </r>
  </si>
  <si>
    <r>
      <rPr>
        <color rgb="FF1155CC"/>
        <u/>
      </rPr>
      <t>Ermenegildo Florit</t>
    </r>
  </si>
  <si>
    <r>
      <rPr>
        <color rgb="FF1155CC"/>
        <u/>
      </rPr>
      <t>Italy</t>
    </r>
  </si>
  <si>
    <r>
      <rPr>
        <color rgb="FF1155CC"/>
        <u/>
      </rPr>
      <t>Archbishop emeritus of Florence</t>
    </r>
  </si>
  <si>
    <r>
      <rPr>
        <color rgb="FF1155CC"/>
        <u/>
      </rPr>
      <t>Franjo Šeper</t>
    </r>
  </si>
  <si>
    <r>
      <rPr>
        <color rgb="FF1155CC"/>
        <u/>
      </rPr>
      <t>Yugoslavia</t>
    </r>
  </si>
  <si>
    <r>
      <t xml:space="preserve">Prefect of the </t>
    </r>
    <r>
      <rPr>
        <color rgb="FF1155CC"/>
        <u/>
      </rPr>
      <t>Sacred Congregation for the Doctrine of the Faith</t>
    </r>
  </si>
  <si>
    <t>Paul Zoungrana</t>
  </si>
  <si>
    <r>
      <rPr>
        <color rgb="FF1155CC"/>
        <u/>
      </rPr>
      <t>Upper Volta</t>
    </r>
  </si>
  <si>
    <r>
      <rPr>
        <color rgb="FF1155CC"/>
        <u/>
      </rPr>
      <t>Archbishop of Ouagadougou</t>
    </r>
  </si>
  <si>
    <t>Moore</t>
  </si>
  <si>
    <r>
      <rPr>
        <color rgb="FF1155CC"/>
        <u/>
      </rPr>
      <t>Agnelo Rossi</t>
    </r>
  </si>
  <si>
    <r>
      <rPr>
        <color rgb="FF1155CC"/>
        <u/>
      </rPr>
      <t>Brazil</t>
    </r>
  </si>
  <si>
    <r>
      <t xml:space="preserve">Prefect of the </t>
    </r>
    <r>
      <rPr>
        <color rgb="FF1155CC"/>
        <u/>
      </rPr>
      <t>Sacred Congregation for the Evangelization of Peoples</t>
    </r>
  </si>
  <si>
    <r>
      <rPr>
        <color rgb="FF1155CC"/>
        <u/>
      </rPr>
      <t>Giovanni Colombo</t>
    </r>
  </si>
  <si>
    <r>
      <rPr>
        <color rgb="FF1155CC"/>
        <u/>
      </rPr>
      <t>Italy</t>
    </r>
  </si>
  <si>
    <r>
      <rPr>
        <color rgb="FF1155CC"/>
        <u/>
      </rPr>
      <t>Archbishop of Milan</t>
    </r>
  </si>
  <si>
    <r>
      <rPr>
        <color rgb="FF1155CC"/>
        <u/>
      </rPr>
      <t>Gabriel-Marie Garrone</t>
    </r>
  </si>
  <si>
    <r>
      <rPr>
        <color rgb="FF1155CC"/>
        <u/>
      </rPr>
      <t>France</t>
    </r>
  </si>
  <si>
    <r>
      <t xml:space="preserve">Prefect of the </t>
    </r>
    <r>
      <rPr>
        <color rgb="FF1155CC"/>
        <u/>
      </rPr>
      <t>Sacred Congregation for Catholic Education</t>
    </r>
    <r>
      <rPr/>
      <t xml:space="preserve"> and </t>
    </r>
    <r>
      <rPr>
        <color rgb="FF1155CC"/>
        <u/>
      </rPr>
      <t>Camerlengo of the Sacred College of Cardinals</t>
    </r>
  </si>
  <si>
    <r>
      <rPr>
        <color rgb="FF1155CC"/>
        <u/>
      </rPr>
      <t>Egidio Vagnozzi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</si>
  <si>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</si>
  <si>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Prefecture for the Economic Affairs of the Holy See</t>
    </r>
  </si>
  <si>
    <r>
      <rPr>
        <color rgb="FF1155CC"/>
        <u/>
      </rPr>
      <t>Maximilien de Furstenberg</t>
    </r>
  </si>
  <si>
    <r>
      <rPr>
        <color rgb="FF1155CC"/>
        <u/>
      </rPr>
      <t>Belgium</t>
    </r>
  </si>
  <si>
    <r>
      <t xml:space="preserve">Grand Master of the </t>
    </r>
    <r>
      <rPr>
        <color rgb="FF1155CC"/>
        <u/>
      </rPr>
      <t>Order of the Holy Sepulchre</t>
    </r>
  </si>
  <si>
    <r>
      <rPr>
        <color rgb="FF1155CC"/>
        <u/>
      </rPr>
      <t>José Clemente Maurer</t>
    </r>
    <r>
      <rPr/>
      <t xml:space="preserve"> </t>
    </r>
  </si>
  <si>
    <r>
      <rPr>
        <color rgb="FF1155CC"/>
        <u/>
      </rPr>
      <t>Bolivia</t>
    </r>
  </si>
  <si>
    <r>
      <rPr>
        <color rgb="FF1155CC"/>
        <u/>
      </rPr>
      <t>Archbishop of Sucre</t>
    </r>
  </si>
  <si>
    <r>
      <rPr>
        <color rgb="FF1155CC"/>
        <u/>
      </rPr>
      <t>John Joseph Krol</t>
    </r>
  </si>
  <si>
    <r>
      <rPr>
        <color rgb="FF1155CC"/>
        <u/>
      </rPr>
      <t>United States</t>
    </r>
  </si>
  <si>
    <r>
      <rPr>
        <color rgb="FF1155CC"/>
        <u/>
      </rPr>
      <t>Archbishop of Philadelphia</t>
    </r>
  </si>
  <si>
    <r>
      <rPr>
        <color rgb="FF1155CC"/>
        <u/>
      </rPr>
      <t>John Patrick Cody</t>
    </r>
  </si>
  <si>
    <r>
      <rPr>
        <color rgb="FF1155CC"/>
        <u/>
      </rPr>
      <t>United States</t>
    </r>
  </si>
  <si>
    <r>
      <rPr>
        <color rgb="FF1155CC"/>
        <u/>
      </rPr>
      <t>Archbishop of Chicago</t>
    </r>
  </si>
  <si>
    <r>
      <rPr>
        <color rgb="FF1155CC"/>
        <u/>
      </rPr>
      <t>Corrado Ursi</t>
    </r>
  </si>
  <si>
    <r>
      <rPr>
        <color rgb="FF1155CC"/>
        <u/>
      </rPr>
      <t>Italy</t>
    </r>
  </si>
  <si>
    <r>
      <rPr>
        <color rgb="FF1155CC"/>
        <u/>
      </rPr>
      <t>Archbishop of Naples</t>
    </r>
  </si>
  <si>
    <r>
      <rPr>
        <color rgb="FF1155CC"/>
        <u/>
      </rPr>
      <t>Alfred Bengsch</t>
    </r>
  </si>
  <si>
    <r>
      <rPr>
        <color rgb="FF1155CC"/>
        <u/>
      </rPr>
      <t>East Germany</t>
    </r>
    <r>
      <rPr/>
      <t/>
    </r>
    <r>
      <rPr>
        <color rgb="FF1155CC"/>
        <u/>
      </rPr>
      <t>[</t>
    </r>
    <r>
      <rPr>
        <color rgb="FF1155CC"/>
        <u/>
      </rPr>
      <t>f</t>
    </r>
    <r>
      <rPr/>
      <t>]</t>
    </r>
  </si>
  <si>
    <r>
      <rPr>
        <color rgb="FF1155CC"/>
        <u/>
      </rPr>
      <t>Archbishop-Bishop of Berlin</t>
    </r>
  </si>
  <si>
    <r>
      <rPr>
        <color rgb="FF1155CC"/>
        <u/>
      </rPr>
      <t>Justinus Darmojuwono</t>
    </r>
  </si>
  <si>
    <r>
      <rPr>
        <color rgb="FF1155CC"/>
        <u/>
      </rPr>
      <t>Indonesia</t>
    </r>
  </si>
  <si>
    <r>
      <rPr>
        <color rgb="FF1155CC"/>
        <u/>
      </rPr>
      <t>Archbishop of Semarang</t>
    </r>
  </si>
  <si>
    <t>Karol Józef Wojtyła</t>
  </si>
  <si>
    <r>
      <rPr>
        <color rgb="FF1155CC"/>
        <u/>
      </rPr>
      <t>Poland</t>
    </r>
  </si>
  <si>
    <r>
      <rPr>
        <color rgb="FF1155CC"/>
        <u/>
      </rPr>
      <t>Archbishop of Kraków</t>
    </r>
  </si>
  <si>
    <r>
      <rPr>
        <color rgb="FF1155CC"/>
        <u/>
      </rPr>
      <t>Michele Pellegrino</t>
    </r>
  </si>
  <si>
    <r>
      <rPr>
        <color rgb="FF1155CC"/>
        <u/>
      </rPr>
      <t>Italy</t>
    </r>
  </si>
  <si>
    <r>
      <rPr>
        <color rgb="FF1155CC"/>
        <u/>
      </rPr>
      <t>Archbishop emeritus of Turin</t>
    </r>
  </si>
  <si>
    <r>
      <rPr>
        <color rgb="FF1155CC"/>
        <u/>
      </rPr>
      <t>Alexandre-Charles Renard</t>
    </r>
  </si>
  <si>
    <r>
      <rPr>
        <color rgb="FF1155CC"/>
        <u/>
      </rPr>
      <t>France</t>
    </r>
  </si>
  <si>
    <r>
      <rPr>
        <color rgb="FF1155CC"/>
        <u/>
      </rPr>
      <t>Archbishop of Lyon</t>
    </r>
  </si>
  <si>
    <r>
      <rPr>
        <color rgb="FF1155CC"/>
        <u/>
      </rPr>
      <t>Alfredo Vicente Scherer</t>
    </r>
  </si>
  <si>
    <r>
      <rPr>
        <color rgb="FF1155CC"/>
        <u/>
      </rPr>
      <t>Brazil</t>
    </r>
  </si>
  <si>
    <r>
      <rPr>
        <color rgb="FF1155CC"/>
        <u/>
      </rPr>
      <t>Archbishop of Porto Alegre</t>
    </r>
  </si>
  <si>
    <r>
      <rPr>
        <color rgb="FF1155CC"/>
        <u/>
      </rPr>
      <t>Julio Rosales y Ras</t>
    </r>
  </si>
  <si>
    <r>
      <rPr>
        <color rgb="FF1155CC"/>
        <u/>
      </rPr>
      <t>Philippines</t>
    </r>
  </si>
  <si>
    <r>
      <rPr>
        <color rgb="FF1155CC"/>
        <u/>
      </rPr>
      <t>Archbishop of Cebu</t>
    </r>
  </si>
  <si>
    <r>
      <rPr>
        <color rgb="FF1155CC"/>
        <u/>
      </rPr>
      <t>Gordon Joseph Gray</t>
    </r>
  </si>
  <si>
    <r>
      <rPr>
        <color rgb="FF1155CC"/>
        <u/>
      </rPr>
      <t>United Kingdom</t>
    </r>
  </si>
  <si>
    <r>
      <rPr>
        <color rgb="FF1155CC"/>
        <u/>
      </rPr>
      <t>Archbishop of Saint Andrews and Edinburgh</t>
    </r>
  </si>
  <si>
    <r>
      <rPr>
        <color rgb="FF1155CC"/>
        <u/>
      </rPr>
      <t>Paolo Bertoli</t>
    </r>
  </si>
  <si>
    <r>
      <rPr>
        <color rgb="FF1155CC"/>
        <u/>
      </rPr>
      <t>Italy</t>
    </r>
  </si>
  <si>
    <r>
      <t xml:space="preserve">Prefect emeritus of the </t>
    </r>
    <r>
      <rPr>
        <color rgb="FF1155CC"/>
        <u/>
      </rPr>
      <t>Sacred Congregation for the Causes of Saints</t>
    </r>
  </si>
  <si>
    <r>
      <rPr>
        <color rgb="FF1155CC"/>
        <u/>
      </rPr>
      <t>Joseph Parecattil</t>
    </r>
  </si>
  <si>
    <r>
      <rPr>
        <color rgb="FF1155CC"/>
        <u/>
      </rPr>
      <t>India</t>
    </r>
  </si>
  <si>
    <r>
      <rPr>
        <color rgb="FF1155CC"/>
        <u/>
      </rPr>
      <t>Archbishop of Ernakulam</t>
    </r>
    <r>
      <rPr/>
      <t xml:space="preserve"> and President of the Pontifical Commission for the Revision of the </t>
    </r>
    <r>
      <rPr>
        <color rgb="FF1155CC"/>
        <u/>
      </rPr>
      <t>Code of Oriental Canon Law</t>
    </r>
    <r>
      <rPr/>
      <t xml:space="preserve">
(</t>
    </r>
    <r>
      <rPr>
        <color rgb="FF1155CC"/>
        <u/>
      </rPr>
      <t>Syro-Malabar Catholic Church</t>
    </r>
    <r>
      <rPr/>
      <t>)</t>
    </r>
  </si>
  <si>
    <r>
      <rPr>
        <color rgb="FF1155CC"/>
        <u/>
      </rPr>
      <t>John Francis Dearden</t>
    </r>
  </si>
  <si>
    <r>
      <rPr>
        <color rgb="FF1155CC"/>
        <u/>
      </rPr>
      <t>United States</t>
    </r>
  </si>
  <si>
    <r>
      <rPr>
        <color rgb="FF1155CC"/>
        <u/>
      </rPr>
      <t>Archbishop of Detroit</t>
    </r>
  </si>
  <si>
    <r>
      <rPr>
        <color rgb="FF1155CC"/>
        <u/>
      </rPr>
      <t>François Marty</t>
    </r>
  </si>
  <si>
    <r>
      <rPr>
        <color rgb="FF1155CC"/>
        <u/>
      </rPr>
      <t>France</t>
    </r>
  </si>
  <si>
    <r>
      <rPr>
        <color rgb="FF1155CC"/>
        <u/>
      </rPr>
      <t>Archbishop of Paris</t>
    </r>
  </si>
  <si>
    <t>George Bernard Flahiff</t>
  </si>
  <si>
    <r>
      <rPr>
        <color rgb="FF1155CC"/>
        <u/>
      </rPr>
      <t>Canada</t>
    </r>
  </si>
  <si>
    <r>
      <rPr>
        <color rgb="FF1155CC"/>
        <u/>
      </rPr>
      <t>Archbishop of Winnipeg</t>
    </r>
  </si>
  <si>
    <r>
      <rPr>
        <color rgb="FF1155CC"/>
        <u/>
      </rPr>
      <t>Paul Gouyon</t>
    </r>
  </si>
  <si>
    <r>
      <rPr>
        <color rgb="FF1155CC"/>
        <u/>
      </rPr>
      <t>France</t>
    </r>
  </si>
  <si>
    <r>
      <rPr>
        <color rgb="FF1155CC"/>
        <u/>
      </rPr>
      <t>Archbishop of Rennes</t>
    </r>
  </si>
  <si>
    <r>
      <rPr>
        <color rgb="FF1155CC"/>
        <u/>
      </rPr>
      <t>Mario Casariego y Acevedo</t>
    </r>
    <r>
      <rPr/>
      <t xml:space="preserve"> </t>
    </r>
  </si>
  <si>
    <r>
      <rPr>
        <color rgb="FF1155CC"/>
        <u/>
      </rPr>
      <t>Guatemala</t>
    </r>
  </si>
  <si>
    <r>
      <rPr>
        <color rgb="FF1155CC"/>
        <u/>
      </rPr>
      <t>Archbishop of Guatemala</t>
    </r>
  </si>
  <si>
    <r>
      <rPr>
        <color rgb="FF1155CC"/>
        <u/>
      </rPr>
      <t>Vicente Enrique y Tarancón</t>
    </r>
  </si>
  <si>
    <r>
      <rPr>
        <color rgb="FF1155CC"/>
        <u/>
      </rPr>
      <t>Spain</t>
    </r>
  </si>
  <si>
    <r>
      <rPr>
        <color rgb="FF1155CC"/>
        <u/>
      </rPr>
      <t>Archbishop of Madrid</t>
    </r>
  </si>
  <si>
    <r>
      <rPr>
        <color rgb="FF1155CC"/>
        <u/>
      </rPr>
      <t>Joseph Malula</t>
    </r>
  </si>
  <si>
    <r>
      <rPr>
        <color rgb="FF1155CC"/>
        <u/>
      </rPr>
      <t>Zaire</t>
    </r>
  </si>
  <si>
    <r>
      <rPr>
        <color rgb="FF1155CC"/>
        <u/>
      </rPr>
      <t>Archbishop of Kinshasa</t>
    </r>
  </si>
  <si>
    <r>
      <rPr>
        <color rgb="FF1155CC"/>
        <u/>
      </rPr>
      <t>Pablo Muñoz Vega</t>
    </r>
    <r>
      <rPr/>
      <t xml:space="preserve"> </t>
    </r>
  </si>
  <si>
    <r>
      <rPr>
        <color rgb="FF1155CC"/>
        <u/>
      </rPr>
      <t>Ecuador</t>
    </r>
  </si>
  <si>
    <r>
      <rPr>
        <color rgb="FF1155CC"/>
        <u/>
      </rPr>
      <t>Archbishop of Quito</t>
    </r>
  </si>
  <si>
    <r>
      <rPr>
        <color rgb="FF1155CC"/>
        <u/>
      </rPr>
      <t>Antonio Poma</t>
    </r>
  </si>
  <si>
    <r>
      <rPr>
        <color rgb="FF1155CC"/>
        <u/>
      </rPr>
      <t>Italy</t>
    </r>
  </si>
  <si>
    <r>
      <rPr>
        <color rgb="FF1155CC"/>
        <u/>
      </rPr>
      <t>Archbishop of Bologna</t>
    </r>
  </si>
  <si>
    <r>
      <rPr>
        <color rgb="FF1155CC"/>
        <u/>
      </rPr>
      <t>John Joseph Carberry</t>
    </r>
  </si>
  <si>
    <r>
      <rPr>
        <color rgb="FF1155CC"/>
        <u/>
      </rPr>
      <t>United States</t>
    </r>
  </si>
  <si>
    <r>
      <rPr>
        <color rgb="FF1155CC"/>
        <u/>
      </rPr>
      <t>Archbishop of St. Louis</t>
    </r>
  </si>
  <si>
    <r>
      <rPr>
        <color rgb="FF1155CC"/>
        <u/>
      </rPr>
      <t>Terence James Cooke</t>
    </r>
  </si>
  <si>
    <r>
      <rPr>
        <color rgb="FF1155CC"/>
        <u/>
      </rPr>
      <t>United States</t>
    </r>
  </si>
  <si>
    <r>
      <rPr>
        <color rgb="FF1155CC"/>
        <u/>
      </rPr>
      <t>Archbishop of New York</t>
    </r>
  </si>
  <si>
    <r>
      <rPr>
        <color rgb="FF1155CC"/>
        <u/>
      </rPr>
      <t>Stephen Kim Sou-hwan</t>
    </r>
  </si>
  <si>
    <r>
      <rPr>
        <color rgb="FF1155CC"/>
        <u/>
      </rPr>
      <t>South Korea</t>
    </r>
  </si>
  <si>
    <r>
      <rPr>
        <color rgb="FF1155CC"/>
        <u/>
      </rPr>
      <t>Archbishop of Seoul</t>
    </r>
  </si>
  <si>
    <t>Korean</t>
  </si>
  <si>
    <r>
      <rPr>
        <color rgb="FF1155CC"/>
        <u/>
      </rPr>
      <t>Eugênio de Araújo Sales</t>
    </r>
  </si>
  <si>
    <r>
      <rPr>
        <color rgb="FF1155CC"/>
        <u/>
      </rPr>
      <t>Brazil</t>
    </r>
  </si>
  <si>
    <r>
      <rPr>
        <color rgb="FF1155CC"/>
        <u/>
      </rPr>
      <t>Archbishop of São Sebastião do Rio de Janeiro</t>
    </r>
  </si>
  <si>
    <r>
      <rPr>
        <color rgb="FF1155CC"/>
        <u/>
      </rPr>
      <t>Joseph Höffner</t>
    </r>
  </si>
  <si>
    <r>
      <rPr>
        <color rgb="FF1155CC"/>
        <u/>
      </rPr>
      <t>West Germany</t>
    </r>
  </si>
  <si>
    <r>
      <rPr>
        <color rgb="FF1155CC"/>
        <u/>
      </rPr>
      <t>Archbishop of Cologne</t>
    </r>
  </si>
  <si>
    <t>John Joseph Wright</t>
  </si>
  <si>
    <r>
      <rPr>
        <color rgb="FF1155CC"/>
        <u/>
      </rPr>
      <t>United States</t>
    </r>
  </si>
  <si>
    <r>
      <t xml:space="preserve">Prefect of the </t>
    </r>
    <r>
      <rPr>
        <color rgb="FF1155CC"/>
        <u/>
      </rPr>
      <t>Sacred Congregation for the Clergy</t>
    </r>
  </si>
  <si>
    <r>
      <rPr>
        <color rgb="FF1155CC"/>
        <u/>
      </rPr>
      <t>Johannes Willebrands</t>
    </r>
  </si>
  <si>
    <r>
      <rPr>
        <color rgb="FF1155CC"/>
        <u/>
      </rPr>
      <t>Netherlands</t>
    </r>
  </si>
  <si>
    <r>
      <rPr>
        <color rgb="FF1155CC"/>
        <u/>
      </rPr>
      <t>Archbishop of Utrecht</t>
    </r>
    <r>
      <rPr/>
      <t xml:space="preserve"> and President of the </t>
    </r>
    <r>
      <rPr>
        <color rgb="FF1155CC"/>
        <u/>
      </rPr>
      <t>Secretariat for Christian Unity</t>
    </r>
  </si>
  <si>
    <t>John Paul I</t>
  </si>
  <si>
    <r>
      <rPr>
        <color rgb="FF1155CC"/>
        <u/>
      </rPr>
      <t>Albino Lucian</t>
    </r>
    <r>
      <rPr/>
      <t>i</t>
    </r>
  </si>
  <si>
    <r>
      <rPr>
        <color rgb="FF1155CC"/>
        <u/>
      </rPr>
      <t>Italy</t>
    </r>
  </si>
  <si>
    <r>
      <rPr>
        <color rgb="FF1155CC"/>
        <u/>
      </rPr>
      <t>Patriarch of Venice</t>
    </r>
  </si>
  <si>
    <r>
      <rPr>
        <color rgb="FF1155CC"/>
        <u/>
      </rPr>
      <t>António Ribeiro</t>
    </r>
  </si>
  <si>
    <r>
      <rPr>
        <color rgb="FF1155CC"/>
        <u/>
      </rPr>
      <t>Portugal</t>
    </r>
  </si>
  <si>
    <r>
      <rPr>
        <color rgb="FF1155CC"/>
        <u/>
      </rPr>
      <t>Patriarch of Lisbon</t>
    </r>
  </si>
  <si>
    <r>
      <rPr>
        <color rgb="FF1155CC"/>
        <u/>
      </rPr>
      <t>James Robert Knox</t>
    </r>
  </si>
  <si>
    <r>
      <rPr>
        <color rgb="FF1155CC"/>
        <u/>
      </rPr>
      <t>Australia</t>
    </r>
  </si>
  <si>
    <r>
      <t xml:space="preserve">Prefect of the </t>
    </r>
    <r>
      <rPr>
        <color rgb="FF1155CC"/>
        <u/>
      </rPr>
      <t>Sacred Congregation for the Sacraments and Divine Worship</t>
    </r>
  </si>
  <si>
    <r>
      <rPr>
        <color rgb="FF1155CC"/>
        <u/>
      </rPr>
      <t>Avelar Brandão Vilela</t>
    </r>
  </si>
  <si>
    <r>
      <rPr>
        <color rgb="FF1155CC"/>
        <u/>
      </rPr>
      <t>Brazil</t>
    </r>
  </si>
  <si>
    <r>
      <rPr>
        <color rgb="FF1155CC"/>
        <u/>
      </rPr>
      <t>Archbishop of São Salvador da Bahia</t>
    </r>
  </si>
  <si>
    <r>
      <rPr>
        <color rgb="FF1155CC"/>
        <u/>
      </rPr>
      <t>Joseph Cordeiro</t>
    </r>
  </si>
  <si>
    <r>
      <rPr>
        <color rgb="FF1155CC"/>
        <u/>
      </rPr>
      <t>Pakistan</t>
    </r>
  </si>
  <si>
    <r>
      <rPr>
        <color rgb="FF1155CC"/>
        <u/>
      </rPr>
      <t>Archbishop of Karachi</t>
    </r>
  </si>
  <si>
    <t>Urdu</t>
  </si>
  <si>
    <r>
      <rPr>
        <color rgb="FF1155CC"/>
        <u/>
      </rPr>
      <t>Aníbal Muñoz Duque</t>
    </r>
  </si>
  <si>
    <r>
      <rPr>
        <color rgb="FF1155CC"/>
        <u/>
      </rPr>
      <t>Colombia</t>
    </r>
  </si>
  <si>
    <r>
      <rPr>
        <color rgb="FF1155CC"/>
        <u/>
      </rPr>
      <t>Archbishop of Bogotá</t>
    </r>
  </si>
  <si>
    <r>
      <rPr>
        <color rgb="FF1155CC"/>
        <u/>
      </rPr>
      <t>Luis Aponte Martínez</t>
    </r>
  </si>
  <si>
    <r>
      <rPr>
        <color rgb="FF1155CC"/>
        <u/>
      </rPr>
      <t>Puerto Rico</t>
    </r>
    <r>
      <rPr/>
      <t xml:space="preserve">
(</t>
    </r>
    <r>
      <rPr>
        <color rgb="FF1155CC"/>
        <u/>
      </rPr>
      <t>United States</t>
    </r>
    <r>
      <rPr/>
      <t>)</t>
    </r>
    <r>
      <rPr>
        <color rgb="FF1155CC"/>
        <u/>
      </rPr>
      <t>[</t>
    </r>
    <r>
      <rPr>
        <color rgb="FF1155CC"/>
        <u/>
      </rPr>
      <t>i</t>
    </r>
    <r>
      <rPr/>
      <t>]</t>
    </r>
  </si>
  <si>
    <r>
      <rPr>
        <color rgb="FF1155CC"/>
        <u/>
      </rPr>
      <t>Archbishop of San Juan de Puerto Rico</t>
    </r>
  </si>
  <si>
    <r>
      <rPr>
        <color rgb="FF1155CC"/>
        <u/>
      </rPr>
      <t>Raúl Francisco Primatesta</t>
    </r>
  </si>
  <si>
    <r>
      <rPr>
        <color rgb="FF1155CC"/>
        <u/>
      </rPr>
      <t>Argentina</t>
    </r>
  </si>
  <si>
    <r>
      <rPr>
        <color rgb="FF1155CC"/>
        <u/>
      </rPr>
      <t>Archbishop of Córdoba</t>
    </r>
  </si>
  <si>
    <r>
      <rPr>
        <color rgb="FF1155CC"/>
        <u/>
      </rPr>
      <t>Salvatore Pappalardo</t>
    </r>
  </si>
  <si>
    <r>
      <rPr>
        <color rgb="FF1155CC"/>
        <u/>
      </rPr>
      <t>Italy</t>
    </r>
  </si>
  <si>
    <r>
      <rPr>
        <color rgb="FF1155CC"/>
        <u/>
      </rPr>
      <t>Archbishop of Palermo</t>
    </r>
  </si>
  <si>
    <r>
      <rPr>
        <color rgb="FF1155CC"/>
        <u/>
      </rPr>
      <t>Marcelo González Martín</t>
    </r>
  </si>
  <si>
    <r>
      <rPr>
        <color rgb="FF1155CC"/>
        <u/>
      </rPr>
      <t>Spain</t>
    </r>
  </si>
  <si>
    <r>
      <rPr>
        <color rgb="FF1155CC"/>
        <u/>
      </rPr>
      <t>Archbishop of Toledo</t>
    </r>
  </si>
  <si>
    <r>
      <rPr>
        <color rgb="FF1155CC"/>
        <u/>
      </rPr>
      <t>Louis-Jean Guyot</t>
    </r>
  </si>
  <si>
    <r>
      <rPr>
        <color rgb="FF1155CC"/>
        <u/>
      </rPr>
      <t>France</t>
    </r>
  </si>
  <si>
    <r>
      <rPr>
        <color rgb="FF1155CC"/>
        <u/>
      </rPr>
      <t>Archbishop of Toulouse</t>
    </r>
  </si>
  <si>
    <r>
      <rPr>
        <color rgb="FF1155CC"/>
        <u/>
      </rPr>
      <t>Ugo Poletti</t>
    </r>
  </si>
  <si>
    <r>
      <rPr>
        <color rgb="FF1155CC"/>
        <u/>
      </rPr>
      <t>Italy</t>
    </r>
  </si>
  <si>
    <r>
      <rPr>
        <color rgb="FF1155CC"/>
        <u/>
      </rPr>
      <t>Vicar General for Rome</t>
    </r>
    <r>
      <rPr/>
      <t xml:space="preserve"> and Archpriest of the </t>
    </r>
    <r>
      <rPr>
        <color rgb="FF1155CC"/>
        <u/>
      </rPr>
      <t>Papal Basilica of Saint John Lateran</t>
    </r>
  </si>
  <si>
    <r>
      <rPr>
        <color rgb="FF1155CC"/>
        <u/>
      </rPr>
      <t>Timothy Manning</t>
    </r>
  </si>
  <si>
    <r>
      <rPr>
        <color rgb="FF1155CC"/>
        <u/>
      </rPr>
      <t>United States</t>
    </r>
  </si>
  <si>
    <r>
      <rPr>
        <color rgb="FF1155CC"/>
        <u/>
      </rPr>
      <t>Archbishop of Los Angeles</t>
    </r>
  </si>
  <si>
    <r>
      <rPr>
        <color rgb="FF1155CC"/>
        <u/>
      </rPr>
      <t>Maurice Michael Otunga</t>
    </r>
  </si>
  <si>
    <r>
      <rPr>
        <color rgb="FF1155CC"/>
        <u/>
      </rPr>
      <t>Kenya</t>
    </r>
  </si>
  <si>
    <r>
      <rPr>
        <color rgb="FF1155CC"/>
        <u/>
      </rPr>
      <t>Archbishop of Nairobi</t>
    </r>
  </si>
  <si>
    <r>
      <rPr>
        <color rgb="FF1155CC"/>
        <u/>
      </rPr>
      <t>José Salazar López</t>
    </r>
  </si>
  <si>
    <r>
      <rPr>
        <color rgb="FF1155CC"/>
        <u/>
      </rPr>
      <t>Mexico</t>
    </r>
  </si>
  <si>
    <r>
      <rPr>
        <color rgb="FF1155CC"/>
        <u/>
      </rPr>
      <t>Archbishop of Guadalajara</t>
    </r>
  </si>
  <si>
    <r>
      <rPr>
        <color rgb="FF1155CC"/>
        <u/>
      </rPr>
      <t>Humberto Sousa Medeiros</t>
    </r>
  </si>
  <si>
    <r>
      <rPr>
        <color rgb="FF1155CC"/>
        <u/>
      </rPr>
      <t>United States</t>
    </r>
  </si>
  <si>
    <r>
      <rPr>
        <color rgb="FF1155CC"/>
        <u/>
      </rPr>
      <t>Archbishop of Boston</t>
    </r>
  </si>
  <si>
    <r>
      <rPr>
        <color rgb="FF1155CC"/>
        <u/>
      </rPr>
      <t>Paulo Evaristo Arns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</si>
  <si>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</si>
  <si>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Archbishop of São Paulo</t>
    </r>
  </si>
  <si>
    <r>
      <rPr>
        <color rgb="FF1155CC"/>
        <u/>
      </rPr>
      <t>James Darcy Freeman</t>
    </r>
  </si>
  <si>
    <r>
      <rPr>
        <color rgb="FF1155CC"/>
        <u/>
      </rPr>
      <t>Australia</t>
    </r>
  </si>
  <si>
    <r>
      <rPr>
        <color rgb="FF1155CC"/>
        <u/>
      </rPr>
      <t>Archbishop of Sydney</t>
    </r>
  </si>
  <si>
    <r>
      <rPr>
        <color rgb="FF1155CC"/>
        <u/>
      </rPr>
      <t>Narciso Jubany Arnau</t>
    </r>
  </si>
  <si>
    <r>
      <rPr>
        <color rgb="FF1155CC"/>
        <u/>
      </rPr>
      <t>Spain</t>
    </r>
  </si>
  <si>
    <r>
      <rPr>
        <color rgb="FF1155CC"/>
        <u/>
      </rPr>
      <t>Archbishop of Barcelona</t>
    </r>
  </si>
  <si>
    <r>
      <rPr>
        <color rgb="FF1155CC"/>
        <u/>
      </rPr>
      <t>Hermann Volk</t>
    </r>
  </si>
  <si>
    <r>
      <rPr>
        <color rgb="FF1155CC"/>
        <u/>
      </rPr>
      <t>West Germany</t>
    </r>
  </si>
  <si>
    <r>
      <rPr>
        <color rgb="FF1155CC"/>
        <u/>
      </rPr>
      <t>Bishop of Mainz</t>
    </r>
  </si>
  <si>
    <r>
      <rPr>
        <color rgb="FF1155CC"/>
        <u/>
      </rPr>
      <t>Pio Taofinuʻu</t>
    </r>
    <r>
      <rPr/>
      <t xml:space="preserve"> </t>
    </r>
  </si>
  <si>
    <r>
      <rPr>
        <color rgb="FF1155CC"/>
        <u/>
      </rPr>
      <t>Western Samoa</t>
    </r>
  </si>
  <si>
    <r>
      <rPr>
        <color rgb="FF1155CC"/>
        <u/>
      </rPr>
      <t>Bishop of Samoa and Tokelau</t>
    </r>
  </si>
  <si>
    <t>Samoan</t>
  </si>
  <si>
    <r>
      <rPr>
        <color rgb="FF1155CC"/>
        <u/>
      </rPr>
      <t>Octavio Antonio Beras Rojas</t>
    </r>
  </si>
  <si>
    <r>
      <rPr>
        <color rgb="FF1155CC"/>
        <u/>
      </rPr>
      <t>Dominican Republic</t>
    </r>
  </si>
  <si>
    <r>
      <rPr>
        <color rgb="FF1155CC"/>
        <u/>
      </rPr>
      <t>Archbishop of Santo Domingo</t>
    </r>
  </si>
  <si>
    <r>
      <rPr>
        <color rgb="FF1155CC"/>
        <u/>
      </rPr>
      <t>Juan Carlos Aramburu</t>
    </r>
  </si>
  <si>
    <r>
      <rPr>
        <color rgb="FF1155CC"/>
        <u/>
      </rPr>
      <t>Argentina</t>
    </r>
  </si>
  <si>
    <r>
      <rPr>
        <color rgb="FF1155CC"/>
        <u/>
      </rPr>
      <t>Archbishop of Buenos Aires</t>
    </r>
  </si>
  <si>
    <r>
      <rPr>
        <color rgb="FF1155CC"/>
        <u/>
      </rPr>
      <t>Joseph-Marie Trịnh Như Khuê</t>
    </r>
  </si>
  <si>
    <r>
      <rPr>
        <color rgb="FF1155CC"/>
        <u/>
      </rPr>
      <t>Vietnam</t>
    </r>
  </si>
  <si>
    <t>11-Dec-1898</t>
  </si>
  <si>
    <r>
      <rPr>
        <color rgb="FF1155CC"/>
        <u/>
      </rPr>
      <t>Archbishop of Hanoi</t>
    </r>
  </si>
  <si>
    <r>
      <rPr>
        <color rgb="FF1155CC"/>
        <u/>
      </rPr>
      <t>Hyacinthe Thiandoum</t>
    </r>
  </si>
  <si>
    <r>
      <rPr>
        <color rgb="FF1155CC"/>
        <u/>
      </rPr>
      <t>Senegal</t>
    </r>
  </si>
  <si>
    <r>
      <rPr>
        <color rgb="FF1155CC"/>
        <u/>
      </rPr>
      <t>Archbishop of Dakar</t>
    </r>
  </si>
  <si>
    <t>Wolof</t>
  </si>
  <si>
    <r>
      <rPr>
        <color rgb="FF1155CC"/>
        <u/>
      </rPr>
      <t>Emmanuel Nsubuga</t>
    </r>
  </si>
  <si>
    <r>
      <rPr>
        <color rgb="FF1155CC"/>
        <u/>
      </rPr>
      <t>Uganda</t>
    </r>
  </si>
  <si>
    <r>
      <rPr>
        <color rgb="FF1155CC"/>
        <u/>
      </rPr>
      <t>Archbishop of Kampala</t>
    </r>
  </si>
  <si>
    <r>
      <rPr>
        <color rgb="FF1155CC"/>
        <u/>
      </rPr>
      <t>Lawrence Trevor Picachy</t>
    </r>
    <r>
      <rPr/>
      <t xml:space="preserve"> </t>
    </r>
  </si>
  <si>
    <r>
      <rPr>
        <color rgb="FF1155CC"/>
        <u/>
      </rPr>
      <t>India</t>
    </r>
  </si>
  <si>
    <r>
      <rPr>
        <color rgb="FF1155CC"/>
        <u/>
      </rPr>
      <t>Archbishop of Calcutta</t>
    </r>
  </si>
  <si>
    <r>
      <rPr>
        <color rgb="FF1155CC"/>
        <u/>
      </rPr>
      <t>Jaime Lachica Sin</t>
    </r>
  </si>
  <si>
    <r>
      <rPr>
        <color rgb="FF1155CC"/>
        <u/>
      </rPr>
      <t>Philippines</t>
    </r>
  </si>
  <si>
    <r>
      <rPr>
        <color rgb="FF1155CC"/>
        <u/>
      </rPr>
      <t>Archbishop of Manila</t>
    </r>
  </si>
  <si>
    <r>
      <rPr>
        <color rgb="FF1155CC"/>
        <u/>
      </rPr>
      <t>William Wakefield Baum</t>
    </r>
  </si>
  <si>
    <r>
      <rPr>
        <color rgb="FF1155CC"/>
        <u/>
      </rPr>
      <t>United States</t>
    </r>
  </si>
  <si>
    <r>
      <rPr>
        <color rgb="FF1155CC"/>
        <u/>
      </rPr>
      <t>Archbishop of Washington</t>
    </r>
  </si>
  <si>
    <r>
      <rPr>
        <color rgb="FF1155CC"/>
        <u/>
      </rPr>
      <t>Aloísio Lorscheider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</si>
  <si>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</si>
  <si>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Archbishop of Fortaleza</t>
    </r>
  </si>
  <si>
    <r>
      <rPr>
        <color rgb="FF1155CC"/>
        <u/>
      </rPr>
      <t>Reginald Delargey</t>
    </r>
  </si>
  <si>
    <r>
      <rPr>
        <color rgb="FF1155CC"/>
        <u/>
      </rPr>
      <t>New Zealand</t>
    </r>
  </si>
  <si>
    <r>
      <rPr>
        <color rgb="FF1155CC"/>
        <u/>
      </rPr>
      <t>Archbishop of Wellington</t>
    </r>
  </si>
  <si>
    <r>
      <rPr>
        <color rgb="FF1155CC"/>
        <u/>
      </rPr>
      <t>László Lékai</t>
    </r>
  </si>
  <si>
    <r>
      <rPr>
        <color rgb="FF1155CC"/>
        <u/>
      </rPr>
      <t>Hungary</t>
    </r>
  </si>
  <si>
    <r>
      <rPr>
        <color rgb="FF1155CC"/>
        <u/>
      </rPr>
      <t>Archbishop of Esztergom</t>
    </r>
  </si>
  <si>
    <r>
      <rPr>
        <color rgb="FF1155CC"/>
        <u/>
      </rPr>
      <t>George Basil Hume</t>
    </r>
    <r>
      <rPr/>
      <t xml:space="preserve"> </t>
    </r>
  </si>
  <si>
    <r>
      <rPr>
        <color rgb="FF1155CC"/>
        <u/>
      </rPr>
      <t>United Kingdom</t>
    </r>
  </si>
  <si>
    <r>
      <rPr>
        <color rgb="FF1155CC"/>
        <u/>
      </rPr>
      <t>Archbishop of Westminster</t>
    </r>
  </si>
  <si>
    <r>
      <rPr>
        <color rgb="FF1155CC"/>
        <u/>
      </rPr>
      <t>Victor Razafimahatratra</t>
    </r>
    <r>
      <rPr/>
      <t xml:space="preserve"> </t>
    </r>
  </si>
  <si>
    <r>
      <rPr>
        <color rgb="FF1155CC"/>
        <u/>
      </rPr>
      <t>Madagascar</t>
    </r>
  </si>
  <si>
    <r>
      <rPr>
        <color rgb="FF1155CC"/>
        <u/>
      </rPr>
      <t>Archbishop of Tananarive</t>
    </r>
  </si>
  <si>
    <r>
      <rPr>
        <color rgb="FF1155CC"/>
        <u/>
      </rPr>
      <t>František Tomášek</t>
    </r>
  </si>
  <si>
    <r>
      <rPr>
        <color rgb="FF1155CC"/>
        <u/>
      </rPr>
      <t>Czechoslovakia</t>
    </r>
  </si>
  <si>
    <t>30-Jun-1899</t>
  </si>
  <si>
    <r>
      <rPr>
        <color rgb="FF1155CC"/>
        <u/>
      </rPr>
      <t>Archbishop of Prague</t>
    </r>
  </si>
  <si>
    <r>
      <rPr>
        <color rgb="FF1155CC"/>
        <u/>
      </rPr>
      <t>Dominic Ignatius Ekandem</t>
    </r>
  </si>
  <si>
    <r>
      <rPr>
        <color rgb="FF1155CC"/>
        <u/>
      </rPr>
      <t>Nigeria</t>
    </r>
  </si>
  <si>
    <r>
      <rPr>
        <color rgb="FF1155CC"/>
        <u/>
      </rPr>
      <t>Bishop of Ikot Ekpene</t>
    </r>
  </si>
  <si>
    <t>Ibibio</t>
  </si>
  <si>
    <r>
      <rPr>
        <color rgb="FF1155CC"/>
        <u/>
      </rPr>
      <t>Giovanni Benelli</t>
    </r>
  </si>
  <si>
    <r>
      <rPr>
        <color rgb="FF1155CC"/>
        <u/>
      </rPr>
      <t>Italy</t>
    </r>
  </si>
  <si>
    <r>
      <rPr>
        <color rgb="FF1155CC"/>
        <u/>
      </rPr>
      <t>Archbishop of Florence</t>
    </r>
  </si>
  <si>
    <r>
      <rPr>
        <color rgb="FF1155CC"/>
        <u/>
      </rPr>
      <t>Joseph Ratzinger</t>
    </r>
  </si>
  <si>
    <r>
      <rPr>
        <color rgb="FF1155CC"/>
        <u/>
      </rPr>
      <t>West Germany</t>
    </r>
  </si>
  <si>
    <r>
      <rPr>
        <color rgb="FF1155CC"/>
        <u/>
      </rPr>
      <t>Archbishop of Munich and Freising</t>
    </r>
  </si>
  <si>
    <r>
      <rPr>
        <color rgb="FF1155CC"/>
        <u/>
      </rPr>
      <t>Pericle Felici</t>
    </r>
  </si>
  <si>
    <r>
      <rPr>
        <color rgb="FF1155CC"/>
        <u/>
      </rPr>
      <t>Italy</t>
    </r>
  </si>
  <si>
    <r>
      <t xml:space="preserve">Prefect of the </t>
    </r>
    <r>
      <rPr>
        <color rgb="FF1155CC"/>
        <u/>
      </rPr>
      <t>Supreme Tribunal of the Apostolic Signatura</t>
    </r>
    <r>
      <rPr/>
      <t xml:space="preserve"> and President of the </t>
    </r>
    <r>
      <rPr>
        <color rgb="FF1155CC"/>
        <u/>
      </rPr>
      <t>Pontifical Commissions for the Revision of the Code of Canon Law</t>
    </r>
    <r>
      <rPr/>
      <t xml:space="preserve"> and for the Interpretation of the Decrees of the Second Vatican Council (</t>
    </r>
    <r>
      <rPr>
        <color rgb="FF1155CC"/>
        <u/>
      </rPr>
      <t>Protodeacon</t>
    </r>
    <r>
      <rPr/>
      <t>)</t>
    </r>
  </si>
  <si>
    <r>
      <rPr>
        <color rgb="FF1155CC"/>
        <u/>
      </rPr>
      <t>Silvio Oddi</t>
    </r>
  </si>
  <si>
    <r>
      <rPr>
        <color rgb="FF1155CC"/>
        <u/>
      </rPr>
      <t>Italy</t>
    </r>
  </si>
  <si>
    <r>
      <rPr>
        <color rgb="FF1155CC"/>
        <u/>
      </rPr>
      <t>Pontifical Legate for the Basilica of Saint Francis of Assisi</t>
    </r>
  </si>
  <si>
    <r>
      <rPr>
        <color rgb="FF1155CC"/>
        <u/>
      </rPr>
      <t>Giuseppe Paupini</t>
    </r>
  </si>
  <si>
    <r>
      <rPr>
        <color rgb="FF1155CC"/>
        <u/>
      </rPr>
      <t>Italy</t>
    </r>
  </si>
  <si>
    <r>
      <rPr>
        <color rgb="FF1155CC"/>
        <u/>
      </rPr>
      <t>Major Penitentiary</t>
    </r>
  </si>
  <si>
    <r>
      <rPr>
        <color rgb="FF1155CC"/>
        <u/>
      </rPr>
      <t>Mario Nasalli Rocca di Corneliano</t>
    </r>
  </si>
  <si>
    <r>
      <rPr>
        <color rgb="FF1155CC"/>
        <u/>
      </rPr>
      <t>Italy</t>
    </r>
  </si>
  <si>
    <r>
      <rPr>
        <color rgb="FF1155CC"/>
        <u/>
      </rPr>
      <t>Prefect emeritus of the Apostolic Palaces</t>
    </r>
  </si>
  <si>
    <r>
      <rPr>
        <color rgb="FF1155CC"/>
        <u/>
      </rPr>
      <t>Sergio Guerri</t>
    </r>
  </si>
  <si>
    <r>
      <rPr>
        <color rgb="FF1155CC"/>
        <u/>
      </rPr>
      <t>Italy</t>
    </r>
  </si>
  <si>
    <r>
      <t xml:space="preserve">Pro-President of the </t>
    </r>
    <r>
      <rPr>
        <color rgb="FF1155CC"/>
        <u/>
      </rPr>
      <t>Pontifical Commission for Vatican City State</t>
    </r>
  </si>
  <si>
    <r>
      <rPr>
        <color rgb="FF1155CC"/>
        <u/>
      </rPr>
      <t>Sergio Pignedoli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</si>
  <si>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</si>
  <si>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Secretariat for Non-Christians</t>
    </r>
  </si>
  <si>
    <r>
      <rPr>
        <color rgb="FF1155CC"/>
        <u/>
      </rPr>
      <t>Umberto Mozzoni</t>
    </r>
  </si>
  <si>
    <r>
      <rPr>
        <color rgb="FF1155CC"/>
        <u/>
      </rPr>
      <t>Argentina</t>
    </r>
  </si>
  <si>
    <t>President of the Commission of Cardinals for the Pontifical Shrines of Pompeii and Loreto</t>
  </si>
  <si>
    <r>
      <rPr>
        <color rgb="FF1155CC"/>
        <u/>
      </rPr>
      <t>Paul-Pierre Philippe</t>
    </r>
    <r>
      <rPr/>
      <t xml:space="preserve"> </t>
    </r>
  </si>
  <si>
    <r>
      <rPr>
        <color rgb="FF1155CC"/>
        <u/>
      </rPr>
      <t>France</t>
    </r>
  </si>
  <si>
    <r>
      <t xml:space="preserve">Prefect of the </t>
    </r>
    <r>
      <rPr>
        <color rgb="FF1155CC"/>
        <u/>
      </rPr>
      <t>Sacred Congregation for the Oriental Churches</t>
    </r>
  </si>
  <si>
    <r>
      <rPr>
        <color rgb="FF1155CC"/>
        <u/>
      </rPr>
      <t>Pietro Palazzini</t>
    </r>
  </si>
  <si>
    <r>
      <rPr>
        <color rgb="FF1155CC"/>
        <u/>
      </rPr>
      <t>Italy</t>
    </r>
  </si>
  <si>
    <r>
      <t xml:space="preserve">Secretary emeritus of the </t>
    </r>
    <r>
      <rPr>
        <color rgb="FF1155CC"/>
        <u/>
      </rPr>
      <t>Sacred Congregation for the Clergy</t>
    </r>
    <r>
      <rPr/>
      <t xml:space="preserve"> and of the Commission of Cardinals for the Pontifical Shrines of Pompeii and Loreto</t>
    </r>
  </si>
  <si>
    <r>
      <rPr>
        <color rgb="FF1155CC"/>
        <u/>
      </rPr>
      <t>Opilio Rossi</t>
    </r>
  </si>
  <si>
    <r>
      <rPr>
        <color rgb="FF1155CC"/>
        <u/>
      </rPr>
      <t>Italy</t>
    </r>
  </si>
  <si>
    <r>
      <t xml:space="preserve">President of the </t>
    </r>
    <r>
      <rPr>
        <color rgb="FF1155CC"/>
        <u/>
      </rPr>
      <t>Pontifical Councils for the Laity</t>
    </r>
    <r>
      <rPr/>
      <t xml:space="preserve"> and </t>
    </r>
    <r>
      <rPr>
        <color rgb="FF1155CC"/>
        <u/>
      </rPr>
      <t>for the Family</t>
    </r>
  </si>
  <si>
    <r>
      <rPr>
        <color rgb="FF1155CC"/>
        <u/>
      </rPr>
      <t>Giuseppe Maria Sensi</t>
    </r>
  </si>
  <si>
    <r>
      <rPr>
        <color rgb="FF1155CC"/>
        <u/>
      </rPr>
      <t>Italy</t>
    </r>
  </si>
  <si>
    <r>
      <rPr>
        <color rgb="FF1155CC"/>
        <u/>
      </rPr>
      <t>Apostolic Nuncio emeritus to Portugal</t>
    </r>
  </si>
  <si>
    <r>
      <rPr>
        <color rgb="FF1155CC"/>
        <u/>
      </rPr>
      <t>Corrado Bafile</t>
    </r>
  </si>
  <si>
    <r>
      <rPr>
        <color rgb="FF1155CC"/>
        <u/>
      </rPr>
      <t>Italy</t>
    </r>
  </si>
  <si>
    <r>
      <t xml:space="preserve">Prefect of the </t>
    </r>
    <r>
      <rPr>
        <color rgb="FF1155CC"/>
        <u/>
      </rPr>
      <t>Sacred Congregation for the Causes of Saints</t>
    </r>
  </si>
  <si>
    <r>
      <rPr>
        <color rgb="FF1155CC"/>
        <u/>
      </rPr>
      <t>Joseph Schröffer</t>
    </r>
  </si>
  <si>
    <r>
      <rPr>
        <color rgb="FF1155CC"/>
        <u/>
      </rPr>
      <t>West Germany</t>
    </r>
  </si>
  <si>
    <r>
      <t xml:space="preserve">Secretary emeritus of the </t>
    </r>
    <r>
      <rPr>
        <color rgb="FF1155CC"/>
        <u/>
      </rPr>
      <t>Sacred Congregation for Catholic Education</t>
    </r>
  </si>
  <si>
    <r>
      <rPr>
        <color rgb="FF1155CC"/>
        <u/>
      </rPr>
      <t>Eduardo Francisco Pironio</t>
    </r>
  </si>
  <si>
    <r>
      <rPr>
        <color rgb="FF1155CC"/>
        <u/>
      </rPr>
      <t>Argentina</t>
    </r>
  </si>
  <si>
    <r>
      <t xml:space="preserve">Prefect of the </t>
    </r>
    <r>
      <rPr>
        <color rgb="FF1155CC"/>
        <u/>
      </rPr>
      <t>Sacred Congregation for the Religious and Secular Institutes</t>
    </r>
  </si>
  <si>
    <r>
      <rPr>
        <color rgb="FF1155CC"/>
        <u/>
      </rPr>
      <t>Bernardin Gantin</t>
    </r>
  </si>
  <si>
    <r>
      <rPr>
        <color rgb="FF1155CC"/>
        <u/>
      </rPr>
      <t>Benin</t>
    </r>
  </si>
  <si>
    <r>
      <t xml:space="preserve">President of the </t>
    </r>
    <r>
      <rPr>
        <color rgb="FF1155CC"/>
        <u/>
      </rPr>
      <t>Pontifical Commission for Justice and Peace</t>
    </r>
    <r>
      <rPr/>
      <t xml:space="preserve"> and of the </t>
    </r>
    <r>
      <rPr>
        <color rgb="FF1155CC"/>
        <u/>
      </rPr>
      <t xml:space="preserve">Pontifical Council </t>
    </r>
    <r>
      <rPr/>
      <t>Cor Unum</t>
    </r>
    <r>
      <rPr>
        <color rgb="FF1155CC"/>
        <u/>
      </rPr>
      <t>[</t>
    </r>
    <r>
      <rPr>
        <color rgb="FF1155CC"/>
        <u/>
      </rPr>
      <t>j</t>
    </r>
    <r>
      <rPr/>
      <t>]</t>
    </r>
  </si>
  <si>
    <r>
      <rPr>
        <color rgb="FF1155CC"/>
        <u/>
      </rPr>
      <t>Mario Luigi Ciappi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</si>
  <si>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</si>
  <si>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Pro-Theologian of the Pontifical Household</t>
    </r>
  </si>
  <si>
    <t>years_above_80</t>
  </si>
  <si>
    <t>years_below_80</t>
  </si>
  <si>
    <t>age</t>
  </si>
  <si>
    <t>ap_choice</t>
  </si>
  <si>
    <r>
      <rPr>
        <color rgb="FF1155CC"/>
        <u/>
      </rPr>
      <t>Giovanni Battista Re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</si>
  <si>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</si>
  <si>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</si>
  <si>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t xml:space="preserve">Prefect emeritus of the </t>
    </r>
    <r>
      <rPr>
        <color rgb="FF1155CC"/>
        <u/>
      </rPr>
      <t>Congregation for Bishops</t>
    </r>
  </si>
  <si>
    <r>
      <rPr>
        <color rgb="FF1155CC"/>
        <u/>
      </rPr>
      <t>Leonardo Sandri</t>
    </r>
  </si>
  <si>
    <r>
      <rPr>
        <color rgb="FF1155CC"/>
        <u/>
      </rPr>
      <t>Argentina</t>
    </r>
  </si>
  <si>
    <r>
      <rPr>
        <color rgb="FF1155CC"/>
        <u/>
      </rPr>
      <t>CB</t>
    </r>
  </si>
  <si>
    <r>
      <t xml:space="preserve">Prefect emeritus of the </t>
    </r>
    <r>
      <rPr>
        <color rgb="FF1155CC"/>
        <u/>
      </rPr>
      <t>Dicastery for the Eastern Churches</t>
    </r>
  </si>
  <si>
    <r>
      <rPr>
        <color rgb="FF1155CC"/>
        <u/>
      </rPr>
      <t>Francis Arinze</t>
    </r>
  </si>
  <si>
    <r>
      <rPr>
        <color rgb="FF1155CC"/>
        <u/>
      </rPr>
      <t>Nigeria</t>
    </r>
  </si>
  <si>
    <r>
      <rPr>
        <color rgb="FF1155CC"/>
        <u/>
      </rPr>
      <t>CB</t>
    </r>
  </si>
  <si>
    <r>
      <t xml:space="preserve">Prefect emeritus of the </t>
    </r>
    <r>
      <rPr>
        <color rgb="FF1155CC"/>
        <u/>
      </rPr>
      <t>Congregation for Divine Worship and the Discipline of the Sacraments</t>
    </r>
  </si>
  <si>
    <r>
      <rPr>
        <color rgb="FF1155CC"/>
        <u/>
      </rPr>
      <t>Tarcisio Bertone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</si>
  <si>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</si>
  <si>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</si>
  <si>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rPr>
        <color rgb="FF1155CC"/>
        <u/>
      </rPr>
      <t>Secretary of State emeritus of His Holiness</t>
    </r>
    <r>
      <rPr/>
      <t xml:space="preserve"> and </t>
    </r>
    <r>
      <rPr>
        <color rgb="FF1155CC"/>
        <u/>
      </rPr>
      <t>Camerlengo emeritus of the Holy Roman Church</t>
    </r>
  </si>
  <si>
    <r>
      <rPr>
        <color rgb="FF1155CC"/>
        <u/>
      </rPr>
      <t>José Saraiva Martins</t>
    </r>
    <r>
      <rPr/>
      <t xml:space="preserve"> </t>
    </r>
  </si>
  <si>
    <r>
      <rPr>
        <color rgb="FF1155CC"/>
        <u/>
      </rPr>
      <t>Portugal</t>
    </r>
  </si>
  <si>
    <r>
      <rPr>
        <color rgb="FF1155CC"/>
        <u/>
      </rPr>
      <t>CB</t>
    </r>
  </si>
  <si>
    <r>
      <t xml:space="preserve">Prefect emeritus of the </t>
    </r>
    <r>
      <rPr>
        <color rgb="FF1155CC"/>
        <u/>
      </rPr>
      <t>Congregation for the Causes of Saints</t>
    </r>
  </si>
  <si>
    <r>
      <rPr>
        <color rgb="FF1155CC"/>
        <u/>
      </rPr>
      <t>Pietro Parolin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</si>
  <si>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</si>
  <si>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</si>
  <si>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rPr>
        <color rgb="FF1155CC"/>
        <u/>
      </rPr>
      <t>Secretary of State of His Holiness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</si>
  <si>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Marc Ouellet</t>
    </r>
    <r>
      <rPr/>
      <t xml:space="preserve"> </t>
    </r>
  </si>
  <si>
    <r>
      <rPr>
        <color rgb="FF1155CC"/>
        <u/>
      </rPr>
      <t>Canada</t>
    </r>
  </si>
  <si>
    <r>
      <rPr>
        <color rgb="FF1155CC"/>
        <u/>
      </rPr>
      <t>CB</t>
    </r>
  </si>
  <si>
    <r>
      <t xml:space="preserve">Prefect emeritus of the </t>
    </r>
    <r>
      <rPr>
        <color rgb="FF1155CC"/>
        <u/>
      </rPr>
      <t>Dicastery for Bishops</t>
    </r>
  </si>
  <si>
    <r>
      <rPr>
        <color rgb="FF1155CC"/>
        <u/>
      </rPr>
      <t>Fernando Filoni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</si>
  <si>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</si>
  <si>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</si>
  <si>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t xml:space="preserve">Grand Master of the </t>
    </r>
    <r>
      <rPr>
        <color rgb="FF1155CC"/>
        <u/>
      </rPr>
      <t>Order of the Holy Sepulchre</t>
    </r>
  </si>
  <si>
    <r>
      <rPr>
        <color rgb="FF1155CC"/>
        <u/>
      </rPr>
      <t>Beniamino Stella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</si>
  <si>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</si>
  <si>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</si>
  <si>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t xml:space="preserve">Prefect emeritus of the </t>
    </r>
    <r>
      <rPr>
        <color rgb="FF1155CC"/>
        <u/>
      </rPr>
      <t>Congregation for the Clergy</t>
    </r>
  </si>
  <si>
    <r>
      <rPr>
        <color rgb="FF1155CC"/>
        <u/>
      </rPr>
      <t>Luis Antonio Tagle</t>
    </r>
  </si>
  <si>
    <r>
      <rPr>
        <color rgb="FF1155CC"/>
        <u/>
      </rPr>
      <t>Philippines</t>
    </r>
  </si>
  <si>
    <r>
      <rPr>
        <color rgb="FF1155CC"/>
        <u/>
      </rPr>
      <t>CB</t>
    </r>
  </si>
  <si>
    <r>
      <t xml:space="preserve">Pro-Prefect of the </t>
    </r>
    <r>
      <rPr>
        <color rgb="FF1155CC"/>
        <u/>
      </rPr>
      <t>Dicastery for Evangelization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</si>
  <si>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Robert Francis Prevost</t>
    </r>
    <r>
      <rPr/>
      <t xml:space="preserve"> </t>
    </r>
  </si>
  <si>
    <r>
      <rPr>
        <color rgb="FF1155CC"/>
        <u/>
      </rPr>
      <t>United States</t>
    </r>
  </si>
  <si>
    <r>
      <rPr>
        <color rgb="FF1155CC"/>
        <u/>
      </rPr>
      <t>CB</t>
    </r>
  </si>
  <si>
    <r>
      <t xml:space="preserve">Prefect of the </t>
    </r>
    <r>
      <rPr>
        <color rgb="FF1155CC"/>
        <u/>
      </rPr>
      <t>Dicastery for Bishops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</si>
  <si>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Bechara Boutros al-Rahi</t>
    </r>
    <r>
      <rPr/>
      <t xml:space="preserve"> </t>
    </r>
  </si>
  <si>
    <r>
      <rPr>
        <color rgb="FF1155CC"/>
        <u/>
      </rPr>
      <t>Lebanon</t>
    </r>
  </si>
  <si>
    <r>
      <rPr>
        <color rgb="FF1155CC"/>
        <u/>
      </rPr>
      <t>CB</t>
    </r>
  </si>
  <si>
    <r>
      <rPr>
        <color rgb="FF1155CC"/>
        <u/>
      </rPr>
      <t>Patriarch of Antioch</t>
    </r>
    <r>
      <rPr/>
      <t xml:space="preserve">
(</t>
    </r>
    <r>
      <rPr>
        <color rgb="FF1155CC"/>
        <u/>
      </rPr>
      <t>Maronite Church</t>
    </r>
    <r>
      <rPr/>
      <t>)</t>
    </r>
  </si>
  <si>
    <r>
      <rPr>
        <color rgb="FF1155CC"/>
        <u/>
      </rPr>
      <t>Louis Raphaël I Sako</t>
    </r>
  </si>
  <si>
    <r>
      <rPr>
        <color rgb="FF1155CC"/>
        <u/>
      </rPr>
      <t>Iraq</t>
    </r>
  </si>
  <si>
    <r>
      <rPr>
        <color rgb="FF1155CC"/>
        <u/>
      </rPr>
      <t>CB</t>
    </r>
  </si>
  <si>
    <r>
      <rPr>
        <color rgb="FF1155CC"/>
        <u/>
      </rPr>
      <t>Patriarch of Baghdad</t>
    </r>
    <r>
      <rPr/>
      <t xml:space="preserve">
(</t>
    </r>
    <r>
      <rPr>
        <color rgb="FF1155CC"/>
        <u/>
      </rPr>
      <t>Chaldean Church</t>
    </r>
    <r>
      <rPr/>
      <t>)</t>
    </r>
  </si>
  <si>
    <r>
      <rPr>
        <color rgb="FF1155CC"/>
        <u/>
      </rPr>
      <t>Michael Michai Kitbunchu</t>
    </r>
  </si>
  <si>
    <r>
      <rPr>
        <color rgb="FF1155CC"/>
        <u/>
      </rPr>
      <t>Thailand</t>
    </r>
  </si>
  <si>
    <r>
      <rPr>
        <color rgb="FF1155CC"/>
        <u/>
      </rPr>
      <t>CP</t>
    </r>
  </si>
  <si>
    <r>
      <rPr>
        <color rgb="FF1155CC"/>
        <u/>
      </rPr>
      <t>Archbishop emeritus of Bangkok</t>
    </r>
  </si>
  <si>
    <r>
      <rPr>
        <color rgb="FF1155CC"/>
        <u/>
      </rPr>
      <t>Paul Poupard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</si>
  <si>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</si>
  <si>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</si>
  <si>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Councils for Culture</t>
    </r>
    <r>
      <rPr/>
      <t xml:space="preserve"> and </t>
    </r>
    <r>
      <rPr>
        <color rgb="FF1155CC"/>
        <u/>
      </rPr>
      <t>for Interreligious Dialogue</t>
    </r>
  </si>
  <si>
    <r>
      <rPr>
        <color rgb="FF1155CC"/>
        <u/>
      </rPr>
      <t>Friedrich Wetter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</si>
  <si>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</si>
  <si>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</si>
  <si>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rPr>
        <color rgb="FF1155CC"/>
        <u/>
      </rPr>
      <t>Archbishop emeritus of Munich and Freising</t>
    </r>
  </si>
  <si>
    <r>
      <rPr>
        <color rgb="FF1155CC"/>
        <u/>
      </rPr>
      <t>Nicolás de Jesús López Rodríguez</t>
    </r>
  </si>
  <si>
    <r>
      <rPr>
        <color rgb="FF1155CC"/>
        <u/>
      </rPr>
      <t>Dominican Republic</t>
    </r>
  </si>
  <si>
    <r>
      <rPr>
        <color rgb="FF1155CC"/>
        <u/>
      </rPr>
      <t>CP</t>
    </r>
  </si>
  <si>
    <r>
      <rPr>
        <color rgb="FF1155CC"/>
        <u/>
      </rPr>
      <t>Archbishop emeritus of Santo Domingo</t>
    </r>
  </si>
  <si>
    <r>
      <rPr>
        <color rgb="FF1155CC"/>
        <u/>
      </rPr>
      <t>Roger Mahony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</si>
  <si>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</si>
  <si>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</si>
  <si>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emeritus of Los Angeles</t>
    </r>
  </si>
  <si>
    <r>
      <rPr>
        <color rgb="FF1155CC"/>
        <u/>
      </rPr>
      <t>Camillo Ruini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</si>
  <si>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</si>
  <si>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</si>
  <si>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Vicar General emeritus for Rome</t>
    </r>
    <r>
      <rPr/>
      <t xml:space="preserve"> and Archpriest emeritus of the </t>
    </r>
    <r>
      <rPr>
        <color rgb="FF1155CC"/>
        <u/>
      </rPr>
      <t>Papal Basilica of Saint John Lateran</t>
    </r>
  </si>
  <si>
    <r>
      <rPr>
        <color rgb="FF1155CC"/>
        <u/>
      </rPr>
      <t>Julius Darmaatmadja</t>
    </r>
    <r>
      <rPr/>
      <t xml:space="preserve"> </t>
    </r>
  </si>
  <si>
    <r>
      <rPr>
        <color rgb="FF1155CC"/>
        <u/>
      </rPr>
      <t>Indonesia</t>
    </r>
  </si>
  <si>
    <r>
      <rPr>
        <color rgb="FF1155CC"/>
        <u/>
      </rPr>
      <t>CP</t>
    </r>
  </si>
  <si>
    <r>
      <rPr>
        <color rgb="FF1155CC"/>
        <u/>
      </rPr>
      <t>Archbishop emeritus of Jakarta</t>
    </r>
  </si>
  <si>
    <r>
      <rPr>
        <color rgb="FF1155CC"/>
        <u/>
      </rPr>
      <t>Emmanuel Wamala</t>
    </r>
  </si>
  <si>
    <r>
      <rPr>
        <color rgb="FF1155CC"/>
        <u/>
      </rPr>
      <t>Uganda</t>
    </r>
  </si>
  <si>
    <r>
      <rPr>
        <color rgb="FF1155CC"/>
        <u/>
      </rPr>
      <t>CP</t>
    </r>
  </si>
  <si>
    <r>
      <rPr>
        <color rgb="FF1155CC"/>
        <u/>
      </rPr>
      <t>Archbishop emeritus of Kampala</t>
    </r>
  </si>
  <si>
    <r>
      <rPr>
        <color rgb="FF1155CC"/>
        <u/>
      </rPr>
      <t>Adam Maida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</si>
  <si>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</si>
  <si>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</si>
  <si>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emeritus of Detroit</t>
    </r>
  </si>
  <si>
    <r>
      <rPr>
        <color rgb="FF1155CC"/>
        <u/>
      </rPr>
      <t>Vinko Puljić</t>
    </r>
  </si>
  <si>
    <r>
      <rPr>
        <color rgb="FF1155CC"/>
        <u/>
      </rPr>
      <t>Bosnia and Herzegovina</t>
    </r>
  </si>
  <si>
    <r>
      <rPr>
        <color rgb="FF1155CC"/>
        <u/>
      </rPr>
      <t>CP</t>
    </r>
  </si>
  <si>
    <r>
      <rPr>
        <color rgb="FF1155CC"/>
        <u/>
      </rPr>
      <t>Archbishop emeritus of Vrhbosna</t>
    </r>
  </si>
  <si>
    <r>
      <rPr>
        <color rgb="FF1155CC"/>
        <u/>
      </rPr>
      <t>Juan Sandoval Íñiguez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</si>
  <si>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</si>
  <si>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</si>
  <si>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Archbishop emeritus of Guadalajara</t>
    </r>
  </si>
  <si>
    <r>
      <rPr>
        <color rgb="FF1155CC"/>
        <u/>
      </rPr>
      <t>James Stafford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</si>
  <si>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</si>
  <si>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</si>
  <si>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Major Penitentiary emeritus</t>
    </r>
  </si>
  <si>
    <r>
      <rPr>
        <color rgb="FF1155CC"/>
        <u/>
      </rPr>
      <t>Salvatore De Giorgi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</si>
  <si>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</si>
  <si>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</si>
  <si>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Palermo</t>
    </r>
  </si>
  <si>
    <r>
      <rPr>
        <color rgb="FF1155CC"/>
        <u/>
      </rPr>
      <t>Antonio María Rouco Varela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</si>
  <si>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</si>
  <si>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</si>
  <si>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emeritus of Madrid</t>
    </r>
  </si>
  <si>
    <r>
      <rPr>
        <color rgb="FF1155CC"/>
        <u/>
      </rPr>
      <t>Polycarp Pengo</t>
    </r>
  </si>
  <si>
    <r>
      <rPr>
        <color rgb="FF1155CC"/>
        <u/>
      </rPr>
      <t>Tanzania</t>
    </r>
  </si>
  <si>
    <r>
      <rPr>
        <color rgb="FF1155CC"/>
        <u/>
      </rPr>
      <t>CP</t>
    </r>
  </si>
  <si>
    <r>
      <rPr>
        <color rgb="FF1155CC"/>
        <u/>
      </rPr>
      <t>Archbishop emeritus of Dar-es-Salaam</t>
    </r>
  </si>
  <si>
    <r>
      <rPr>
        <color rgb="FF1155CC"/>
        <u/>
      </rPr>
      <t>Christoph Schönborn</t>
    </r>
    <r>
      <rPr/>
      <t xml:space="preserve"> </t>
    </r>
  </si>
  <si>
    <r>
      <rPr>
        <color rgb="FF1155CC"/>
        <u/>
      </rPr>
      <t>Austria</t>
    </r>
    <r>
      <rPr/>
      <t/>
    </r>
    <r>
      <rPr>
        <color rgb="FF1155CC"/>
        <u/>
      </rPr>
      <t>[</t>
    </r>
    <r>
      <rPr>
        <color rgb="FF1155CC"/>
        <u/>
      </rPr>
      <t>d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</si>
  <si>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</si>
  <si>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Archbishop emeritus of Vienna</t>
    </r>
  </si>
  <si>
    <r>
      <rPr>
        <color rgb="FF1155CC"/>
        <u/>
      </rPr>
      <t>Norberto Rivera Carrera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</si>
  <si>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</si>
  <si>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</si>
  <si>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Archbishop emeritus of Mexico</t>
    </r>
  </si>
  <si>
    <r>
      <rPr>
        <color rgb="FF1155CC"/>
        <u/>
      </rPr>
      <t>Jānis Pujats</t>
    </r>
  </si>
  <si>
    <r>
      <rPr>
        <color rgb="FF1155CC"/>
        <u/>
      </rPr>
      <t>Latvia</t>
    </r>
  </si>
  <si>
    <r>
      <rPr>
        <color rgb="FF1155CC"/>
        <u/>
      </rPr>
      <t>CP</t>
    </r>
  </si>
  <si>
    <r>
      <rPr>
        <color rgb="FF1155CC"/>
        <u/>
      </rPr>
      <t>Archbishop emeritus of Riga</t>
    </r>
  </si>
  <si>
    <r>
      <rPr>
        <color rgb="FF1155CC"/>
        <u/>
      </rPr>
      <t>Crescenzio Sepe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</si>
  <si>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</si>
  <si>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</si>
  <si>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Naples</t>
    </r>
  </si>
  <si>
    <r>
      <rPr>
        <color rgb="FF1155CC"/>
        <u/>
      </rPr>
      <t>Walter Kasper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</si>
  <si>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</si>
  <si>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</si>
  <si>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Council for Promoting Christian Unity</t>
    </r>
  </si>
  <si>
    <r>
      <rPr>
        <color rgb="FF1155CC"/>
        <u/>
      </rPr>
      <t>Audrys Bačkis</t>
    </r>
  </si>
  <si>
    <r>
      <rPr>
        <color rgb="FF1155CC"/>
        <u/>
      </rPr>
      <t>Lithuania</t>
    </r>
  </si>
  <si>
    <r>
      <rPr>
        <color rgb="FF1155CC"/>
        <u/>
      </rPr>
      <t>CP</t>
    </r>
  </si>
  <si>
    <r>
      <rPr>
        <color rgb="FF1155CC"/>
        <u/>
      </rPr>
      <t>Archbishop emeritus of Vilnius</t>
    </r>
  </si>
  <si>
    <r>
      <rPr>
        <color rgb="FF1155CC"/>
        <u/>
      </rPr>
      <t>Francisco Javier Errázuriz Ossa</t>
    </r>
    <r>
      <rPr/>
      <t xml:space="preserve"> </t>
    </r>
  </si>
  <si>
    <r>
      <rPr>
        <color rgb="FF1155CC"/>
        <u/>
      </rPr>
      <t>Chile</t>
    </r>
  </si>
  <si>
    <r>
      <rPr>
        <color rgb="FF1155CC"/>
        <u/>
      </rPr>
      <t>CP</t>
    </r>
  </si>
  <si>
    <r>
      <rPr>
        <color rgb="FF1155CC"/>
        <u/>
      </rPr>
      <t>Archbishop emeritus of Santiago de Chile</t>
    </r>
  </si>
  <si>
    <r>
      <rPr>
        <color rgb="FF1155CC"/>
        <u/>
      </rPr>
      <t>Wilfrid Napier</t>
    </r>
    <r>
      <rPr/>
      <t xml:space="preserve"> </t>
    </r>
  </si>
  <si>
    <r>
      <rPr>
        <color rgb="FF1155CC"/>
        <u/>
      </rPr>
      <t>South Africa</t>
    </r>
  </si>
  <si>
    <r>
      <rPr>
        <color rgb="FF1155CC"/>
        <u/>
      </rPr>
      <t>CP</t>
    </r>
  </si>
  <si>
    <r>
      <rPr>
        <color rgb="FF1155CC"/>
        <u/>
      </rPr>
      <t>Archbishop emeritus of Durban</t>
    </r>
  </si>
  <si>
    <r>
      <rPr>
        <color rgb="FF1155CC"/>
        <u/>
      </rPr>
      <t>Óscar Rodríguez Maradiaga</t>
    </r>
    <r>
      <rPr/>
      <t xml:space="preserve"> </t>
    </r>
  </si>
  <si>
    <r>
      <rPr>
        <color rgb="FF1155CC"/>
        <u/>
      </rPr>
      <t>Honduras</t>
    </r>
  </si>
  <si>
    <r>
      <rPr>
        <color rgb="FF1155CC"/>
        <u/>
      </rPr>
      <t>CP</t>
    </r>
  </si>
  <si>
    <r>
      <rPr>
        <color rgb="FF1155CC"/>
        <u/>
      </rPr>
      <t>Archbishop emeritus of Tegucigalpa</t>
    </r>
    <r>
      <rPr/>
      <t xml:space="preserve"> and Coordinator emeritus of the </t>
    </r>
    <r>
      <rPr>
        <color rgb="FF1155CC"/>
        <u/>
      </rPr>
      <t>Council of Cardinals</t>
    </r>
  </si>
  <si>
    <r>
      <rPr>
        <color rgb="FF1155CC"/>
        <u/>
      </rPr>
      <t>Juan Luis Cipriani Thorne</t>
    </r>
  </si>
  <si>
    <r>
      <rPr>
        <color rgb="FF1155CC"/>
        <u/>
      </rPr>
      <t>Peru</t>
    </r>
  </si>
  <si>
    <r>
      <rPr>
        <color rgb="FF1155CC"/>
        <u/>
      </rPr>
      <t>CP</t>
    </r>
  </si>
  <si>
    <r>
      <rPr>
        <color rgb="FF1155CC"/>
        <u/>
      </rPr>
      <t>Archbishop emeritus of Lima</t>
    </r>
  </si>
  <si>
    <r>
      <rPr>
        <color rgb="FF1155CC"/>
        <u/>
      </rPr>
      <t>Julián Herranz Casado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</si>
  <si>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</si>
  <si>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</si>
  <si>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Council for Legislative Texts</t>
    </r>
  </si>
  <si>
    <r>
      <rPr>
        <color rgb="FF1155CC"/>
        <u/>
      </rPr>
      <t>Angelo Scola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</si>
  <si>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</si>
  <si>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</si>
  <si>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Milan</t>
    </r>
  </si>
  <si>
    <r>
      <rPr>
        <color rgb="FF1155CC"/>
        <u/>
      </rPr>
      <t>Anthony Olubunmi Okogie</t>
    </r>
  </si>
  <si>
    <r>
      <rPr>
        <color rgb="FF1155CC"/>
        <u/>
      </rPr>
      <t>Nigeria</t>
    </r>
  </si>
  <si>
    <r>
      <rPr>
        <color rgb="FF1155CC"/>
        <u/>
      </rPr>
      <t>CP</t>
    </r>
  </si>
  <si>
    <r>
      <rPr>
        <color rgb="FF1155CC"/>
        <u/>
      </rPr>
      <t>Archbishop emeritus of Lagos</t>
    </r>
  </si>
  <si>
    <r>
      <rPr>
        <color rgb="FF1155CC"/>
        <u/>
      </rPr>
      <t>Gabriel Zubeir Wako</t>
    </r>
  </si>
  <si>
    <r>
      <rPr>
        <color rgb="FF1155CC"/>
        <u/>
      </rPr>
      <t>Sudan</t>
    </r>
  </si>
  <si>
    <r>
      <rPr>
        <color rgb="FF1155CC"/>
        <u/>
      </rPr>
      <t>CP</t>
    </r>
  </si>
  <si>
    <r>
      <rPr>
        <color rgb="FF1155CC"/>
        <u/>
      </rPr>
      <t>Archbishop emeritus of Khartoum</t>
    </r>
  </si>
  <si>
    <r>
      <rPr>
        <color rgb="FF1155CC"/>
        <u/>
      </rPr>
      <t>Justin Rigali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</si>
  <si>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</si>
  <si>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</si>
  <si>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emeritus of Philadelphia</t>
    </r>
  </si>
  <si>
    <r>
      <rPr>
        <color rgb="FF1155CC"/>
        <u/>
      </rPr>
      <t>Ennio Antonelli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</si>
  <si>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</si>
  <si>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</si>
  <si>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Council for the Family</t>
    </r>
  </si>
  <si>
    <r>
      <rPr>
        <color rgb="FF1155CC"/>
        <u/>
      </rPr>
      <t>Peter Turkson</t>
    </r>
  </si>
  <si>
    <r>
      <rPr>
        <color rgb="FF1155CC"/>
        <u/>
      </rPr>
      <t>Ghana</t>
    </r>
  </si>
  <si>
    <r>
      <rPr>
        <color rgb="FF1155CC"/>
        <u/>
      </rPr>
      <t>CP</t>
    </r>
  </si>
  <si>
    <r>
      <t xml:space="preserve">Chancellor of the </t>
    </r>
    <r>
      <rPr>
        <color rgb="FF1155CC"/>
        <u/>
      </rPr>
      <t>Pontifical Academy of Sciences</t>
    </r>
    <r>
      <rPr/>
      <t xml:space="preserve"> and the </t>
    </r>
    <r>
      <rPr>
        <color rgb="FF1155CC"/>
        <u/>
      </rPr>
      <t>Pontifical Academy of Social Sciences</t>
    </r>
  </si>
  <si>
    <r>
      <rPr>
        <color rgb="FF1155CC"/>
        <u/>
      </rPr>
      <t>Josip Bozanić</t>
    </r>
  </si>
  <si>
    <r>
      <rPr>
        <color rgb="FF1155CC"/>
        <u/>
      </rPr>
      <t>Croatia</t>
    </r>
  </si>
  <si>
    <r>
      <rPr>
        <color rgb="FF1155CC"/>
        <u/>
      </rPr>
      <t>CP</t>
    </r>
  </si>
  <si>
    <r>
      <rPr>
        <color rgb="FF1155CC"/>
        <u/>
      </rPr>
      <t>Archbishop emeritus of Zagreb</t>
    </r>
  </si>
  <si>
    <r>
      <rPr>
        <color rgb="FF1155CC"/>
        <u/>
      </rPr>
      <t>Jean-Baptiste Phạm Minh Mẫn</t>
    </r>
  </si>
  <si>
    <r>
      <rPr>
        <color rgb="FF1155CC"/>
        <u/>
      </rPr>
      <t>Vietnam</t>
    </r>
  </si>
  <si>
    <r>
      <rPr>
        <color rgb="FF1155CC"/>
        <u/>
      </rPr>
      <t>CP</t>
    </r>
  </si>
  <si>
    <r>
      <rPr>
        <color rgb="FF1155CC"/>
        <u/>
      </rPr>
      <t>Archbishop emeritus of Ho Chi Minh City</t>
    </r>
  </si>
  <si>
    <r>
      <rPr>
        <color rgb="FF1155CC"/>
        <u/>
      </rPr>
      <t>Philippe Barbarin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</si>
  <si>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</si>
  <si>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</si>
  <si>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emeritus of Lyon</t>
    </r>
  </si>
  <si>
    <r>
      <rPr>
        <color rgb="FF1155CC"/>
        <u/>
      </rPr>
      <t>Péter Erdő</t>
    </r>
  </si>
  <si>
    <r>
      <rPr>
        <color rgb="FF1155CC"/>
        <u/>
      </rPr>
      <t>Hungary</t>
    </r>
  </si>
  <si>
    <r>
      <rPr>
        <color rgb="FF1155CC"/>
        <u/>
      </rPr>
      <t>CP</t>
    </r>
  </si>
  <si>
    <r>
      <rPr>
        <color rgb="FF1155CC"/>
        <u/>
      </rPr>
      <t>Archbishop of Esztergom–Budapest</t>
    </r>
  </si>
  <si>
    <r>
      <rPr>
        <color rgb="FF1155CC"/>
        <u/>
      </rPr>
      <t>Franc Rodé</t>
    </r>
    <r>
      <rPr/>
      <t xml:space="preserve"> </t>
    </r>
  </si>
  <si>
    <r>
      <rPr>
        <color rgb="FF1155CC"/>
        <u/>
      </rPr>
      <t>Slovenia</t>
    </r>
  </si>
  <si>
    <r>
      <rPr>
        <color rgb="FF1155CC"/>
        <u/>
      </rPr>
      <t>CP</t>
    </r>
  </si>
  <si>
    <r>
      <t xml:space="preserve">Prefect emeritus of the </t>
    </r>
    <r>
      <rPr>
        <color rgb="FF1155CC"/>
        <u/>
      </rPr>
      <t>Congregation for Institutes of Consecrated Life and Societies of Apostolic Life</t>
    </r>
  </si>
  <si>
    <r>
      <rPr>
        <color rgb="FF1155CC"/>
        <u/>
      </rPr>
      <t>Agostino Vallini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</si>
  <si>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</si>
  <si>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</si>
  <si>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Pontifical Legate for the Basilicas of Saint Francis and Saint Mary of the Angels in Assisi</t>
    </r>
  </si>
  <si>
    <r>
      <rPr>
        <color rgb="FF1155CC"/>
        <u/>
      </rPr>
      <t>Gaudencio Borbon Rosales</t>
    </r>
  </si>
  <si>
    <r>
      <rPr>
        <color rgb="FF1155CC"/>
        <u/>
      </rPr>
      <t>Philippines</t>
    </r>
  </si>
  <si>
    <r>
      <rPr>
        <color rgb="FF1155CC"/>
        <u/>
      </rPr>
      <t>CP</t>
    </r>
  </si>
  <si>
    <r>
      <rPr>
        <color rgb="FF1155CC"/>
        <u/>
      </rPr>
      <t>Archbishop emeritus of Manila</t>
    </r>
  </si>
  <si>
    <r>
      <rPr>
        <color rgb="FF1155CC"/>
        <u/>
      </rPr>
      <t>Jean-Pierre Ricard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</si>
  <si>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</si>
  <si>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</si>
  <si>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emeritus of Bordeaux</t>
    </r>
  </si>
  <si>
    <r>
      <rPr>
        <color rgb="FF1155CC"/>
        <u/>
      </rPr>
      <t>Antonio Cañizares Llovera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</si>
  <si>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</si>
  <si>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</si>
  <si>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emeritus of Valencia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</si>
  <si>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</si>
  <si>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</si>
  <si>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emeritus of Boston</t>
    </r>
    <r>
      <rPr/>
      <t xml:space="preserve"> and President of the </t>
    </r>
    <r>
      <rPr>
        <color rgb="FF1155CC"/>
        <u/>
      </rPr>
      <t>Pontifical Commission for the Protection of Minors</t>
    </r>
  </si>
  <si>
    <r>
      <rPr>
        <color rgb="FF1155CC"/>
        <u/>
      </rPr>
      <t>Stanisław Dziwisz</t>
    </r>
  </si>
  <si>
    <r>
      <rPr>
        <color rgb="FF1155CC"/>
        <u/>
      </rPr>
      <t>Poland</t>
    </r>
  </si>
  <si>
    <r>
      <rPr>
        <color rgb="FF1155CC"/>
        <u/>
      </rPr>
      <t>CP</t>
    </r>
  </si>
  <si>
    <r>
      <rPr>
        <color rgb="FF1155CC"/>
        <u/>
      </rPr>
      <t>Archbishop emeritus of Kraków</t>
    </r>
  </si>
  <si>
    <r>
      <rPr>
        <color rgb="FF1155CC"/>
        <u/>
      </rPr>
      <t>Joseph Zen Ze-kiun</t>
    </r>
    <r>
      <rPr/>
      <t xml:space="preserve"> </t>
    </r>
  </si>
  <si>
    <r>
      <rPr>
        <color rgb="FF1155CC"/>
        <u/>
      </rPr>
      <t>China</t>
    </r>
    <r>
      <rPr/>
      <t xml:space="preserve">
(</t>
    </r>
    <r>
      <rPr>
        <color rgb="FF1155CC"/>
        <u/>
      </rPr>
      <t>Hong Kong</t>
    </r>
    <r>
      <rPr/>
      <t>)</t>
    </r>
    <r>
      <rPr>
        <color rgb="FF1155CC"/>
        <u/>
      </rPr>
      <t>[</t>
    </r>
    <r>
      <rPr>
        <color rgb="FF1155CC"/>
        <u/>
      </rPr>
      <t>f</t>
    </r>
    <r>
      <rPr/>
      <t>]</t>
    </r>
  </si>
  <si>
    <r>
      <rPr>
        <color rgb="FF1155CC"/>
        <u/>
      </rPr>
      <t>CP</t>
    </r>
  </si>
  <si>
    <r>
      <rPr>
        <color rgb="FF1155CC"/>
        <u/>
      </rPr>
      <t>Bishop emeritus of Hong Kong</t>
    </r>
  </si>
  <si>
    <r>
      <rPr>
        <color rgb="FF1155CC"/>
        <u/>
      </rPr>
      <t>Giovanni Lajolo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</si>
  <si>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</si>
  <si>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</si>
  <si>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Commission for Vatican City State</t>
    </r>
  </si>
  <si>
    <r>
      <rPr>
        <color rgb="FF1155CC"/>
        <u/>
      </rPr>
      <t>Angelo Comastri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</si>
  <si>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</si>
  <si>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</si>
  <si>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Vicar General emeritus for Vatican City</t>
    </r>
    <r>
      <rPr/>
      <t xml:space="preserve">, Archpriest emeritus of the </t>
    </r>
    <r>
      <rPr>
        <color rgb="FF1155CC"/>
        <u/>
      </rPr>
      <t>Papal Basilica of Saint Peter</t>
    </r>
    <r>
      <rPr/>
      <t xml:space="preserve"> and President emeritus of the </t>
    </r>
    <r>
      <rPr>
        <color rgb="FF1155CC"/>
        <u/>
      </rPr>
      <t>Fabric of Saint Peter</t>
    </r>
  </si>
  <si>
    <r>
      <rPr>
        <color rgb="FF1155CC"/>
        <u/>
      </rPr>
      <t>Stanisław Ryłko</t>
    </r>
  </si>
  <si>
    <r>
      <rPr>
        <color rgb="FF1155CC"/>
        <u/>
      </rPr>
      <t>Poland</t>
    </r>
  </si>
  <si>
    <r>
      <rPr>
        <color rgb="FF1155CC"/>
        <u/>
      </rPr>
      <t>CP</t>
    </r>
  </si>
  <si>
    <r>
      <t xml:space="preserve">Archpriest of the </t>
    </r>
    <r>
      <rPr>
        <color rgb="FF1155CC"/>
        <u/>
      </rPr>
      <t>Papal Basilica of Saint Mary Major</t>
    </r>
  </si>
  <si>
    <r>
      <rPr>
        <color rgb="FF1155CC"/>
        <u/>
      </rPr>
      <t>Raffaele Farina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</si>
  <si>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</si>
  <si>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</si>
  <si>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Archivist and Librarian emeritus of the Holy Roman Church</t>
    </r>
  </si>
  <si>
    <r>
      <rPr>
        <color rgb="FF1155CC"/>
        <u/>
      </rPr>
      <t>Seán Brady</t>
    </r>
  </si>
  <si>
    <r>
      <rPr>
        <color rgb="FF1155CC"/>
        <u/>
      </rPr>
      <t>Ireland</t>
    </r>
    <r>
      <rPr/>
      <t/>
    </r>
    <r>
      <rPr>
        <color rgb="FF1155CC"/>
        <u/>
      </rPr>
      <t>[</t>
    </r>
    <r>
      <rPr>
        <color rgb="FF1155CC"/>
        <u/>
      </rPr>
      <t>g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</si>
  <si>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</si>
  <si>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Archbishop emeritus of Armagh</t>
    </r>
  </si>
  <si>
    <r>
      <rPr>
        <color rgb="FF1155CC"/>
        <u/>
      </rPr>
      <t>Lluís Martínez i Sistach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</si>
  <si>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</si>
  <si>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</si>
  <si>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emeritus of Barcelona</t>
    </r>
  </si>
  <si>
    <r>
      <rPr>
        <color rgb="FF1155CC"/>
        <u/>
      </rPr>
      <t>André Vingt-Trois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</si>
  <si>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</si>
  <si>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</si>
  <si>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emeritus of Paris</t>
    </r>
  </si>
  <si>
    <r>
      <rPr>
        <color rgb="FF1155CC"/>
        <u/>
      </rPr>
      <t>Angelo Bagnasco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</si>
  <si>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</si>
  <si>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</si>
  <si>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Genoa</t>
    </r>
  </si>
  <si>
    <r>
      <rPr>
        <color rgb="FF1155CC"/>
        <u/>
      </rPr>
      <t>Théodore-Adrien Sarr</t>
    </r>
  </si>
  <si>
    <r>
      <rPr>
        <color rgb="FF1155CC"/>
        <u/>
      </rPr>
      <t>Senegal</t>
    </r>
  </si>
  <si>
    <r>
      <rPr>
        <color rgb="FF1155CC"/>
        <u/>
      </rPr>
      <t>CP</t>
    </r>
  </si>
  <si>
    <r>
      <rPr>
        <color rgb="FF1155CC"/>
        <u/>
      </rPr>
      <t>Archbishop emeritus of Dakar</t>
    </r>
  </si>
  <si>
    <r>
      <rPr>
        <color rgb="FF1155CC"/>
        <u/>
      </rPr>
      <t>Oswald Gracias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</si>
  <si>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</si>
  <si>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</si>
  <si>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Archbishop emeritus of Bombay</t>
    </r>
  </si>
  <si>
    <r>
      <rPr>
        <color rgb="FF1155CC"/>
        <u/>
      </rPr>
      <t>Francisco Robles Ortega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</si>
  <si>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</si>
  <si>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</si>
  <si>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Archbishop of Guadalajara</t>
    </r>
  </si>
  <si>
    <r>
      <rPr>
        <color rgb="FF1155CC"/>
        <u/>
      </rPr>
      <t>Daniel DiNardo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</si>
  <si>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</si>
  <si>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</si>
  <si>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emeritus of Galveston–Houston</t>
    </r>
  </si>
  <si>
    <r>
      <rPr>
        <color rgb="FF1155CC"/>
        <u/>
      </rPr>
      <t>Odilo Scherer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</si>
  <si>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</si>
  <si>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</si>
  <si>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São Paulo</t>
    </r>
  </si>
  <si>
    <r>
      <rPr>
        <color rgb="FF1155CC"/>
        <u/>
      </rPr>
      <t>John Njue</t>
    </r>
  </si>
  <si>
    <r>
      <rPr>
        <color rgb="FF1155CC"/>
        <u/>
      </rPr>
      <t>Kenya</t>
    </r>
  </si>
  <si>
    <r>
      <rPr>
        <color rgb="FF1155CC"/>
        <u/>
      </rPr>
      <t>CP</t>
    </r>
  </si>
  <si>
    <r>
      <rPr>
        <color rgb="FF1155CC"/>
        <u/>
      </rPr>
      <t>Archbishop emeritus of Nairobi</t>
    </r>
  </si>
  <si>
    <r>
      <rPr>
        <color rgb="FF1155CC"/>
        <u/>
      </rPr>
      <t>Estanislao Esteban Karlic</t>
    </r>
  </si>
  <si>
    <r>
      <rPr>
        <color rgb="FF1155CC"/>
        <u/>
      </rPr>
      <t>Argentina</t>
    </r>
  </si>
  <si>
    <r>
      <rPr>
        <color rgb="FF1155CC"/>
        <u/>
      </rPr>
      <t>CP</t>
    </r>
  </si>
  <si>
    <r>
      <rPr>
        <color rgb="FF1155CC"/>
        <u/>
      </rPr>
      <t>Archbishop emeritus of Paraná</t>
    </r>
  </si>
  <si>
    <r>
      <rPr>
        <color rgb="FF1155CC"/>
        <u/>
      </rPr>
      <t>Robert Sarah</t>
    </r>
  </si>
  <si>
    <r>
      <rPr>
        <color rgb="FF1155CC"/>
        <u/>
      </rPr>
      <t>Guinea</t>
    </r>
  </si>
  <si>
    <r>
      <rPr>
        <color rgb="FF1155CC"/>
        <u/>
      </rPr>
      <t>CP</t>
    </r>
  </si>
  <si>
    <r>
      <t xml:space="preserve">Prefect emeritus of the </t>
    </r>
    <r>
      <rPr>
        <color rgb="FF1155CC"/>
        <u/>
      </rPr>
      <t>Congregation for Divine Worship and the Discipline of the Sacraments</t>
    </r>
  </si>
  <si>
    <r>
      <rPr>
        <color rgb="FF1155CC"/>
        <u/>
      </rPr>
      <t>Francesco Monterisi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</si>
  <si>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</si>
  <si>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</si>
  <si>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Archpriest emeritus of the </t>
    </r>
    <r>
      <rPr>
        <color rgb="FF1155CC"/>
        <u/>
      </rPr>
      <t>Papal Basilica of Saint Paul Outside the Walls</t>
    </r>
  </si>
  <si>
    <r>
      <rPr>
        <color rgb="FF1155CC"/>
        <u/>
      </rPr>
      <t>Raymond Leo Burke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</si>
  <si>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</si>
  <si>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</si>
  <si>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t xml:space="preserve">Patron emeritus of the </t>
    </r>
    <r>
      <rPr>
        <color rgb="FF1155CC"/>
        <u/>
      </rPr>
      <t>Sovereign Military Order of Malta</t>
    </r>
  </si>
  <si>
    <r>
      <rPr>
        <color rgb="FF1155CC"/>
        <u/>
      </rPr>
      <t>Kurt Koch</t>
    </r>
  </si>
  <si>
    <r>
      <rPr>
        <color rgb="FF1155CC"/>
        <u/>
      </rPr>
      <t>Switzerland</t>
    </r>
  </si>
  <si>
    <r>
      <rPr>
        <color rgb="FF1155CC"/>
        <u/>
      </rPr>
      <t>CP</t>
    </r>
  </si>
  <si>
    <r>
      <t xml:space="preserve">Prefect of the </t>
    </r>
    <r>
      <rPr>
        <color rgb="FF1155CC"/>
        <u/>
      </rPr>
      <t>Dicastery for Promoting Christian Unity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</si>
  <si>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Mauro Piacenza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</si>
  <si>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</si>
  <si>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</si>
  <si>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Major Penitentiary emeritus</t>
    </r>
  </si>
  <si>
    <r>
      <rPr>
        <color rgb="FF1155CC"/>
        <u/>
      </rPr>
      <t>Gianfranco Ravasi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</si>
  <si>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</si>
  <si>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</si>
  <si>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Council for Culture</t>
    </r>
  </si>
  <si>
    <r>
      <rPr>
        <color rgb="FF1155CC"/>
        <u/>
      </rPr>
      <t>Paolo Romeo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</si>
  <si>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</si>
  <si>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</si>
  <si>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Palermo</t>
    </r>
  </si>
  <si>
    <r>
      <rPr>
        <color rgb="FF1155CC"/>
        <u/>
      </rPr>
      <t>Donald Wuerl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</si>
  <si>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</si>
  <si>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</si>
  <si>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emeritus of Washington</t>
    </r>
  </si>
  <si>
    <r>
      <rPr>
        <color rgb="FF1155CC"/>
        <u/>
      </rPr>
      <t>Raymundo Damasceno Assis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</si>
  <si>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</si>
  <si>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</si>
  <si>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emeritus of Aparecida</t>
    </r>
  </si>
  <si>
    <r>
      <rPr>
        <color rgb="FF1155CC"/>
        <u/>
      </rPr>
      <t>Kazimierz Nycz</t>
    </r>
  </si>
  <si>
    <r>
      <rPr>
        <color rgb="FF1155CC"/>
        <u/>
      </rPr>
      <t>Poland</t>
    </r>
  </si>
  <si>
    <r>
      <rPr>
        <color rgb="FF1155CC"/>
        <u/>
      </rPr>
      <t>CP</t>
    </r>
  </si>
  <si>
    <r>
      <rPr>
        <color rgb="FF1155CC"/>
        <u/>
      </rPr>
      <t>Archbishop emeritus of Warsaw</t>
    </r>
  </si>
  <si>
    <r>
      <rPr>
        <color rgb="FF1155CC"/>
        <u/>
      </rPr>
      <t>Malcolm Ranjith</t>
    </r>
  </si>
  <si>
    <r>
      <rPr>
        <color rgb="FF1155CC"/>
        <u/>
      </rPr>
      <t>Sri Lanka</t>
    </r>
  </si>
  <si>
    <r>
      <rPr>
        <color rgb="FF1155CC"/>
        <u/>
      </rPr>
      <t>CP</t>
    </r>
  </si>
  <si>
    <r>
      <rPr>
        <color rgb="FF1155CC"/>
        <u/>
      </rPr>
      <t>Archbishop of Colombo</t>
    </r>
  </si>
  <si>
    <r>
      <rPr>
        <color rgb="FF1155CC"/>
        <u/>
      </rPr>
      <t>Reinhard Marx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</si>
  <si>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</si>
  <si>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</si>
  <si>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rPr>
        <color rgb="FF1155CC"/>
        <u/>
      </rPr>
      <t>Archbishop of Munich and Freising</t>
    </r>
    <r>
      <rPr/>
      <t xml:space="preserve"> and Coordinator of the </t>
    </r>
    <r>
      <rPr>
        <color rgb="FF1155CC"/>
        <u/>
      </rPr>
      <t>Council for the Economy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</si>
  <si>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Walter Brandmüller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</si>
  <si>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</si>
  <si>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</si>
  <si>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Committee for Historical Sciences</t>
    </r>
  </si>
  <si>
    <r>
      <rPr>
        <color rgb="FF1155CC"/>
        <u/>
      </rPr>
      <t>Manuel Monteiro de Castro</t>
    </r>
  </si>
  <si>
    <r>
      <rPr>
        <color rgb="FF1155CC"/>
        <u/>
      </rPr>
      <t>Portugal</t>
    </r>
  </si>
  <si>
    <r>
      <rPr>
        <color rgb="FF1155CC"/>
        <u/>
      </rPr>
      <t>CP</t>
    </r>
  </si>
  <si>
    <r>
      <rPr>
        <color rgb="FF1155CC"/>
        <u/>
      </rPr>
      <t>Major Penitentiary emeritus</t>
    </r>
  </si>
  <si>
    <r>
      <rPr>
        <color rgb="FF1155CC"/>
        <u/>
      </rPr>
      <t>Santos Abril y Castelló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</si>
  <si>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</si>
  <si>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</si>
  <si>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t xml:space="preserve">Archpriest emeritus of the </t>
    </r>
    <r>
      <rPr>
        <color rgb="FF1155CC"/>
        <u/>
      </rPr>
      <t>Papal Basilica of Saint Mary Major</t>
    </r>
  </si>
  <si>
    <r>
      <rPr>
        <color rgb="FF1155CC"/>
        <u/>
      </rPr>
      <t>Antonio Maria Vegliò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</si>
  <si>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</si>
  <si>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</si>
  <si>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Council for the Pastoral Care of Migrants and Itinerant People</t>
    </r>
  </si>
  <si>
    <r>
      <rPr>
        <color rgb="FF1155CC"/>
        <u/>
      </rPr>
      <t>Giuseppe Bertello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</si>
  <si>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</si>
  <si>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</si>
  <si>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Commission for Vatican City State</t>
    </r>
  </si>
  <si>
    <r>
      <rPr>
        <color rgb="FF1155CC"/>
        <u/>
      </rPr>
      <t>Francesco Coccopalmerio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</si>
  <si>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</si>
  <si>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</si>
  <si>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Council for Legislative Texts</t>
    </r>
  </si>
  <si>
    <r>
      <rPr>
        <color rgb="FF1155CC"/>
        <u/>
      </rPr>
      <t>João Braz de Aviz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</si>
  <si>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</si>
  <si>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</si>
  <si>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t xml:space="preserve">Prefect emeritus of the </t>
    </r>
    <r>
      <rPr>
        <color rgb="FF1155CC"/>
        <u/>
      </rPr>
      <t>Dicastery for Institutes of Consecrated Life and Societies of Apostolic Life</t>
    </r>
  </si>
  <si>
    <r>
      <rPr>
        <color rgb="FF1155CC"/>
        <u/>
      </rPr>
      <t>Edwin Frederick O'Brien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</si>
  <si>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</si>
  <si>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</si>
  <si>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t xml:space="preserve">Grand Master emeritus of the </t>
    </r>
    <r>
      <rPr>
        <color rgb="FF1155CC"/>
        <u/>
      </rPr>
      <t>Order of the Holy Sepulchre</t>
    </r>
  </si>
  <si>
    <r>
      <rPr>
        <color rgb="FF1155CC"/>
        <u/>
      </rPr>
      <t>Domenico Calcagno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</si>
  <si>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</si>
  <si>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</si>
  <si>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Administration of the Patrimony of the Apostolic See</t>
    </r>
  </si>
  <si>
    <r>
      <rPr>
        <color rgb="FF1155CC"/>
        <u/>
      </rPr>
      <t>Giuseppe Versaldi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</si>
  <si>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</si>
  <si>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</si>
  <si>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Prefect emeritus of the </t>
    </r>
    <r>
      <rPr>
        <color rgb="FF1155CC"/>
        <u/>
      </rPr>
      <t>Congregation for Catholic Education</t>
    </r>
  </si>
  <si>
    <r>
      <rPr>
        <color rgb="FF1155CC"/>
        <u/>
      </rPr>
      <t>George Alencherry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</si>
  <si>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</si>
  <si>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</si>
  <si>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Major Archbishop emeritus of Ernakulam–Angamaly</t>
    </r>
    <r>
      <rPr/>
      <t xml:space="preserve">
(</t>
    </r>
    <r>
      <rPr>
        <color rgb="FF1155CC"/>
        <u/>
      </rPr>
      <t>Syro-Malabar Church</t>
    </r>
    <r>
      <rPr/>
      <t>)</t>
    </r>
  </si>
  <si>
    <r>
      <rPr>
        <color rgb="FF1155CC"/>
        <u/>
      </rPr>
      <t>Thomas Collins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</si>
  <si>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</si>
  <si>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</si>
  <si>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rPr>
        <color rgb="FF1155CC"/>
        <u/>
      </rPr>
      <t>Archbishop emeritus of Toronto</t>
    </r>
  </si>
  <si>
    <r>
      <rPr>
        <color rgb="FF1155CC"/>
        <u/>
      </rPr>
      <t>Dominik Duka</t>
    </r>
    <r>
      <rPr/>
      <t xml:space="preserve"> </t>
    </r>
  </si>
  <si>
    <r>
      <rPr>
        <color rgb="FF1155CC"/>
        <u/>
      </rPr>
      <t>Czech Republic</t>
    </r>
  </si>
  <si>
    <r>
      <rPr>
        <color rgb="FF1155CC"/>
        <u/>
      </rPr>
      <t>CP</t>
    </r>
  </si>
  <si>
    <r>
      <rPr>
        <color rgb="FF1155CC"/>
        <u/>
      </rPr>
      <t>Archbishop emeritus of Prague</t>
    </r>
  </si>
  <si>
    <r>
      <rPr>
        <color rgb="FF1155CC"/>
        <u/>
      </rPr>
      <t>Wim Eijk</t>
    </r>
  </si>
  <si>
    <r>
      <rPr>
        <color rgb="FF1155CC"/>
        <u/>
      </rPr>
      <t>Netherlands</t>
    </r>
  </si>
  <si>
    <r>
      <rPr>
        <color rgb="FF1155CC"/>
        <u/>
      </rPr>
      <t>CP</t>
    </r>
  </si>
  <si>
    <r>
      <rPr>
        <color rgb="FF1155CC"/>
        <u/>
      </rPr>
      <t>Archbishop of Utrecht</t>
    </r>
  </si>
  <si>
    <r>
      <rPr>
        <color rgb="FF1155CC"/>
        <u/>
      </rPr>
      <t>Giuseppe Betori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</si>
  <si>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</si>
  <si>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</si>
  <si>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Florence</t>
    </r>
  </si>
  <si>
    <r>
      <rPr>
        <color rgb="FF1155CC"/>
        <u/>
      </rPr>
      <t>Timothy M. Dolan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</si>
  <si>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</si>
  <si>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</si>
  <si>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New York</t>
    </r>
  </si>
  <si>
    <r>
      <rPr>
        <color rgb="FF1155CC"/>
        <u/>
      </rPr>
      <t>Rainer Woelki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</si>
  <si>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</si>
  <si>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</si>
  <si>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rPr>
        <color rgb="FF1155CC"/>
        <u/>
      </rPr>
      <t>Archbishop of Cologne</t>
    </r>
  </si>
  <si>
    <r>
      <rPr>
        <color rgb="FF1155CC"/>
        <u/>
      </rPr>
      <t>John Tong Hon</t>
    </r>
  </si>
  <si>
    <r>
      <rPr>
        <color rgb="FF1155CC"/>
        <u/>
      </rPr>
      <t>China</t>
    </r>
    <r>
      <rPr/>
      <t xml:space="preserve">
(</t>
    </r>
    <r>
      <rPr>
        <color rgb="FF1155CC"/>
        <u/>
      </rPr>
      <t>Hong Kong</t>
    </r>
    <r>
      <rPr/>
      <t>)</t>
    </r>
    <r>
      <rPr>
        <color rgb="FF1155CC"/>
        <u/>
      </rPr>
      <t>[</t>
    </r>
    <r>
      <rPr>
        <color rgb="FF1155CC"/>
        <u/>
      </rPr>
      <t>f</t>
    </r>
    <r>
      <rPr/>
      <t>]</t>
    </r>
  </si>
  <si>
    <r>
      <rPr>
        <color rgb="FF1155CC"/>
        <u/>
      </rPr>
      <t>CP</t>
    </r>
  </si>
  <si>
    <r>
      <rPr>
        <color rgb="FF1155CC"/>
        <u/>
      </rPr>
      <t>Bishop emeritus of Hong Kong</t>
    </r>
  </si>
  <si>
    <r>
      <rPr>
        <color rgb="FF1155CC"/>
        <u/>
      </rPr>
      <t>Lucian Mureșan</t>
    </r>
  </si>
  <si>
    <r>
      <rPr>
        <color rgb="FF1155CC"/>
        <u/>
      </rPr>
      <t>Romania</t>
    </r>
  </si>
  <si>
    <r>
      <rPr>
        <color rgb="FF1155CC"/>
        <u/>
      </rPr>
      <t>CP</t>
    </r>
  </si>
  <si>
    <r>
      <rPr>
        <color rgb="FF1155CC"/>
        <u/>
      </rPr>
      <t>Major Archbishop of Făgăraș and Alba Iulia</t>
    </r>
    <r>
      <rPr/>
      <t xml:space="preserve">
(</t>
    </r>
    <r>
      <rPr>
        <color rgb="FF1155CC"/>
        <u/>
      </rPr>
      <t>Romanian Greek Church</t>
    </r>
    <r>
      <rPr/>
      <t>)</t>
    </r>
  </si>
  <si>
    <t>Romanian</t>
  </si>
  <si>
    <r>
      <rPr>
        <color rgb="FF1155CC"/>
        <u/>
      </rPr>
      <t>James Michael Harvey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</si>
  <si>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</si>
  <si>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</si>
  <si>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t xml:space="preserve">Archpriest of the </t>
    </r>
    <r>
      <rPr>
        <color rgb="FF1155CC"/>
        <u/>
      </rPr>
      <t>Papal Basilica of Saint Paul Outside the Walls</t>
    </r>
  </si>
  <si>
    <r>
      <rPr>
        <color rgb="FF1155CC"/>
        <u/>
      </rPr>
      <t>Baselios Cleemis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</si>
  <si>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</si>
  <si>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</si>
  <si>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Major Archbishop of Trivandrum</t>
    </r>
    <r>
      <rPr/>
      <t xml:space="preserve">
(</t>
    </r>
    <r>
      <rPr>
        <color rgb="FF1155CC"/>
        <u/>
      </rPr>
      <t>Syro-Malankara Church</t>
    </r>
    <r>
      <rPr/>
      <t>)</t>
    </r>
  </si>
  <si>
    <r>
      <rPr>
        <color rgb="FF1155CC"/>
        <u/>
      </rPr>
      <t>John Onaiyekan</t>
    </r>
  </si>
  <si>
    <r>
      <rPr>
        <color rgb="FF1155CC"/>
        <u/>
      </rPr>
      <t>Nigeria</t>
    </r>
  </si>
  <si>
    <r>
      <rPr>
        <color rgb="FF1155CC"/>
        <u/>
      </rPr>
      <t>CP</t>
    </r>
  </si>
  <si>
    <r>
      <rPr>
        <color rgb="FF1155CC"/>
        <u/>
      </rPr>
      <t>Archbishop emeritus of Abuja</t>
    </r>
  </si>
  <si>
    <r>
      <rPr>
        <color rgb="FF1155CC"/>
        <u/>
      </rPr>
      <t>Rubén Salazar Gómez</t>
    </r>
  </si>
  <si>
    <r>
      <rPr>
        <color rgb="FF1155CC"/>
        <u/>
      </rPr>
      <t>Colombia</t>
    </r>
  </si>
  <si>
    <r>
      <rPr>
        <color rgb="FF1155CC"/>
        <u/>
      </rPr>
      <t>CP</t>
    </r>
  </si>
  <si>
    <r>
      <rPr>
        <color rgb="FF1155CC"/>
        <u/>
      </rPr>
      <t>Archbishop emeritus of Bogotá</t>
    </r>
  </si>
  <si>
    <r>
      <rPr>
        <color rgb="FF1155CC"/>
        <u/>
      </rPr>
      <t>Lorenzo Baldisseri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</si>
  <si>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</si>
  <si>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</si>
  <si>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Secretary-General emeritus of the </t>
    </r>
    <r>
      <rPr>
        <color rgb="FF1155CC"/>
        <u/>
      </rPr>
      <t>Synod of Bishops</t>
    </r>
  </si>
  <si>
    <r>
      <rPr>
        <color rgb="FF1155CC"/>
        <u/>
      </rPr>
      <t>Gerhard Ludwig Müller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</si>
  <si>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</si>
  <si>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</si>
  <si>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t xml:space="preserve">Prefect emeritus of the </t>
    </r>
    <r>
      <rPr>
        <color rgb="FF1155CC"/>
        <u/>
      </rPr>
      <t>Congregation for the Doctrine of the Faith</t>
    </r>
  </si>
  <si>
    <r>
      <rPr>
        <color rgb="FF1155CC"/>
        <u/>
      </rPr>
      <t>Vincent Nichols</t>
    </r>
  </si>
  <si>
    <r>
      <rPr>
        <color rgb="FF1155CC"/>
        <u/>
      </rPr>
      <t>United Kingdom</t>
    </r>
  </si>
  <si>
    <r>
      <rPr>
        <color rgb="FF1155CC"/>
        <u/>
      </rPr>
      <t>CP</t>
    </r>
  </si>
  <si>
    <r>
      <rPr>
        <color rgb="FF1155CC"/>
        <u/>
      </rPr>
      <t>Archbishop of Westminster</t>
    </r>
  </si>
  <si>
    <r>
      <rPr>
        <color rgb="FF1155CC"/>
        <u/>
      </rPr>
      <t>Leopoldo Brenes</t>
    </r>
  </si>
  <si>
    <r>
      <rPr>
        <color rgb="FF1155CC"/>
        <u/>
      </rPr>
      <t>Nicaragua</t>
    </r>
  </si>
  <si>
    <r>
      <rPr>
        <color rgb="FF1155CC"/>
        <u/>
      </rPr>
      <t>CP</t>
    </r>
  </si>
  <si>
    <r>
      <rPr>
        <color rgb="FF1155CC"/>
        <u/>
      </rPr>
      <t>Archbishop of Managua</t>
    </r>
  </si>
  <si>
    <r>
      <rPr>
        <color rgb="FF1155CC"/>
        <u/>
      </rPr>
      <t>Gérald Lacroix</t>
    </r>
    <r>
      <rPr/>
      <t xml:space="preserve"> 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</si>
  <si>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</si>
  <si>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</si>
  <si>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rPr>
        <color rgb="FF1155CC"/>
        <u/>
      </rPr>
      <t>Archbishop of Quebec</t>
    </r>
  </si>
  <si>
    <r>
      <rPr>
        <color rgb="FF1155CC"/>
        <u/>
      </rPr>
      <t>Jean-Pierre Kutwa</t>
    </r>
  </si>
  <si>
    <r>
      <rPr>
        <color rgb="FF1155CC"/>
        <u/>
      </rPr>
      <t>Ivory Coast</t>
    </r>
  </si>
  <si>
    <r>
      <rPr>
        <color rgb="FF1155CC"/>
        <u/>
      </rPr>
      <t>CP</t>
    </r>
  </si>
  <si>
    <r>
      <rPr>
        <color rgb="FF1155CC"/>
        <u/>
      </rPr>
      <t>Archbishop emeritus of Abidjan</t>
    </r>
  </si>
  <si>
    <r>
      <rPr>
        <color rgb="FF1155CC"/>
        <u/>
      </rPr>
      <t>Orani João Tempesta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</si>
  <si>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</si>
  <si>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</si>
  <si>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São Sebastião do Rio de Janeiro</t>
    </r>
  </si>
  <si>
    <r>
      <rPr>
        <color rgb="FF1155CC"/>
        <u/>
      </rPr>
      <t>Gualtiero Bassetti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</si>
  <si>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</si>
  <si>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</si>
  <si>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Perugia–Città della Pieve</t>
    </r>
  </si>
  <si>
    <r>
      <rPr>
        <color rgb="FF1155CC"/>
        <u/>
      </rPr>
      <t>Mario Aurelio Poli</t>
    </r>
  </si>
  <si>
    <r>
      <rPr>
        <color rgb="FF1155CC"/>
        <u/>
      </rPr>
      <t>Argentina</t>
    </r>
  </si>
  <si>
    <r>
      <rPr>
        <color rgb="FF1155CC"/>
        <u/>
      </rPr>
      <t>CP</t>
    </r>
  </si>
  <si>
    <r>
      <rPr>
        <color rgb="FF1155CC"/>
        <u/>
      </rPr>
      <t>Archbishop emeritus of Buenos Aires</t>
    </r>
  </si>
  <si>
    <r>
      <rPr>
        <color rgb="FF1155CC"/>
        <u/>
      </rPr>
      <t>Andrew Yeom Soo-jung</t>
    </r>
  </si>
  <si>
    <r>
      <rPr>
        <color rgb="FF1155CC"/>
        <u/>
      </rPr>
      <t>South Korea</t>
    </r>
  </si>
  <si>
    <r>
      <rPr>
        <color rgb="FF1155CC"/>
        <u/>
      </rPr>
      <t>CP</t>
    </r>
  </si>
  <si>
    <r>
      <rPr>
        <color rgb="FF1155CC"/>
        <u/>
      </rPr>
      <t>Archbishop emeritus of Seoul</t>
    </r>
  </si>
  <si>
    <r>
      <rPr>
        <color rgb="FF1155CC"/>
        <u/>
      </rPr>
      <t>Ricardo Ezzati</t>
    </r>
    <r>
      <rPr/>
      <t xml:space="preserve"> </t>
    </r>
  </si>
  <si>
    <r>
      <rPr>
        <color rgb="FF1155CC"/>
        <u/>
      </rPr>
      <t>Chile</t>
    </r>
    <r>
      <rPr/>
      <t/>
    </r>
    <r>
      <rPr>
        <color rgb="FF1155CC"/>
        <u/>
      </rPr>
      <t>[</t>
    </r>
    <r>
      <rPr>
        <color rgb="FF1155CC"/>
        <u/>
      </rPr>
      <t>i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</si>
  <si>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</si>
  <si>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Archbishop emeritus of Santiago de Chile</t>
    </r>
  </si>
  <si>
    <r>
      <rPr>
        <color rgb="FF1155CC"/>
        <u/>
      </rPr>
      <t>Philippe Ouédraogo</t>
    </r>
  </si>
  <si>
    <r>
      <rPr>
        <color rgb="FF1155CC"/>
        <u/>
      </rPr>
      <t>Burkina Faso</t>
    </r>
  </si>
  <si>
    <r>
      <rPr>
        <color rgb="FF1155CC"/>
        <u/>
      </rPr>
      <t>CP</t>
    </r>
  </si>
  <si>
    <r>
      <rPr>
        <color rgb="FF1155CC"/>
        <u/>
      </rPr>
      <t>Archbishop emeritus of Ouagadougou</t>
    </r>
  </si>
  <si>
    <r>
      <rPr>
        <color rgb="FF1155CC"/>
        <u/>
      </rPr>
      <t>Orlando Quevedo</t>
    </r>
    <r>
      <rPr/>
      <t xml:space="preserve"> </t>
    </r>
  </si>
  <si>
    <r>
      <rPr>
        <color rgb="FF1155CC"/>
        <u/>
      </rPr>
      <t>Philippines</t>
    </r>
  </si>
  <si>
    <r>
      <rPr>
        <color rgb="FF1155CC"/>
        <u/>
      </rPr>
      <t>CP</t>
    </r>
  </si>
  <si>
    <r>
      <rPr>
        <color rgb="FF1155CC"/>
        <u/>
      </rPr>
      <t>Archbishop emeritus of Cotabato</t>
    </r>
  </si>
  <si>
    <t>Ilocano</t>
  </si>
  <si>
    <r>
      <rPr>
        <color rgb="FF1155CC"/>
        <u/>
      </rPr>
      <t>Chibly Langlois</t>
    </r>
  </si>
  <si>
    <r>
      <rPr>
        <color rgb="FF1155CC"/>
        <u/>
      </rPr>
      <t>Haiti</t>
    </r>
  </si>
  <si>
    <r>
      <rPr>
        <color rgb="FF1155CC"/>
        <u/>
      </rPr>
      <t>CP</t>
    </r>
  </si>
  <si>
    <r>
      <rPr>
        <color rgb="FF1155CC"/>
        <u/>
      </rPr>
      <t>Bishop of Les Cayes</t>
    </r>
  </si>
  <si>
    <t>Haitian Creole</t>
  </si>
  <si>
    <r>
      <rPr>
        <color rgb="FF1155CC"/>
        <u/>
      </rPr>
      <t>Manuel Clemente</t>
    </r>
  </si>
  <si>
    <r>
      <rPr>
        <color rgb="FF1155CC"/>
        <u/>
      </rPr>
      <t>Portugal</t>
    </r>
  </si>
  <si>
    <r>
      <rPr>
        <color rgb="FF1155CC"/>
        <u/>
      </rPr>
      <t>CP</t>
    </r>
  </si>
  <si>
    <r>
      <rPr>
        <color rgb="FF1155CC"/>
        <u/>
      </rPr>
      <t>Patriarch emeritus of Lisbon</t>
    </r>
  </si>
  <si>
    <r>
      <rPr>
        <color rgb="FF1155CC"/>
        <u/>
      </rPr>
      <t>Berhaneyesus Demerew Souraphiel</t>
    </r>
    <r>
      <rPr/>
      <t xml:space="preserve"> </t>
    </r>
  </si>
  <si>
    <r>
      <rPr>
        <color rgb="FF1155CC"/>
        <u/>
      </rPr>
      <t>Ethiopia</t>
    </r>
  </si>
  <si>
    <r>
      <rPr>
        <color rgb="FF1155CC"/>
        <u/>
      </rPr>
      <t>CP</t>
    </r>
  </si>
  <si>
    <r>
      <rPr>
        <color rgb="FF1155CC"/>
        <u/>
      </rPr>
      <t>Archbishop of Addis Abeba</t>
    </r>
    <r>
      <rPr/>
      <t xml:space="preserve">
(</t>
    </r>
    <r>
      <rPr>
        <color rgb="FF1155CC"/>
        <u/>
      </rPr>
      <t>Ethiopian Church</t>
    </r>
    <r>
      <rPr/>
      <t>)</t>
    </r>
  </si>
  <si>
    <t>Amharic</t>
  </si>
  <si>
    <r>
      <rPr>
        <color rgb="FF1155CC"/>
        <u/>
      </rPr>
      <t>John Dew</t>
    </r>
  </si>
  <si>
    <r>
      <rPr>
        <color rgb="FF1155CC"/>
        <u/>
      </rPr>
      <t>New Zealand</t>
    </r>
  </si>
  <si>
    <r>
      <rPr>
        <color rgb="FF1155CC"/>
        <u/>
      </rPr>
      <t>CP</t>
    </r>
  </si>
  <si>
    <r>
      <rPr>
        <color rgb="FF1155CC"/>
        <u/>
      </rPr>
      <t>Archbishop emeritus of Wellington</t>
    </r>
  </si>
  <si>
    <r>
      <rPr>
        <color rgb="FF1155CC"/>
        <u/>
      </rPr>
      <t>Edoardo Menichelli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</si>
  <si>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</si>
  <si>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</si>
  <si>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Ancona–Osimo</t>
    </r>
  </si>
  <si>
    <r>
      <rPr>
        <color rgb="FF1155CC"/>
        <u/>
      </rPr>
      <t>Pierre Nguyễn Văn Nhơn</t>
    </r>
  </si>
  <si>
    <r>
      <rPr>
        <color rgb="FF1155CC"/>
        <u/>
      </rPr>
      <t>Vietnam</t>
    </r>
  </si>
  <si>
    <r>
      <rPr>
        <color rgb="FF1155CC"/>
        <u/>
      </rPr>
      <t>CP</t>
    </r>
  </si>
  <si>
    <r>
      <rPr>
        <color rgb="FF1155CC"/>
        <u/>
      </rPr>
      <t>Archbishop emeritus of Hanoi</t>
    </r>
  </si>
  <si>
    <r>
      <rPr>
        <color rgb="FF1155CC"/>
        <u/>
      </rPr>
      <t>Alberto Suárez Inda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</si>
  <si>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</si>
  <si>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</si>
  <si>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Archbishop emeritus of Morelia</t>
    </r>
  </si>
  <si>
    <r>
      <rPr>
        <color rgb="FF1155CC"/>
        <u/>
      </rPr>
      <t>Charles Maung Bo</t>
    </r>
    <r>
      <rPr/>
      <t xml:space="preserve"> </t>
    </r>
  </si>
  <si>
    <r>
      <rPr>
        <color rgb="FF1155CC"/>
        <u/>
      </rPr>
      <t>Myanmar</t>
    </r>
  </si>
  <si>
    <r>
      <rPr>
        <color rgb="FF1155CC"/>
        <u/>
      </rPr>
      <t>CP</t>
    </r>
  </si>
  <si>
    <r>
      <rPr>
        <color rgb="FF1155CC"/>
        <u/>
      </rPr>
      <t>Archbishop of Yangon</t>
    </r>
  </si>
  <si>
    <t>Burmese</t>
  </si>
  <si>
    <r>
      <rPr>
        <color rgb="FF1155CC"/>
        <u/>
      </rPr>
      <t>Kriengsak Kovitvanit</t>
    </r>
  </si>
  <si>
    <r>
      <rPr>
        <color rgb="FF1155CC"/>
        <u/>
      </rPr>
      <t>Thailand</t>
    </r>
  </si>
  <si>
    <r>
      <rPr>
        <color rgb="FF1155CC"/>
        <u/>
      </rPr>
      <t>CP</t>
    </r>
  </si>
  <si>
    <r>
      <rPr>
        <color rgb="FF1155CC"/>
        <u/>
      </rPr>
      <t>Archbishop emeritus of Bangkok</t>
    </r>
  </si>
  <si>
    <r>
      <rPr>
        <color rgb="FF1155CC"/>
        <u/>
      </rPr>
      <t>Francesco Montenegro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</si>
  <si>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</si>
  <si>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</si>
  <si>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Agrigento</t>
    </r>
  </si>
  <si>
    <r>
      <rPr>
        <color rgb="FF1155CC"/>
        <u/>
      </rPr>
      <t>Daniel Sturla</t>
    </r>
    <r>
      <rPr/>
      <t xml:space="preserve"> </t>
    </r>
  </si>
  <si>
    <r>
      <rPr>
        <color rgb="FF1155CC"/>
        <u/>
      </rPr>
      <t>Uruguay</t>
    </r>
  </si>
  <si>
    <r>
      <rPr>
        <color rgb="FF1155CC"/>
        <u/>
      </rPr>
      <t>CP</t>
    </r>
  </si>
  <si>
    <r>
      <rPr>
        <color rgb="FF1155CC"/>
        <u/>
      </rPr>
      <t>Archbishop of Montevideo</t>
    </r>
  </si>
  <si>
    <r>
      <rPr>
        <color rgb="FF1155CC"/>
        <u/>
      </rPr>
      <t>Ricardo Blázquez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</si>
  <si>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</si>
  <si>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</si>
  <si>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emeritus of Valladolid</t>
    </r>
  </si>
  <si>
    <r>
      <rPr>
        <color rgb="FF1155CC"/>
        <u/>
      </rPr>
      <t>José Luis Lacunza Maestrojuán</t>
    </r>
    <r>
      <rPr/>
      <t xml:space="preserve"> </t>
    </r>
  </si>
  <si>
    <r>
      <rPr>
        <color rgb="FF1155CC"/>
        <u/>
      </rPr>
      <t>Panama</t>
    </r>
    <r>
      <rPr/>
      <t/>
    </r>
    <r>
      <rPr>
        <color rgb="FF1155CC"/>
        <u/>
      </rPr>
      <t>[</t>
    </r>
    <r>
      <rPr>
        <color rgb="FF1155CC"/>
        <u/>
      </rPr>
      <t>k</t>
    </r>
    <r>
      <rPr/>
      <t>]</t>
    </r>
  </si>
  <si>
    <r>
      <rPr>
        <color rgb="FF1155CC"/>
        <u/>
      </rPr>
      <t>CP</t>
    </r>
  </si>
  <si>
    <r>
      <rPr>
        <color rgb="FF1155CC"/>
        <u/>
      </rPr>
      <t>Bishop emeritus of David</t>
    </r>
  </si>
  <si>
    <r>
      <rPr>
        <color rgb="FF1155CC"/>
        <u/>
      </rPr>
      <t>Arlindo Gomes Furtado</t>
    </r>
  </si>
  <si>
    <r>
      <rPr>
        <color rgb="FF1155CC"/>
        <u/>
      </rPr>
      <t>Cape Verde</t>
    </r>
  </si>
  <si>
    <r>
      <rPr>
        <color rgb="FF1155CC"/>
        <u/>
      </rPr>
      <t>CP</t>
    </r>
  </si>
  <si>
    <r>
      <rPr>
        <color rgb="FF1155CC"/>
        <u/>
      </rPr>
      <t>Bishop of Santiago de Cabo Verde</t>
    </r>
  </si>
  <si>
    <r>
      <rPr>
        <color rgb="FF1155CC"/>
        <u/>
      </rPr>
      <t>Soane Patita Paini Mafi</t>
    </r>
  </si>
  <si>
    <r>
      <rPr>
        <color rgb="FF1155CC"/>
        <u/>
      </rPr>
      <t>Tonga</t>
    </r>
  </si>
  <si>
    <r>
      <rPr>
        <color rgb="FF1155CC"/>
        <u/>
      </rPr>
      <t>CP</t>
    </r>
  </si>
  <si>
    <r>
      <rPr>
        <color rgb="FF1155CC"/>
        <u/>
      </rPr>
      <t>Bishop of Tonga</t>
    </r>
  </si>
  <si>
    <t>Tongan</t>
  </si>
  <si>
    <r>
      <rPr>
        <color rgb="FF1155CC"/>
        <u/>
      </rPr>
      <t>Luis Héctor Villalba</t>
    </r>
  </si>
  <si>
    <r>
      <rPr>
        <color rgb="FF1155CC"/>
        <u/>
      </rPr>
      <t>Argentina</t>
    </r>
  </si>
  <si>
    <r>
      <rPr>
        <color rgb="FF1155CC"/>
        <u/>
      </rPr>
      <t>CP</t>
    </r>
  </si>
  <si>
    <r>
      <rPr>
        <color rgb="FF1155CC"/>
        <u/>
      </rPr>
      <t>Archbishop emeritus of Tucumán</t>
    </r>
  </si>
  <si>
    <r>
      <rPr>
        <color rgb="FF1155CC"/>
        <u/>
      </rPr>
      <t>Júlio Duarte Langa</t>
    </r>
  </si>
  <si>
    <r>
      <rPr>
        <color rgb="FF1155CC"/>
        <u/>
      </rPr>
      <t>Mozambique</t>
    </r>
  </si>
  <si>
    <r>
      <rPr>
        <color rgb="FF1155CC"/>
        <u/>
      </rPr>
      <t>CP</t>
    </r>
  </si>
  <si>
    <r>
      <rPr>
        <color rgb="FF1155CC"/>
        <u/>
      </rPr>
      <t>Bishop emeritus of Xai-Xai</t>
    </r>
  </si>
  <si>
    <r>
      <rPr>
        <color rgb="FF1155CC"/>
        <u/>
      </rPr>
      <t>Dieudonné Nzapalainga</t>
    </r>
    <r>
      <rPr/>
      <t xml:space="preserve"> </t>
    </r>
  </si>
  <si>
    <r>
      <rPr>
        <color rgb="FF1155CC"/>
        <u/>
      </rPr>
      <t>Central African Republic</t>
    </r>
  </si>
  <si>
    <r>
      <rPr>
        <color rgb="FF1155CC"/>
        <u/>
      </rPr>
      <t>CP</t>
    </r>
  </si>
  <si>
    <r>
      <rPr>
        <color rgb="FF1155CC"/>
        <u/>
      </rPr>
      <t>Archbishop of Bangui</t>
    </r>
  </si>
  <si>
    <t>Sango</t>
  </si>
  <si>
    <r>
      <rPr>
        <color rgb="FF1155CC"/>
        <u/>
      </rPr>
      <t>Carlos Osoro Sierra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</si>
  <si>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</si>
  <si>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</si>
  <si>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emeritus of Madrid</t>
    </r>
  </si>
  <si>
    <r>
      <rPr>
        <color rgb="FF1155CC"/>
        <u/>
      </rPr>
      <t>Sérgio da Rocha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</si>
  <si>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</si>
  <si>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</si>
  <si>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São Salvador da Bahia</t>
    </r>
  </si>
  <si>
    <r>
      <rPr>
        <color rgb="FF1155CC"/>
        <u/>
      </rPr>
      <t>Blase J. Cupich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</si>
  <si>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</si>
  <si>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</si>
  <si>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Chicago</t>
    </r>
  </si>
  <si>
    <r>
      <rPr>
        <color rgb="FF1155CC"/>
        <u/>
      </rPr>
      <t>Patrick D'Rozario</t>
    </r>
    <r>
      <rPr/>
      <t xml:space="preserve"> </t>
    </r>
  </si>
  <si>
    <r>
      <rPr>
        <color rgb="FF1155CC"/>
        <u/>
      </rPr>
      <t>Bangladesh</t>
    </r>
  </si>
  <si>
    <r>
      <rPr>
        <color rgb="FF1155CC"/>
        <u/>
      </rPr>
      <t>CP</t>
    </r>
  </si>
  <si>
    <r>
      <rPr>
        <color rgb="FF1155CC"/>
        <u/>
      </rPr>
      <t>Archbishop emeritus of Dhaka</t>
    </r>
  </si>
  <si>
    <t>Bengali</t>
  </si>
  <si>
    <r>
      <rPr>
        <color rgb="FF1155CC"/>
        <u/>
      </rPr>
      <t>Baltazar Enrique Porras Cardozo</t>
    </r>
  </si>
  <si>
    <r>
      <rPr>
        <color rgb="FF1155CC"/>
        <u/>
      </rPr>
      <t>Venezuela</t>
    </r>
  </si>
  <si>
    <r>
      <rPr>
        <color rgb="FF1155CC"/>
        <u/>
      </rPr>
      <t>CP</t>
    </r>
  </si>
  <si>
    <r>
      <rPr>
        <color rgb="FF1155CC"/>
        <u/>
      </rPr>
      <t>Archbishop emeritus of Caracas</t>
    </r>
  </si>
  <si>
    <r>
      <rPr>
        <color rgb="FF1155CC"/>
        <u/>
      </rPr>
      <t>Jozef De Kesel</t>
    </r>
  </si>
  <si>
    <r>
      <rPr>
        <color rgb="FF1155CC"/>
        <u/>
      </rPr>
      <t>Belgium</t>
    </r>
  </si>
  <si>
    <r>
      <rPr>
        <color rgb="FF1155CC"/>
        <u/>
      </rPr>
      <t>CP</t>
    </r>
  </si>
  <si>
    <r>
      <rPr>
        <color rgb="FF1155CC"/>
        <u/>
      </rPr>
      <t>Archbishop emeritus of Mechelen–Brussels</t>
    </r>
  </si>
  <si>
    <r>
      <rPr>
        <color rgb="FF1155CC"/>
        <u/>
      </rPr>
      <t>Maurice Piat</t>
    </r>
    <r>
      <rPr/>
      <t xml:space="preserve"> </t>
    </r>
  </si>
  <si>
    <r>
      <rPr>
        <color rgb="FF1155CC"/>
        <u/>
      </rPr>
      <t>Mauritius</t>
    </r>
  </si>
  <si>
    <r>
      <rPr>
        <color rgb="FF1155CC"/>
        <u/>
      </rPr>
      <t>CP</t>
    </r>
  </si>
  <si>
    <r>
      <rPr>
        <color rgb="FF1155CC"/>
        <u/>
      </rPr>
      <t>Bishop emeritus of Port-Louis</t>
    </r>
  </si>
  <si>
    <r>
      <rPr>
        <color rgb="FF1155CC"/>
        <u/>
      </rPr>
      <t>Carlos Aguiar Retes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</si>
  <si>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</si>
  <si>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</si>
  <si>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Archbishop of Mexico</t>
    </r>
  </si>
  <si>
    <r>
      <rPr>
        <color rgb="FF1155CC"/>
        <u/>
      </rPr>
      <t>John Ribat</t>
    </r>
    <r>
      <rPr/>
      <t xml:space="preserve"> </t>
    </r>
  </si>
  <si>
    <r>
      <rPr>
        <color rgb="FF1155CC"/>
        <u/>
      </rPr>
      <t>Papua New Guinea</t>
    </r>
  </si>
  <si>
    <r>
      <rPr>
        <color rgb="FF1155CC"/>
        <u/>
      </rPr>
      <t>CP</t>
    </r>
  </si>
  <si>
    <r>
      <rPr>
        <color rgb="FF1155CC"/>
        <u/>
      </rPr>
      <t>Archbishop of Port Moresby</t>
    </r>
  </si>
  <si>
    <t>Motu</t>
  </si>
  <si>
    <r>
      <rPr>
        <color rgb="FF1155CC"/>
        <u/>
      </rPr>
      <t>Joseph W. Tobin</t>
    </r>
    <r>
      <rPr/>
      <t xml:space="preserve"> 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</si>
  <si>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</si>
  <si>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</si>
  <si>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Newark</t>
    </r>
  </si>
  <si>
    <r>
      <rPr>
        <color rgb="FF1155CC"/>
        <u/>
      </rPr>
      <t>Jean Zerbo</t>
    </r>
  </si>
  <si>
    <r>
      <rPr>
        <color rgb="FF1155CC"/>
        <u/>
      </rPr>
      <t>Mali</t>
    </r>
  </si>
  <si>
    <r>
      <rPr>
        <color rgb="FF1155CC"/>
        <u/>
      </rPr>
      <t>CP</t>
    </r>
  </si>
  <si>
    <r>
      <rPr>
        <color rgb="FF1155CC"/>
        <u/>
      </rPr>
      <t>Archbishop emeritus of Bamako</t>
    </r>
  </si>
  <si>
    <t>Bambara</t>
  </si>
  <si>
    <r>
      <rPr>
        <color rgb="FF1155CC"/>
        <u/>
      </rPr>
      <t>Juan José Omella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</si>
  <si>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</si>
  <si>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</si>
  <si>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of Barcelona</t>
    </r>
  </si>
  <si>
    <r>
      <rPr>
        <color rgb="FF1155CC"/>
        <u/>
      </rPr>
      <t>Anders Arborelius</t>
    </r>
    <r>
      <rPr/>
      <t xml:space="preserve"> </t>
    </r>
  </si>
  <si>
    <r>
      <rPr>
        <color rgb="FF1155CC"/>
        <u/>
      </rPr>
      <t>Sweden</t>
    </r>
  </si>
  <si>
    <r>
      <rPr>
        <color rgb="FF1155CC"/>
        <u/>
      </rPr>
      <t>CP</t>
    </r>
  </si>
  <si>
    <r>
      <rPr>
        <color rgb="FF1155CC"/>
        <u/>
      </rPr>
      <t>Bishop of Stockholm</t>
    </r>
  </si>
  <si>
    <t>Swedish</t>
  </si>
  <si>
    <t>Louis-Marie Ling Mangkhanekhoun</t>
  </si>
  <si>
    <r>
      <rPr>
        <color rgb="FF1155CC"/>
        <u/>
      </rPr>
      <t>Laos</t>
    </r>
  </si>
  <si>
    <r>
      <rPr>
        <color rgb="FF1155CC"/>
        <u/>
      </rPr>
      <t>CP</t>
    </r>
  </si>
  <si>
    <r>
      <rPr>
        <color rgb="FF1155CC"/>
        <u/>
      </rPr>
      <t>Apostolic Vicar emeritus of Vientiane</t>
    </r>
  </si>
  <si>
    <t>Lao</t>
  </si>
  <si>
    <r>
      <rPr>
        <color rgb="FF1155CC"/>
        <u/>
      </rPr>
      <t>Gregorio Rosa Chávez</t>
    </r>
  </si>
  <si>
    <r>
      <rPr>
        <color rgb="FF1155CC"/>
        <u/>
      </rPr>
      <t>El Salvador</t>
    </r>
  </si>
  <si>
    <r>
      <rPr>
        <color rgb="FF1155CC"/>
        <u/>
      </rPr>
      <t>CP</t>
    </r>
  </si>
  <si>
    <r>
      <rPr>
        <color rgb="FF1155CC"/>
        <u/>
      </rPr>
      <t>Auxiliary Bishop emeritus of San Salvador</t>
    </r>
  </si>
  <si>
    <r>
      <rPr>
        <color rgb="FF1155CC"/>
        <u/>
      </rPr>
      <t>Angelo De Donatis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</si>
  <si>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</si>
  <si>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</si>
  <si>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Major Penitentiary</t>
    </r>
  </si>
  <si>
    <r>
      <rPr>
        <color rgb="FF1155CC"/>
        <u/>
      </rPr>
      <t>Joseph Coutts</t>
    </r>
  </si>
  <si>
    <r>
      <rPr>
        <color rgb="FF1155CC"/>
        <u/>
      </rPr>
      <t>Pakistan</t>
    </r>
  </si>
  <si>
    <r>
      <rPr>
        <color rgb="FF1155CC"/>
        <u/>
      </rPr>
      <t>CP</t>
    </r>
  </si>
  <si>
    <r>
      <rPr>
        <color rgb="FF1155CC"/>
        <u/>
      </rPr>
      <t>Archbishop emeritus of Karachi</t>
    </r>
  </si>
  <si>
    <r>
      <rPr>
        <color rgb="FF1155CC"/>
        <u/>
      </rPr>
      <t>António Marto</t>
    </r>
  </si>
  <si>
    <r>
      <rPr>
        <color rgb="FF1155CC"/>
        <u/>
      </rPr>
      <t>Portugal</t>
    </r>
  </si>
  <si>
    <r>
      <rPr>
        <color rgb="FF1155CC"/>
        <u/>
      </rPr>
      <t>CP</t>
    </r>
  </si>
  <si>
    <r>
      <rPr>
        <color rgb="FF1155CC"/>
        <u/>
      </rPr>
      <t>Bishop emeritus of Leiria–Fátima</t>
    </r>
  </si>
  <si>
    <r>
      <rPr>
        <color rgb="FF1155CC"/>
        <u/>
      </rPr>
      <t>Pedro Barreto</t>
    </r>
    <r>
      <rPr/>
      <t xml:space="preserve"> </t>
    </r>
  </si>
  <si>
    <r>
      <rPr>
        <color rgb="FF1155CC"/>
        <u/>
      </rPr>
      <t>Peru</t>
    </r>
  </si>
  <si>
    <r>
      <rPr>
        <color rgb="FF1155CC"/>
        <u/>
      </rPr>
      <t>CP</t>
    </r>
  </si>
  <si>
    <r>
      <rPr>
        <color rgb="FF1155CC"/>
        <u/>
      </rPr>
      <t>Archbishop emeritus of Huancayo</t>
    </r>
  </si>
  <si>
    <r>
      <rPr>
        <color rgb="FF1155CC"/>
        <u/>
      </rPr>
      <t>Désiré Tsarahazana</t>
    </r>
  </si>
  <si>
    <r>
      <rPr>
        <color rgb="FF1155CC"/>
        <u/>
      </rPr>
      <t>Madagascar</t>
    </r>
  </si>
  <si>
    <r>
      <rPr>
        <color rgb="FF1155CC"/>
        <u/>
      </rPr>
      <t>CP</t>
    </r>
  </si>
  <si>
    <r>
      <rPr>
        <color rgb="FF1155CC"/>
        <u/>
      </rPr>
      <t>Archbishop of Toamasina</t>
    </r>
  </si>
  <si>
    <r>
      <rPr>
        <color rgb="FF1155CC"/>
        <u/>
      </rPr>
      <t>Giuseppe Petrocchi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</si>
  <si>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</si>
  <si>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</si>
  <si>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L'Aquila</t>
    </r>
  </si>
  <si>
    <r>
      <rPr>
        <color rgb="FF1155CC"/>
        <u/>
      </rPr>
      <t>Thomas Aquino Manyo Maeda</t>
    </r>
  </si>
  <si>
    <r>
      <rPr>
        <color rgb="FF1155CC"/>
        <u/>
      </rPr>
      <t>Japan</t>
    </r>
  </si>
  <si>
    <r>
      <rPr>
        <color rgb="FF1155CC"/>
        <u/>
      </rPr>
      <t>CP</t>
    </r>
  </si>
  <si>
    <r>
      <rPr>
        <color rgb="FF1155CC"/>
        <u/>
      </rPr>
      <t>Archbishop of Osaka–Takamatsu</t>
    </r>
  </si>
  <si>
    <r>
      <rPr>
        <color rgb="FF1155CC"/>
        <u/>
      </rPr>
      <t>Toribio Ticona Porco</t>
    </r>
  </si>
  <si>
    <r>
      <rPr>
        <color rgb="FF1155CC"/>
        <u/>
      </rPr>
      <t>Bolivia</t>
    </r>
  </si>
  <si>
    <r>
      <rPr>
        <color rgb="FF1155CC"/>
        <u/>
      </rPr>
      <t>CP</t>
    </r>
  </si>
  <si>
    <r>
      <rPr>
        <color rgb="FF1155CC"/>
        <u/>
      </rPr>
      <t>Bishop Prelate emeritus of Corocoro</t>
    </r>
  </si>
  <si>
    <t>Aymara</t>
  </si>
  <si>
    <r>
      <rPr>
        <color rgb="FF1155CC"/>
        <u/>
      </rPr>
      <t>Ignatius Suharyo Hardjoatmodjo</t>
    </r>
  </si>
  <si>
    <r>
      <rPr>
        <color rgb="FF1155CC"/>
        <u/>
      </rPr>
      <t>Indonesia</t>
    </r>
  </si>
  <si>
    <r>
      <rPr>
        <color rgb="FF1155CC"/>
        <u/>
      </rPr>
      <t>CP</t>
    </r>
  </si>
  <si>
    <r>
      <rPr>
        <color rgb="FF1155CC"/>
        <u/>
      </rPr>
      <t>Archbishop of Jakarta</t>
    </r>
  </si>
  <si>
    <r>
      <rPr>
        <color rgb="FF1155CC"/>
        <u/>
      </rPr>
      <t>Juan García Rodríguez</t>
    </r>
  </si>
  <si>
    <r>
      <rPr>
        <color rgb="FF1155CC"/>
        <u/>
      </rPr>
      <t>Cuba</t>
    </r>
  </si>
  <si>
    <r>
      <rPr>
        <color rgb="FF1155CC"/>
        <u/>
      </rPr>
      <t>CP</t>
    </r>
  </si>
  <si>
    <r>
      <rPr>
        <color rgb="FF1155CC"/>
        <u/>
      </rPr>
      <t>Archbishop of San Cristóbal de la Habana</t>
    </r>
  </si>
  <si>
    <t>Fridolin Ambongo Besungu</t>
  </si>
  <si>
    <r>
      <rPr>
        <color rgb="FF1155CC"/>
        <u/>
      </rPr>
      <t>Democratic Republic of the Congo</t>
    </r>
  </si>
  <si>
    <r>
      <rPr>
        <color rgb="FF1155CC"/>
        <u/>
      </rPr>
      <t>CP</t>
    </r>
  </si>
  <si>
    <r>
      <rPr>
        <color rgb="FF1155CC"/>
        <u/>
      </rPr>
      <t>Archbishop of Kinshasa</t>
    </r>
  </si>
  <si>
    <r>
      <rPr>
        <color rgb="FF1155CC"/>
        <u/>
      </rPr>
      <t>Jean-Claude Hollerich</t>
    </r>
    <r>
      <rPr/>
      <t xml:space="preserve"> </t>
    </r>
  </si>
  <si>
    <r>
      <rPr>
        <color rgb="FF1155CC"/>
        <u/>
      </rPr>
      <t>Luxembourg</t>
    </r>
  </si>
  <si>
    <r>
      <rPr>
        <color rgb="FF1155CC"/>
        <u/>
      </rPr>
      <t>CP</t>
    </r>
  </si>
  <si>
    <r>
      <rPr>
        <color rgb="FF1155CC"/>
        <u/>
      </rPr>
      <t>Archbishop of Luxembourg</t>
    </r>
  </si>
  <si>
    <t>Luxembourgish</t>
  </si>
  <si>
    <r>
      <rPr>
        <color rgb="FF1155CC"/>
        <u/>
      </rPr>
      <t>Álvaro Leonel Ramazzini Imeri</t>
    </r>
  </si>
  <si>
    <r>
      <rPr>
        <color rgb="FF1155CC"/>
        <u/>
      </rPr>
      <t>Guatemala</t>
    </r>
  </si>
  <si>
    <r>
      <rPr>
        <color rgb="FF1155CC"/>
        <u/>
      </rPr>
      <t>CP</t>
    </r>
  </si>
  <si>
    <r>
      <rPr>
        <color rgb="FF1155CC"/>
        <u/>
      </rPr>
      <t>Bishop of Huehuetenango</t>
    </r>
  </si>
  <si>
    <r>
      <rPr>
        <color rgb="FF1155CC"/>
        <u/>
      </rPr>
      <t>Matteo Zuppi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</si>
  <si>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</si>
  <si>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</si>
  <si>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Bologna</t>
    </r>
  </si>
  <si>
    <r>
      <rPr>
        <color rgb="FF1155CC"/>
        <u/>
      </rPr>
      <t>Cristóbal López Romero</t>
    </r>
    <r>
      <rPr/>
      <t xml:space="preserve"> </t>
    </r>
  </si>
  <si>
    <r>
      <rPr>
        <color rgb="FF1155CC"/>
        <u/>
      </rPr>
      <t>Morocco</t>
    </r>
    <r>
      <rPr/>
      <t/>
    </r>
    <r>
      <rPr>
        <color rgb="FF1155CC"/>
        <u/>
      </rPr>
      <t>[</t>
    </r>
    <r>
      <rPr>
        <color rgb="FF1155CC"/>
        <u/>
      </rPr>
      <t>l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</si>
  <si>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</si>
  <si>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Archbishop of Rabat</t>
    </r>
  </si>
  <si>
    <r>
      <rPr>
        <color rgb="FF1155CC"/>
        <u/>
      </rPr>
      <t>Sigitas Tamkevičius</t>
    </r>
    <r>
      <rPr/>
      <t xml:space="preserve"> </t>
    </r>
  </si>
  <si>
    <r>
      <rPr>
        <color rgb="FF1155CC"/>
        <u/>
      </rPr>
      <t>Lithuania</t>
    </r>
  </si>
  <si>
    <r>
      <rPr>
        <color rgb="FF1155CC"/>
        <u/>
      </rPr>
      <t>CP</t>
    </r>
  </si>
  <si>
    <r>
      <rPr>
        <color rgb="FF1155CC"/>
        <u/>
      </rPr>
      <t>Archbishop emeritus of Kaunas</t>
    </r>
  </si>
  <si>
    <r>
      <rPr>
        <color rgb="FF1155CC"/>
        <u/>
      </rPr>
      <t>Antoine Kambanda</t>
    </r>
  </si>
  <si>
    <r>
      <rPr>
        <color rgb="FF1155CC"/>
        <u/>
      </rPr>
      <t>Rwanda</t>
    </r>
  </si>
  <si>
    <r>
      <rPr>
        <color rgb="FF1155CC"/>
        <u/>
      </rPr>
      <t>CP</t>
    </r>
  </si>
  <si>
    <r>
      <rPr>
        <color rgb="FF1155CC"/>
        <u/>
      </rPr>
      <t>Archbishop of Kigali</t>
    </r>
  </si>
  <si>
    <t>Kinyarwanda</t>
  </si>
  <si>
    <r>
      <rPr>
        <color rgb="FF1155CC"/>
        <u/>
      </rPr>
      <t>Wilton Daniel Gregory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</si>
  <si>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</si>
  <si>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</si>
  <si>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emeritus of Washington</t>
    </r>
  </si>
  <si>
    <r>
      <rPr>
        <color rgb="FF1155CC"/>
        <u/>
      </rPr>
      <t>Jose Advincula</t>
    </r>
    <r>
      <rPr/>
      <t xml:space="preserve"> </t>
    </r>
  </si>
  <si>
    <r>
      <rPr>
        <color rgb="FF1155CC"/>
        <u/>
      </rPr>
      <t>Philippines</t>
    </r>
  </si>
  <si>
    <r>
      <rPr>
        <color rgb="FF1155CC"/>
        <u/>
      </rPr>
      <t>CP</t>
    </r>
  </si>
  <si>
    <r>
      <rPr>
        <color rgb="FF1155CC"/>
        <u/>
      </rPr>
      <t>Archbishop of Manila</t>
    </r>
  </si>
  <si>
    <t>Hiligaynon</t>
  </si>
  <si>
    <t>Celestino Aós Braco</t>
  </si>
  <si>
    <r>
      <rPr>
        <color rgb="FF1155CC"/>
        <u/>
      </rPr>
      <t>Chile</t>
    </r>
    <r>
      <rPr/>
      <t/>
    </r>
    <r>
      <rPr>
        <color rgb="FF1155CC"/>
        <u/>
      </rPr>
      <t>[</t>
    </r>
    <r>
      <rPr>
        <color rgb="FF1155CC"/>
        <u/>
      </rPr>
      <t>m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</si>
  <si>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</si>
  <si>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Archbishop emeritus of Santiago de Chile</t>
    </r>
  </si>
  <si>
    <r>
      <rPr>
        <color rgb="FF1155CC"/>
        <u/>
      </rPr>
      <t>Augusto Paolo Lojudice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</si>
  <si>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</si>
  <si>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</si>
  <si>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Siena–Colle di Val d'Elsa–Montalcino</t>
    </r>
    <r>
      <rPr/>
      <t xml:space="preserve"> and </t>
    </r>
    <r>
      <rPr>
        <color rgb="FF1155CC"/>
        <u/>
      </rPr>
      <t>Bishop of Montepulciano–Chiusi–Pienza</t>
    </r>
  </si>
  <si>
    <r>
      <rPr>
        <color rgb="FF1155CC"/>
        <u/>
      </rPr>
      <t>Felipe Arizmendi Esquivel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</si>
  <si>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</si>
  <si>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</si>
  <si>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Bishop emeritus of San Cristóbal de Las Casas</t>
    </r>
  </si>
  <si>
    <r>
      <rPr>
        <color rgb="FF1155CC"/>
        <u/>
      </rPr>
      <t>Jean-Marc Aveline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</si>
  <si>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</si>
  <si>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</si>
  <si>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of Marseille</t>
    </r>
  </si>
  <si>
    <r>
      <rPr>
        <color rgb="FF1155CC"/>
        <u/>
      </rPr>
      <t>Peter Okpaleke</t>
    </r>
  </si>
  <si>
    <r>
      <rPr>
        <color rgb="FF1155CC"/>
        <u/>
      </rPr>
      <t>Nigeria</t>
    </r>
  </si>
  <si>
    <r>
      <rPr>
        <color rgb="FF1155CC"/>
        <u/>
      </rPr>
      <t>CP</t>
    </r>
  </si>
  <si>
    <r>
      <rPr>
        <color rgb="FF1155CC"/>
        <u/>
      </rPr>
      <t>Bishop of Ekwulobia</t>
    </r>
  </si>
  <si>
    <r>
      <rPr>
        <color rgb="FF1155CC"/>
        <u/>
      </rPr>
      <t>Leonardo Ulrich Steiner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</si>
  <si>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</si>
  <si>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</si>
  <si>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Manaus</t>
    </r>
  </si>
  <si>
    <r>
      <rPr>
        <color rgb="FF1155CC"/>
        <u/>
      </rPr>
      <t>Filipe Neri Ferrão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</si>
  <si>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</si>
  <si>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</si>
  <si>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Archbishop of Goa and Daman</t>
    </r>
    <r>
      <rPr/>
      <t xml:space="preserve"> and </t>
    </r>
    <r>
      <rPr>
        <color rgb="FF1155CC"/>
        <u/>
      </rPr>
      <t>Patriarch of the East Indies</t>
    </r>
  </si>
  <si>
    <t>Konkani</t>
  </si>
  <si>
    <r>
      <rPr>
        <color rgb="FF1155CC"/>
        <u/>
      </rPr>
      <t>Robert W. McElroy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</si>
  <si>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</si>
  <si>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</si>
  <si>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Washington</t>
    </r>
  </si>
  <si>
    <r>
      <rPr>
        <color rgb="FF1155CC"/>
        <u/>
      </rPr>
      <t>Virgílio do Carmo da Silva</t>
    </r>
    <r>
      <rPr/>
      <t xml:space="preserve"> </t>
    </r>
  </si>
  <si>
    <r>
      <rPr>
        <color rgb="FF1155CC"/>
        <u/>
      </rPr>
      <t>East Timor</t>
    </r>
  </si>
  <si>
    <r>
      <rPr>
        <color rgb="FF1155CC"/>
        <u/>
      </rPr>
      <t>CP</t>
    </r>
  </si>
  <si>
    <r>
      <rPr>
        <color rgb="FF1155CC"/>
        <u/>
      </rPr>
      <t>Archbishop of Díli</t>
    </r>
  </si>
  <si>
    <t>Tetum</t>
  </si>
  <si>
    <r>
      <rPr>
        <color rgb="FF1155CC"/>
        <u/>
      </rPr>
      <t>Oscar Cantoni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</si>
  <si>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</si>
  <si>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</si>
  <si>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Bishop of Como</t>
    </r>
  </si>
  <si>
    <r>
      <rPr>
        <color rgb="FF1155CC"/>
        <u/>
      </rPr>
      <t>Anthony Poola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</si>
  <si>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</si>
  <si>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</si>
  <si>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Archbishop of Hyderabad</t>
    </r>
  </si>
  <si>
    <t>Telugu</t>
  </si>
  <si>
    <r>
      <rPr>
        <color rgb="FF1155CC"/>
        <u/>
      </rPr>
      <t>Paulo Cezar Costa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</si>
  <si>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</si>
  <si>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</si>
  <si>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Brasília</t>
    </r>
  </si>
  <si>
    <r>
      <rPr>
        <color rgb="FF1155CC"/>
        <u/>
      </rPr>
      <t>William Goh</t>
    </r>
  </si>
  <si>
    <r>
      <rPr>
        <color rgb="FF1155CC"/>
        <u/>
      </rPr>
      <t>Singapore</t>
    </r>
  </si>
  <si>
    <r>
      <rPr>
        <color rgb="FF1155CC"/>
        <u/>
      </rPr>
      <t>CP</t>
    </r>
  </si>
  <si>
    <r>
      <rPr>
        <color rgb="FF1155CC"/>
        <u/>
      </rPr>
      <t>Archbishop of Singapore</t>
    </r>
  </si>
  <si>
    <r>
      <rPr>
        <color rgb="FF1155CC"/>
        <u/>
      </rPr>
      <t>Adalberto Martínez Flores</t>
    </r>
  </si>
  <si>
    <r>
      <rPr>
        <color rgb="FF1155CC"/>
        <u/>
      </rPr>
      <t>Paraguay</t>
    </r>
  </si>
  <si>
    <r>
      <rPr>
        <color rgb="FF1155CC"/>
        <u/>
      </rPr>
      <t>CP</t>
    </r>
  </si>
  <si>
    <r>
      <rPr>
        <color rgb="FF1155CC"/>
        <u/>
      </rPr>
      <t>Archbishop of Asunción</t>
    </r>
  </si>
  <si>
    <r>
      <rPr>
        <color rgb="FF1155CC"/>
        <u/>
      </rPr>
      <t>Giorgio Marengo</t>
    </r>
    <r>
      <rPr/>
      <t xml:space="preserve"> </t>
    </r>
  </si>
  <si>
    <r>
      <rPr>
        <color rgb="FF1155CC"/>
        <u/>
      </rPr>
      <t>Mongolia</t>
    </r>
    <r>
      <rPr/>
      <t/>
    </r>
    <r>
      <rPr>
        <color rgb="FF1155CC"/>
        <u/>
      </rPr>
      <t>[</t>
    </r>
    <r>
      <rPr>
        <color rgb="FF1155CC"/>
        <u/>
      </rPr>
      <t>n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</si>
  <si>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</si>
  <si>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Apostolic Prefect of Ulaanbaatar</t>
    </r>
  </si>
  <si>
    <r>
      <rPr>
        <color rgb="FF1155CC"/>
        <u/>
      </rPr>
      <t>Jorge Enrique Jiménez Carvajal</t>
    </r>
    <r>
      <rPr/>
      <t xml:space="preserve"> </t>
    </r>
    <r>
      <rPr>
        <color rgb="FF1155CC"/>
        <u/>
      </rPr>
      <t>CJM</t>
    </r>
  </si>
  <si>
    <r>
      <rPr>
        <color rgb="FF1155CC"/>
        <u/>
      </rPr>
      <t>Colombia</t>
    </r>
  </si>
  <si>
    <r>
      <rPr>
        <color rgb="FF1155CC"/>
        <u/>
      </rPr>
      <t>CP</t>
    </r>
  </si>
  <si>
    <r>
      <rPr>
        <color rgb="FF1155CC"/>
        <u/>
      </rPr>
      <t>Archbishop emeritus of Cartagena</t>
    </r>
  </si>
  <si>
    <r>
      <rPr>
        <color rgb="FF1155CC"/>
        <u/>
      </rPr>
      <t>Arrigo Miglio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</si>
  <si>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</si>
  <si>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</si>
  <si>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Cagliari</t>
    </r>
  </si>
  <si>
    <t>Pierbattista Pizzaballa</t>
  </si>
  <si>
    <r>
      <rPr>
        <color rgb="FF1155CC"/>
        <u/>
      </rPr>
      <t>Jerusalem</t>
    </r>
    <r>
      <rPr/>
      <t/>
    </r>
    <r>
      <rPr>
        <color rgb="FF1155CC"/>
        <u/>
      </rPr>
      <t>[</t>
    </r>
    <r>
      <rPr>
        <color rgb="FF1155CC"/>
        <u/>
      </rPr>
      <t>o</t>
    </r>
    <r>
      <rPr/>
      <t>]</t>
    </r>
  </si>
  <si>
    <r>
      <rPr>
        <color rgb="FF1155CC"/>
        <u/>
      </rPr>
      <t>CP</t>
    </r>
  </si>
  <si>
    <r>
      <rPr>
        <color rgb="FF1155CC"/>
        <u/>
      </rPr>
      <t>Latin Patriarch of Jerusalem</t>
    </r>
  </si>
  <si>
    <r>
      <rPr>
        <color rgb="FF1155CC"/>
        <u/>
      </rPr>
      <t>Stephen Brislin</t>
    </r>
  </si>
  <si>
    <r>
      <rPr>
        <color rgb="FF1155CC"/>
        <u/>
      </rPr>
      <t>South Africa</t>
    </r>
  </si>
  <si>
    <r>
      <rPr>
        <color rgb="FF1155CC"/>
        <u/>
      </rPr>
      <t>CP</t>
    </r>
  </si>
  <si>
    <r>
      <rPr>
        <color rgb="FF1155CC"/>
        <u/>
      </rPr>
      <t>Archbishop of Johannesburg</t>
    </r>
  </si>
  <si>
    <r>
      <rPr>
        <color rgb="FF1155CC"/>
        <u/>
      </rPr>
      <t>Ángel Sixto Rossi</t>
    </r>
    <r>
      <rPr/>
      <t xml:space="preserve"> </t>
    </r>
  </si>
  <si>
    <r>
      <rPr>
        <color rgb="FF1155CC"/>
        <u/>
      </rPr>
      <t>Argentina</t>
    </r>
  </si>
  <si>
    <r>
      <rPr>
        <color rgb="FF1155CC"/>
        <u/>
      </rPr>
      <t>CP</t>
    </r>
  </si>
  <si>
    <r>
      <rPr>
        <color rgb="FF1155CC"/>
        <u/>
      </rPr>
      <t>Archbishop of Córdoba</t>
    </r>
  </si>
  <si>
    <r>
      <rPr>
        <color rgb="FF1155CC"/>
        <u/>
      </rPr>
      <t>Luis José Rueda Aparicio</t>
    </r>
  </si>
  <si>
    <r>
      <rPr>
        <color rgb="FF1155CC"/>
        <u/>
      </rPr>
      <t>Colombia</t>
    </r>
  </si>
  <si>
    <r>
      <rPr>
        <color rgb="FF1155CC"/>
        <u/>
      </rPr>
      <t>CP</t>
    </r>
  </si>
  <si>
    <r>
      <rPr>
        <color rgb="FF1155CC"/>
        <u/>
      </rPr>
      <t>Archbishop of Bogotá</t>
    </r>
  </si>
  <si>
    <r>
      <rPr>
        <color rgb="FF1155CC"/>
        <u/>
      </rPr>
      <t>Grzegorz Ryś</t>
    </r>
  </si>
  <si>
    <r>
      <rPr>
        <color rgb="FF1155CC"/>
        <u/>
      </rPr>
      <t>Poland</t>
    </r>
  </si>
  <si>
    <r>
      <rPr>
        <color rgb="FF1155CC"/>
        <u/>
      </rPr>
      <t>CP</t>
    </r>
  </si>
  <si>
    <r>
      <rPr>
        <color rgb="FF1155CC"/>
        <u/>
      </rPr>
      <t>Archbishop of Łódź</t>
    </r>
  </si>
  <si>
    <r>
      <rPr>
        <color rgb="FF1155CC"/>
        <u/>
      </rPr>
      <t>Stephen Ameyu Martin Mulla</t>
    </r>
  </si>
  <si>
    <r>
      <rPr>
        <color rgb="FF1155CC"/>
        <u/>
      </rPr>
      <t>South Sudan</t>
    </r>
  </si>
  <si>
    <r>
      <rPr>
        <color rgb="FF1155CC"/>
        <u/>
      </rPr>
      <t>CP</t>
    </r>
  </si>
  <si>
    <r>
      <rPr>
        <color rgb="FF1155CC"/>
        <u/>
      </rPr>
      <t>Archbishop of Juba</t>
    </r>
  </si>
  <si>
    <t>Bari</t>
  </si>
  <si>
    <r>
      <rPr>
        <color rgb="FF1155CC"/>
        <u/>
      </rPr>
      <t>José Cobo Cano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</si>
  <si>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</si>
  <si>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</si>
  <si>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of Madrid</t>
    </r>
  </si>
  <si>
    <r>
      <rPr>
        <color rgb="FF1155CC"/>
        <u/>
      </rPr>
      <t>Protase Rugambwa</t>
    </r>
  </si>
  <si>
    <r>
      <rPr>
        <color rgb="FF1155CC"/>
        <u/>
      </rPr>
      <t>Tanzania</t>
    </r>
  </si>
  <si>
    <r>
      <rPr>
        <color rgb="FF1155CC"/>
        <u/>
      </rPr>
      <t>CP</t>
    </r>
  </si>
  <si>
    <r>
      <rPr>
        <color rgb="FF1155CC"/>
        <u/>
      </rPr>
      <t>Archbishop of Tabora</t>
    </r>
  </si>
  <si>
    <t>Kiswahili</t>
  </si>
  <si>
    <r>
      <rPr>
        <color rgb="FF1155CC"/>
        <u/>
      </rPr>
      <t>Sebastian Francis</t>
    </r>
  </si>
  <si>
    <r>
      <rPr>
        <color rgb="FF1155CC"/>
        <u/>
      </rPr>
      <t>Malaysia</t>
    </r>
  </si>
  <si>
    <r>
      <rPr>
        <color rgb="FF1155CC"/>
        <u/>
      </rPr>
      <t>CP</t>
    </r>
  </si>
  <si>
    <r>
      <rPr>
        <color rgb="FF1155CC"/>
        <u/>
      </rPr>
      <t>Bishop of Penang</t>
    </r>
  </si>
  <si>
    <r>
      <rPr>
        <color rgb="FF1155CC"/>
        <u/>
      </rPr>
      <t>Stephen Chow Sau-yan</t>
    </r>
    <r>
      <rPr/>
      <t xml:space="preserve"> </t>
    </r>
  </si>
  <si>
    <r>
      <rPr>
        <color rgb="FF1155CC"/>
        <u/>
      </rPr>
      <t>China</t>
    </r>
    <r>
      <rPr/>
      <t xml:space="preserve">
(</t>
    </r>
    <r>
      <rPr>
        <color rgb="FF1155CC"/>
        <u/>
      </rPr>
      <t>Hong Kong</t>
    </r>
    <r>
      <rPr/>
      <t>)</t>
    </r>
    <r>
      <rPr>
        <color rgb="FF1155CC"/>
        <u/>
      </rPr>
      <t>[</t>
    </r>
    <r>
      <rPr>
        <color rgb="FF1155CC"/>
        <u/>
      </rPr>
      <t>f</t>
    </r>
    <r>
      <rPr/>
      <t>]</t>
    </r>
  </si>
  <si>
    <r>
      <rPr>
        <color rgb="FF1155CC"/>
        <u/>
      </rPr>
      <t>CP</t>
    </r>
  </si>
  <si>
    <r>
      <rPr>
        <color rgb="FF1155CC"/>
        <u/>
      </rPr>
      <t>Bishop of Hong Kong</t>
    </r>
  </si>
  <si>
    <r>
      <rPr>
        <color rgb="FF1155CC"/>
        <u/>
      </rPr>
      <t>François-Xavier Bustillo</t>
    </r>
    <r>
      <rPr/>
      <t xml:space="preserve"> </t>
    </r>
  </si>
  <si>
    <r>
      <rPr>
        <color rgb="FF1155CC"/>
        <u/>
      </rPr>
      <t>France</t>
    </r>
    <r>
      <rPr/>
      <t/>
    </r>
    <r>
      <rPr>
        <color rgb="FF1155CC"/>
        <u/>
      </rPr>
      <t>[</t>
    </r>
    <r>
      <rPr>
        <color rgb="FF1155CC"/>
        <u/>
      </rPr>
      <t>p</t>
    </r>
    <r>
      <rPr/>
      <t>]</t>
    </r>
  </si>
  <si>
    <r>
      <rPr>
        <color rgb="FF1155CC"/>
        <u/>
      </rPr>
      <t>CP</t>
    </r>
  </si>
  <si>
    <r>
      <rPr>
        <color rgb="FF1155CC"/>
        <u/>
      </rPr>
      <t>Bishop of Ajaccio</t>
    </r>
  </si>
  <si>
    <r>
      <rPr>
        <color rgb="FF1155CC"/>
        <u/>
      </rPr>
      <t>Américo Aguiar</t>
    </r>
  </si>
  <si>
    <r>
      <rPr>
        <color rgb="FF1155CC"/>
        <u/>
      </rPr>
      <t>Portugal</t>
    </r>
  </si>
  <si>
    <r>
      <rPr>
        <color rgb="FF1155CC"/>
        <u/>
      </rPr>
      <t>CP</t>
    </r>
  </si>
  <si>
    <r>
      <rPr>
        <color rgb="FF1155CC"/>
        <u/>
      </rPr>
      <t>Bishop of Setúbal</t>
    </r>
  </si>
  <si>
    <r>
      <rPr>
        <color rgb="FF1155CC"/>
        <u/>
      </rPr>
      <t>Diego Rafael Padrón Sánchez</t>
    </r>
  </si>
  <si>
    <r>
      <rPr>
        <color rgb="FF1155CC"/>
        <u/>
      </rPr>
      <t>Venezuela</t>
    </r>
  </si>
  <si>
    <r>
      <rPr>
        <color rgb="FF1155CC"/>
        <u/>
      </rPr>
      <t>CP</t>
    </r>
  </si>
  <si>
    <r>
      <rPr>
        <color rgb="FF1155CC"/>
        <u/>
      </rPr>
      <t>Archbishop emeritus of Cumaná</t>
    </r>
  </si>
  <si>
    <r>
      <rPr>
        <color rgb="FF1155CC"/>
        <u/>
      </rPr>
      <t>Carlos Castillo Mattasoglio</t>
    </r>
  </si>
  <si>
    <r>
      <rPr>
        <color rgb="FF1155CC"/>
        <u/>
      </rPr>
      <t>Peru</t>
    </r>
  </si>
  <si>
    <r>
      <rPr>
        <color rgb="FF1155CC"/>
        <u/>
      </rPr>
      <t>CP</t>
    </r>
  </si>
  <si>
    <r>
      <rPr>
        <color rgb="FF1155CC"/>
        <u/>
      </rPr>
      <t>Archbishop of Lima</t>
    </r>
  </si>
  <si>
    <r>
      <rPr>
        <color rgb="FF1155CC"/>
        <u/>
      </rPr>
      <t>Vicente Bokalic Iglic</t>
    </r>
    <r>
      <rPr/>
      <t xml:space="preserve"> </t>
    </r>
  </si>
  <si>
    <r>
      <rPr>
        <color rgb="FF1155CC"/>
        <u/>
      </rPr>
      <t>Argentina</t>
    </r>
  </si>
  <si>
    <r>
      <rPr>
        <color rgb="FF1155CC"/>
        <u/>
      </rPr>
      <t>CP</t>
    </r>
  </si>
  <si>
    <r>
      <rPr>
        <color rgb="FF1155CC"/>
        <u/>
      </rPr>
      <t>Archbishop of Santiago del Estero</t>
    </r>
  </si>
  <si>
    <r>
      <rPr>
        <color rgb="FF1155CC"/>
        <u/>
      </rPr>
      <t>Luis Cabrera Herrera</t>
    </r>
    <r>
      <rPr/>
      <t xml:space="preserve"> </t>
    </r>
  </si>
  <si>
    <r>
      <rPr>
        <color rgb="FF1155CC"/>
        <u/>
      </rPr>
      <t>Ecuador</t>
    </r>
  </si>
  <si>
    <r>
      <rPr>
        <color rgb="FF1155CC"/>
        <u/>
      </rPr>
      <t>CP</t>
    </r>
  </si>
  <si>
    <r>
      <rPr>
        <color rgb="FF1155CC"/>
        <u/>
      </rPr>
      <t>Archbishop of Guayaquil</t>
    </r>
  </si>
  <si>
    <r>
      <rPr>
        <color rgb="FF1155CC"/>
        <u/>
      </rPr>
      <t>Fernando Chomalí Garib</t>
    </r>
  </si>
  <si>
    <r>
      <rPr>
        <color rgb="FF1155CC"/>
        <u/>
      </rPr>
      <t>Chile</t>
    </r>
  </si>
  <si>
    <r>
      <rPr>
        <color rgb="FF1155CC"/>
        <u/>
      </rPr>
      <t>CP</t>
    </r>
  </si>
  <si>
    <r>
      <rPr>
        <color rgb="FF1155CC"/>
        <u/>
      </rPr>
      <t>Archbishop of Santiago de Chile</t>
    </r>
  </si>
  <si>
    <r>
      <rPr>
        <color rgb="FF1155CC"/>
        <u/>
      </rPr>
      <t>Tarcisio Isao Kikuchi</t>
    </r>
    <r>
      <rPr/>
      <t xml:space="preserve"> </t>
    </r>
  </si>
  <si>
    <r>
      <rPr>
        <color rgb="FF1155CC"/>
        <u/>
      </rPr>
      <t>Japan</t>
    </r>
  </si>
  <si>
    <r>
      <rPr>
        <color rgb="FF1155CC"/>
        <u/>
      </rPr>
      <t>CP</t>
    </r>
  </si>
  <si>
    <r>
      <rPr>
        <color rgb="FF1155CC"/>
        <u/>
      </rPr>
      <t>Archbishop of Tokyo</t>
    </r>
  </si>
  <si>
    <r>
      <rPr>
        <color rgb="FF1155CC"/>
        <u/>
      </rPr>
      <t>Pablo Virgilio David</t>
    </r>
  </si>
  <si>
    <r>
      <rPr>
        <color rgb="FF1155CC"/>
        <u/>
      </rPr>
      <t>Philippines</t>
    </r>
  </si>
  <si>
    <r>
      <rPr>
        <color rgb="FF1155CC"/>
        <u/>
      </rPr>
      <t>CP</t>
    </r>
  </si>
  <si>
    <r>
      <rPr>
        <color rgb="FF1155CC"/>
        <u/>
      </rPr>
      <t>Bishop of Kalookan</t>
    </r>
  </si>
  <si>
    <r>
      <rPr>
        <color rgb="FF1155CC"/>
        <u/>
      </rPr>
      <t>Ladislav Nemet</t>
    </r>
    <r>
      <rPr/>
      <t xml:space="preserve"> </t>
    </r>
  </si>
  <si>
    <r>
      <rPr>
        <color rgb="FF1155CC"/>
        <u/>
      </rPr>
      <t>Serbia</t>
    </r>
    <r>
      <rPr/>
      <t/>
    </r>
    <r>
      <rPr>
        <color rgb="FF1155CC"/>
        <u/>
      </rPr>
      <t>[</t>
    </r>
    <r>
      <rPr>
        <color rgb="FF1155CC"/>
        <u/>
      </rPr>
      <t>q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</si>
  <si>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</si>
  <si>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Archbishop of Belgrade</t>
    </r>
  </si>
  <si>
    <t>Serbian</t>
  </si>
  <si>
    <r>
      <rPr>
        <color rgb="FF1155CC"/>
        <u/>
      </rPr>
      <t>Jaime Spengler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</si>
  <si>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</si>
  <si>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</si>
  <si>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Porto Alegre</t>
    </r>
  </si>
  <si>
    <r>
      <rPr>
        <color rgb="FF1155CC"/>
        <u/>
      </rPr>
      <t>Ignace Bessi Dogbo</t>
    </r>
  </si>
  <si>
    <r>
      <rPr>
        <color rgb="FF1155CC"/>
        <u/>
      </rPr>
      <t>Ivory Coast</t>
    </r>
  </si>
  <si>
    <r>
      <rPr>
        <color rgb="FF1155CC"/>
        <u/>
      </rPr>
      <t>CP</t>
    </r>
  </si>
  <si>
    <r>
      <rPr>
        <color rgb="FF1155CC"/>
        <u/>
      </rPr>
      <t>Archbishop of Abidjan</t>
    </r>
  </si>
  <si>
    <r>
      <rPr>
        <color rgb="FF1155CC"/>
        <u/>
      </rPr>
      <t>Jean-Paul Vesco</t>
    </r>
    <r>
      <rPr/>
      <t xml:space="preserve"> </t>
    </r>
  </si>
  <si>
    <r>
      <rPr>
        <color rgb="FF1155CC"/>
        <u/>
      </rPr>
      <t>Algeria</t>
    </r>
    <r>
      <rPr/>
      <t/>
    </r>
    <r>
      <rPr>
        <color rgb="FF1155CC"/>
        <u/>
      </rPr>
      <t>[</t>
    </r>
    <r>
      <rPr>
        <color rgb="FF1155CC"/>
        <u/>
      </rPr>
      <t>r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</si>
  <si>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</si>
  <si>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Archbishop of Algiers</t>
    </r>
  </si>
  <si>
    <r>
      <rPr>
        <color rgb="FF1155CC"/>
        <u/>
      </rPr>
      <t>Dominique Mathieu</t>
    </r>
    <r>
      <rPr/>
      <t xml:space="preserve"> </t>
    </r>
  </si>
  <si>
    <r>
      <rPr>
        <color rgb="FF1155CC"/>
        <u/>
      </rPr>
      <t>Iran</t>
    </r>
    <r>
      <rPr/>
      <t/>
    </r>
    <r>
      <rPr>
        <color rgb="FF1155CC"/>
        <u/>
      </rPr>
      <t>[</t>
    </r>
    <r>
      <rPr>
        <color rgb="FF1155CC"/>
        <u/>
      </rPr>
      <t>s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</si>
  <si>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</si>
  <si>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Archbishop of Tehran–Isfahan</t>
    </r>
  </si>
  <si>
    <r>
      <rPr>
        <color rgb="FF1155CC"/>
        <u/>
      </rPr>
      <t>Roberto Repole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</si>
  <si>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</si>
  <si>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</si>
  <si>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Turin</t>
    </r>
    <r>
      <rPr/>
      <t xml:space="preserve"> and </t>
    </r>
    <r>
      <rPr>
        <color rgb="FF1155CC"/>
        <u/>
      </rPr>
      <t>Bishop of Susa</t>
    </r>
  </si>
  <si>
    <r>
      <rPr>
        <color rgb="FF1155CC"/>
        <u/>
      </rPr>
      <t>Baldassare Reina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</si>
  <si>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</si>
  <si>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</si>
  <si>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Vicar General for Rome</t>
    </r>
    <r>
      <rPr/>
      <t xml:space="preserve"> and Archpriest of the </t>
    </r>
    <r>
      <rPr>
        <color rgb="FF1155CC"/>
        <u/>
      </rPr>
      <t>Papal Basilica of Saint John Lateran</t>
    </r>
  </si>
  <si>
    <r>
      <rPr>
        <color rgb="FF1155CC"/>
        <u/>
      </rPr>
      <t>Frank Leo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</si>
  <si>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</si>
  <si>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</si>
  <si>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rPr>
        <color rgb="FF1155CC"/>
        <u/>
      </rPr>
      <t>Archbishop of Toronto</t>
    </r>
  </si>
  <si>
    <r>
      <rPr>
        <color rgb="FF1155CC"/>
        <u/>
      </rPr>
      <t>Mykola Bychok</t>
    </r>
    <r>
      <rPr/>
      <t xml:space="preserve"> </t>
    </r>
  </si>
  <si>
    <r>
      <rPr>
        <color rgb="FF1155CC"/>
        <u/>
      </rPr>
      <t>Australia</t>
    </r>
    <r>
      <rPr/>
      <t/>
    </r>
    <r>
      <rPr>
        <color rgb="FF1155CC"/>
        <u/>
      </rPr>
      <t>[</t>
    </r>
    <r>
      <rPr>
        <color rgb="FF1155CC"/>
        <u/>
      </rPr>
      <t>t</t>
    </r>
    <r>
      <rPr/>
      <t>]</t>
    </r>
  </si>
  <si>
    <r>
      <rPr>
        <color rgb="FF1155CC"/>
        <u/>
      </rPr>
      <t>CP</t>
    </r>
  </si>
  <si>
    <r>
      <rPr>
        <color rgb="FF1155CC"/>
        <u/>
      </rPr>
      <t>Eparch of Saints Peter and Paul of Melbourne</t>
    </r>
    <r>
      <rPr/>
      <t xml:space="preserve">
(</t>
    </r>
    <r>
      <rPr>
        <color rgb="FF1155CC"/>
        <u/>
      </rPr>
      <t>Ukrainian Greek Church</t>
    </r>
    <r>
      <rPr/>
      <t>)</t>
    </r>
  </si>
  <si>
    <r>
      <rPr>
        <color rgb="FF1155CC"/>
        <u/>
      </rPr>
      <t>Domenico Battaglia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</si>
  <si>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</si>
  <si>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</si>
  <si>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Naples</t>
    </r>
  </si>
  <si>
    <r>
      <rPr>
        <color rgb="FF1155CC"/>
        <u/>
      </rPr>
      <t>Dominique Mamberti</t>
    </r>
  </si>
  <si>
    <r>
      <rPr>
        <color rgb="FF1155CC"/>
        <u/>
      </rPr>
      <t>France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</si>
  <si>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</si>
  <si>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Supreme Tribunal of the Apostolic Signatura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</si>
  <si>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Mario Zenari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</si>
  <si>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</si>
  <si>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</si>
  <si>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Apostolic Nuncio to Syria</t>
    </r>
  </si>
  <si>
    <r>
      <rPr>
        <color rgb="FF1155CC"/>
        <u/>
      </rPr>
      <t>Kevin Farrell</t>
    </r>
  </si>
  <si>
    <r>
      <rPr>
        <color rgb="FF1155CC"/>
        <u/>
      </rPr>
      <t>United States</t>
    </r>
    <r>
      <rPr/>
      <t/>
    </r>
    <r>
      <rPr>
        <color rgb="FF1155CC"/>
        <u/>
      </rPr>
      <t>[</t>
    </r>
    <r>
      <rPr>
        <color rgb="FF1155CC"/>
        <u/>
      </rPr>
      <t>u</t>
    </r>
    <r>
      <rPr/>
      <t>]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</si>
  <si>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</si>
  <si>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Dicastery for the Laity, Family and Life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 xml:space="preserve">] and </t>
    </r>
    <r>
      <rPr>
        <color rgb="FF1155CC"/>
        <u/>
      </rPr>
      <t>Camerlengo of the Holy Roman Church</t>
    </r>
  </si>
  <si>
    <r>
      <rPr>
        <color rgb="FF1155CC"/>
        <u/>
      </rPr>
      <t>Ernest Simoni</t>
    </r>
  </si>
  <si>
    <r>
      <rPr>
        <color rgb="FF1155CC"/>
        <u/>
      </rPr>
      <t>Albania</t>
    </r>
  </si>
  <si>
    <r>
      <rPr>
        <color rgb="FF1155CC"/>
        <u/>
      </rPr>
      <t>CD</t>
    </r>
  </si>
  <si>
    <r>
      <t xml:space="preserve">Priest of the </t>
    </r>
    <r>
      <rPr>
        <color rgb="FF1155CC"/>
        <u/>
      </rPr>
      <t>Archdiocese of Shkodër–Pult</t>
    </r>
    <r>
      <rPr/>
      <t/>
    </r>
    <r>
      <rPr>
        <color rgb="FF1155CC"/>
        <u/>
      </rPr>
      <t>[</t>
    </r>
    <r>
      <rPr>
        <color rgb="FF1155CC"/>
        <u/>
      </rPr>
      <t>v</t>
    </r>
    <r>
      <rPr/>
      <t>]</t>
    </r>
  </si>
  <si>
    <t>Albanian</t>
  </si>
  <si>
    <r>
      <rPr>
        <color rgb="FF1155CC"/>
        <u/>
      </rPr>
      <t>Luis Ladaria Ferrer</t>
    </r>
    <r>
      <rPr/>
      <t xml:space="preserve"> </t>
    </r>
  </si>
  <si>
    <r>
      <rPr>
        <color rgb="FF1155CC"/>
        <u/>
      </rPr>
      <t>Spain</t>
    </r>
  </si>
  <si>
    <r>
      <rPr>
        <color rgb="FF1155CC"/>
        <u/>
      </rPr>
      <t>CD</t>
    </r>
  </si>
  <si>
    <r>
      <t xml:space="preserve">Prefect emeritus of the </t>
    </r>
    <r>
      <rPr>
        <color rgb="FF1155CC"/>
        <u/>
      </rPr>
      <t>Dicastery for the Doctrine of the Faith</t>
    </r>
  </si>
  <si>
    <t>Giovanni Angelo Becciu</t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</si>
  <si>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</si>
  <si>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</si>
  <si>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Prefect emeritus of the </t>
    </r>
    <r>
      <rPr>
        <color rgb="FF1155CC"/>
        <u/>
      </rPr>
      <t>Congregation for the Causes of Saints</t>
    </r>
  </si>
  <si>
    <r>
      <rPr>
        <color rgb="FF1155CC"/>
        <u/>
      </rPr>
      <t>Konrad Krajewski</t>
    </r>
  </si>
  <si>
    <r>
      <rPr>
        <color rgb="FF1155CC"/>
        <u/>
      </rPr>
      <t>Poland</t>
    </r>
  </si>
  <si>
    <r>
      <rPr>
        <color rgb="FF1155CC"/>
        <u/>
      </rPr>
      <t>CD</t>
    </r>
  </si>
  <si>
    <r>
      <rPr>
        <color rgb="FF1155CC"/>
        <u/>
      </rPr>
      <t>Almoner of His Holiness</t>
    </r>
  </si>
  <si>
    <r>
      <rPr>
        <color rgb="FF1155CC"/>
        <u/>
      </rPr>
      <t>Aquilino Bocos Merino</t>
    </r>
    <r>
      <rPr/>
      <t xml:space="preserve"> </t>
    </r>
  </si>
  <si>
    <r>
      <rPr>
        <color rgb="FF1155CC"/>
        <u/>
      </rPr>
      <t>Spain</t>
    </r>
  </si>
  <si>
    <r>
      <rPr>
        <color rgb="FF1155CC"/>
        <u/>
      </rPr>
      <t>CD</t>
    </r>
  </si>
  <si>
    <r>
      <t xml:space="preserve">Superior General emeritus of the </t>
    </r>
    <r>
      <rPr>
        <color rgb="FF1155CC"/>
        <u/>
      </rPr>
      <t>Missionary Sons of the Immaculate Heart of Mary</t>
    </r>
  </si>
  <si>
    <r>
      <rPr>
        <color rgb="FF1155CC"/>
        <u/>
      </rPr>
      <t>José Tolentino de Mendonça</t>
    </r>
  </si>
  <si>
    <r>
      <rPr>
        <color rgb="FF1155CC"/>
        <u/>
      </rPr>
      <t>Portugal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</si>
  <si>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</si>
  <si>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Dicastery for Culture and Education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</si>
  <si>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Michael Czerny</t>
    </r>
    <r>
      <rPr/>
      <t xml:space="preserve"> </t>
    </r>
  </si>
  <si>
    <r>
      <rPr>
        <color rgb="FF1155CC"/>
        <u/>
      </rPr>
      <t>Canada</t>
    </r>
    <r>
      <rPr/>
      <t/>
    </r>
    <r>
      <rPr>
        <color rgb="FF1155CC"/>
        <u/>
      </rPr>
      <t>[</t>
    </r>
    <r>
      <rPr>
        <color rgb="FF1155CC"/>
        <u/>
      </rPr>
      <t>x</t>
    </r>
    <r>
      <rPr/>
      <t>]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</si>
  <si>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</si>
  <si>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Dicastery for Promoting Integral Human Development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</si>
  <si>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Michael Fitzgerald</t>
    </r>
    <r>
      <rPr/>
      <t xml:space="preserve"> </t>
    </r>
  </si>
  <si>
    <r>
      <rPr>
        <color rgb="FF1155CC"/>
        <u/>
      </rPr>
      <t>United Kingdom</t>
    </r>
  </si>
  <si>
    <r>
      <rPr>
        <color rgb="FF1155CC"/>
        <u/>
      </rPr>
      <t>CD</t>
    </r>
  </si>
  <si>
    <r>
      <rPr>
        <color rgb="FF1155CC"/>
        <u/>
      </rPr>
      <t>Apostolic Nuncio emeritus to Egypt</t>
    </r>
  </si>
  <si>
    <r>
      <rPr>
        <color rgb="FF1155CC"/>
        <u/>
      </rPr>
      <t>Mario Grech</t>
    </r>
  </si>
  <si>
    <r>
      <rPr>
        <color rgb="FF1155CC"/>
        <u/>
      </rPr>
      <t>Malta</t>
    </r>
  </si>
  <si>
    <r>
      <rPr>
        <color rgb="FF1155CC"/>
        <u/>
      </rPr>
      <t>CD</t>
    </r>
  </si>
  <si>
    <r>
      <t xml:space="preserve">Secretary-General of the </t>
    </r>
    <r>
      <rPr>
        <color rgb="FF1155CC"/>
        <u/>
      </rPr>
      <t>Synod of Bishops</t>
    </r>
  </si>
  <si>
    <t>Maltese</t>
  </si>
  <si>
    <r>
      <rPr>
        <color rgb="FF1155CC"/>
        <u/>
      </rPr>
      <t>Marcello Semeraro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</si>
  <si>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</si>
  <si>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</si>
  <si>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Dicastery for the Causes of Saints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</si>
  <si>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Mauro Gambetti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</si>
  <si>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</si>
  <si>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</si>
  <si>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Vicar General for Vatican City</t>
    </r>
    <r>
      <rPr/>
      <t xml:space="preserve">, Archpriest of the </t>
    </r>
    <r>
      <rPr>
        <color rgb="FF1155CC"/>
        <u/>
      </rPr>
      <t>Papal Basilica of Saint Peter</t>
    </r>
    <r>
      <rPr/>
      <t xml:space="preserve"> and President of the </t>
    </r>
    <r>
      <rPr>
        <color rgb="FF1155CC"/>
        <u/>
      </rPr>
      <t>Fabric of Saint Peter</t>
    </r>
  </si>
  <si>
    <r>
      <rPr>
        <color rgb="FF1155CC"/>
        <u/>
      </rPr>
      <t>Silvano Maria Tomasi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</si>
  <si>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</si>
  <si>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</si>
  <si>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Special Delegate to the </t>
    </r>
    <r>
      <rPr>
        <color rgb="FF1155CC"/>
        <u/>
      </rPr>
      <t>Sovereign Military Order of Malta</t>
    </r>
  </si>
  <si>
    <r>
      <rPr>
        <color rgb="FF1155CC"/>
        <u/>
      </rPr>
      <t>Raniero Cantalamessa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</si>
  <si>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</si>
  <si>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</si>
  <si>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Preacher emeritus of the Papal Household</t>
    </r>
    <r>
      <rPr/>
      <t/>
    </r>
    <r>
      <rPr>
        <color rgb="FF1155CC"/>
        <u/>
      </rPr>
      <t>[</t>
    </r>
    <r>
      <rPr>
        <color rgb="FF1155CC"/>
        <u/>
      </rPr>
      <t>v</t>
    </r>
    <r>
      <rPr/>
      <t>]</t>
    </r>
  </si>
  <si>
    <r>
      <rPr>
        <color rgb="FF1155CC"/>
        <u/>
      </rPr>
      <t>Enrico Feroci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</si>
  <si>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</si>
  <si>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</si>
  <si>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Pastor of the </t>
    </r>
    <r>
      <rPr>
        <color rgb="FF1155CC"/>
        <u/>
      </rPr>
      <t>Shrine of Our Lady of Divine Love in Castel di Leva</t>
    </r>
    <r>
      <rPr/>
      <t>, Rome</t>
    </r>
  </si>
  <si>
    <r>
      <rPr>
        <color rgb="FF1155CC"/>
        <u/>
      </rPr>
      <t>Arthur Roche</t>
    </r>
  </si>
  <si>
    <r>
      <rPr>
        <color rgb="FF1155CC"/>
        <u/>
      </rPr>
      <t>United Kingdom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</si>
  <si>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</si>
  <si>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Dicastery for Divine Worship and the Discipline of the Sacraments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</si>
  <si>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Lazarus You Heung-sik</t>
    </r>
  </si>
  <si>
    <r>
      <rPr>
        <color rgb="FF1155CC"/>
        <u/>
      </rPr>
      <t>South Korea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</si>
  <si>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</si>
  <si>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Dicastery for the Clergy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</si>
  <si>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Fernando Vérgez Alzaga</t>
    </r>
    <r>
      <rPr/>
      <t xml:space="preserve"> </t>
    </r>
  </si>
  <si>
    <r>
      <rPr>
        <color rgb="FF1155CC"/>
        <u/>
      </rPr>
      <t>Spain</t>
    </r>
  </si>
  <si>
    <r>
      <rPr>
        <color rgb="FF1155CC"/>
        <u/>
      </rPr>
      <t>CD</t>
    </r>
  </si>
  <si>
    <r>
      <t xml:space="preserve">President emeritus of the </t>
    </r>
    <r>
      <rPr>
        <color rgb="FF1155CC"/>
        <u/>
      </rPr>
      <t>Pontifical Commission for Vatican City State</t>
    </r>
  </si>
  <si>
    <r>
      <rPr>
        <color rgb="FF1155CC"/>
        <u/>
      </rPr>
      <t>Gianfranco Ghirlanda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</si>
  <si>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</si>
  <si>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</si>
  <si>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Patron of the </t>
    </r>
    <r>
      <rPr>
        <color rgb="FF1155CC"/>
        <u/>
      </rPr>
      <t>Sovereign Military Order of Malta</t>
    </r>
    <r>
      <rPr/>
      <t/>
    </r>
    <r>
      <rPr>
        <color rgb="FF1155CC"/>
        <u/>
      </rPr>
      <t>[</t>
    </r>
    <r>
      <rPr>
        <color rgb="FF1155CC"/>
        <u/>
      </rPr>
      <t>v</t>
    </r>
    <r>
      <rPr/>
      <t>]</t>
    </r>
  </si>
  <si>
    <r>
      <rPr>
        <color rgb="FF1155CC"/>
        <u/>
      </rPr>
      <t>Fortunato Frezza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</si>
  <si>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</si>
  <si>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</si>
  <si>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Canon of the Chapter of the </t>
    </r>
    <r>
      <rPr>
        <color rgb="FF1155CC"/>
        <u/>
      </rPr>
      <t>Papal Basilica of Saint Peter</t>
    </r>
  </si>
  <si>
    <r>
      <rPr>
        <color rgb="FF1155CC"/>
        <u/>
      </rPr>
      <t>Claudio Gugerotti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</si>
  <si>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</si>
  <si>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</si>
  <si>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Dicastery for the Eastern Churches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</si>
  <si>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Víctor Manuel Fernández</t>
    </r>
  </si>
  <si>
    <r>
      <rPr>
        <color rgb="FF1155CC"/>
        <u/>
      </rPr>
      <t>Argentina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</si>
  <si>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</si>
  <si>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Dicastery for the Doctrine of the Faith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</si>
  <si>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r>
      <rPr>
        <color rgb="FF1155CC"/>
        <u/>
      </rPr>
      <t>Emil Paul Tscherrig</t>
    </r>
  </si>
  <si>
    <r>
      <rPr>
        <color rgb="FF1155CC"/>
        <u/>
      </rPr>
      <t>Switzerland</t>
    </r>
  </si>
  <si>
    <r>
      <rPr>
        <color rgb="FF1155CC"/>
        <u/>
      </rPr>
      <t>CD</t>
    </r>
  </si>
  <si>
    <r>
      <rPr>
        <color rgb="FF1155CC"/>
        <u/>
      </rPr>
      <t>Apostolic Nuncio emeritus to Italy</t>
    </r>
    <r>
      <rPr/>
      <t xml:space="preserve"> and </t>
    </r>
    <r>
      <rPr>
        <color rgb="FF1155CC"/>
        <u/>
      </rPr>
      <t>San Marino</t>
    </r>
  </si>
  <si>
    <r>
      <rPr>
        <color rgb="FF1155CC"/>
        <u/>
      </rPr>
      <t>Christophe Pierre</t>
    </r>
  </si>
  <si>
    <r>
      <rPr>
        <color rgb="FF1155CC"/>
        <u/>
      </rPr>
      <t>France</t>
    </r>
  </si>
  <si>
    <r>
      <rPr>
        <color rgb="FF1155CC"/>
        <u/>
      </rPr>
      <t>CD</t>
    </r>
  </si>
  <si>
    <r>
      <rPr>
        <color rgb="FF1155CC"/>
        <u/>
      </rPr>
      <t>Apostolic Nuncio to the United States</t>
    </r>
  </si>
  <si>
    <r>
      <rPr>
        <color rgb="FF1155CC"/>
        <u/>
      </rPr>
      <t>Ángel Fernández Artime</t>
    </r>
    <r>
      <rPr/>
      <t xml:space="preserve"> </t>
    </r>
  </si>
  <si>
    <r>
      <rPr>
        <color rgb="FF1155CC"/>
        <u/>
      </rPr>
      <t>Spain</t>
    </r>
  </si>
  <si>
    <r>
      <rPr>
        <color rgb="FF1155CC"/>
        <u/>
      </rPr>
      <t>CD</t>
    </r>
  </si>
  <si>
    <r>
      <t xml:space="preserve">Pro-Prefect of the </t>
    </r>
    <r>
      <rPr>
        <color rgb="FF1155CC"/>
        <u/>
      </rPr>
      <t>Dicastery for Institutes of Consecrated Life and Societies of Apostolic Life</t>
    </r>
  </si>
  <si>
    <r>
      <rPr>
        <color rgb="FF1155CC"/>
        <u/>
      </rPr>
      <t>Agostino Marchetto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</si>
  <si>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</si>
  <si>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</si>
  <si>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Secretary emeritus of the </t>
    </r>
    <r>
      <rPr>
        <color rgb="FF1155CC"/>
        <u/>
      </rPr>
      <t>Pontifical Council for the Pastoral Care of Migrants and Itinerant People</t>
    </r>
  </si>
  <si>
    <r>
      <rPr>
        <color rgb="FF1155CC"/>
        <u/>
      </rPr>
      <t>Luis Pascual Dri</t>
    </r>
    <r>
      <rPr/>
      <t xml:space="preserve"> </t>
    </r>
  </si>
  <si>
    <r>
      <rPr>
        <color rgb="FF1155CC"/>
        <u/>
      </rPr>
      <t>Argentina</t>
    </r>
  </si>
  <si>
    <r>
      <rPr>
        <color rgb="FF1155CC"/>
        <u/>
      </rPr>
      <t>CD</t>
    </r>
  </si>
  <si>
    <r>
      <t xml:space="preserve">Confessor at the </t>
    </r>
    <r>
      <rPr>
        <color rgb="FF1155CC"/>
        <u/>
      </rPr>
      <t>Shrine of Our Lady of Pompei</t>
    </r>
    <r>
      <rPr/>
      <t xml:space="preserve"> [</t>
    </r>
    <r>
      <rPr>
        <color rgb="FF1155CC"/>
        <u/>
      </rPr>
      <t>es</t>
    </r>
    <r>
      <rPr/>
      <t>], Buenos Aires</t>
    </r>
  </si>
  <si>
    <r>
      <rPr>
        <color rgb="FF1155CC"/>
        <u/>
      </rPr>
      <t>Angelo Acerbi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</si>
  <si>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</si>
  <si>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</si>
  <si>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Apostolic Nuncio</t>
    </r>
    <r>
      <rPr/>
      <t xml:space="preserve"> emeritus</t>
    </r>
  </si>
  <si>
    <r>
      <rPr>
        <color rgb="FF1155CC"/>
        <u/>
      </rPr>
      <t>Rolandas Makrickas</t>
    </r>
  </si>
  <si>
    <r>
      <rPr>
        <color rgb="FF1155CC"/>
        <u/>
      </rPr>
      <t>Lithuania</t>
    </r>
  </si>
  <si>
    <r>
      <rPr>
        <color rgb="FF1155CC"/>
        <u/>
      </rPr>
      <t>CD</t>
    </r>
  </si>
  <si>
    <r>
      <t xml:space="preserve">Coadjutor Archpriest of the </t>
    </r>
    <r>
      <rPr>
        <color rgb="FF1155CC"/>
        <u/>
      </rPr>
      <t>Papal Basilica of Saint Mary Major</t>
    </r>
  </si>
  <si>
    <r>
      <rPr>
        <color rgb="FF1155CC"/>
        <u/>
      </rPr>
      <t>Timothy Radcliffe</t>
    </r>
    <r>
      <rPr/>
      <t xml:space="preserve"> </t>
    </r>
  </si>
  <si>
    <r>
      <rPr>
        <color rgb="FF1155CC"/>
        <u/>
      </rPr>
      <t>United Kingdom</t>
    </r>
  </si>
  <si>
    <r>
      <rPr>
        <color rgb="FF1155CC"/>
        <u/>
      </rPr>
      <t>CD</t>
    </r>
  </si>
  <si>
    <r>
      <rPr>
        <color rgb="FF1155CC"/>
        <u/>
      </rPr>
      <t>Master emeritus of the Order of Preachers</t>
    </r>
  </si>
  <si>
    <r>
      <rPr>
        <color rgb="FF1155CC"/>
        <u/>
      </rPr>
      <t>Fabio Baggio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</si>
  <si>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</si>
  <si>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</si>
  <si>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Undersecretary of the </t>
    </r>
    <r>
      <rPr>
        <color rgb="FF1155CC"/>
        <u/>
      </rPr>
      <t>Migrants and Refugees Section</t>
    </r>
    <r>
      <rPr/>
      <t xml:space="preserve"> of the </t>
    </r>
    <r>
      <rPr>
        <color rgb="FF1155CC"/>
        <u/>
      </rPr>
      <t>Dicastery for Promoting Integral Human Development</t>
    </r>
  </si>
  <si>
    <r>
      <rPr>
        <color rgb="FF1155CC"/>
        <u/>
      </rPr>
      <t>George Koovakad</t>
    </r>
  </si>
  <si>
    <r>
      <rPr>
        <color rgb="FF1155CC"/>
        <u/>
      </rPr>
      <t>India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</si>
  <si>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</si>
  <si>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Dicastery for Interreligious Dialogue</t>
    </r>
    <r>
      <rPr/>
      <t/>
    </r>
    <r>
      <rPr>
        <color rgb="FF1155CC"/>
        <u/>
      </rPr>
      <t>[</t>
    </r>
    <r>
      <rPr>
        <color rgb="FF1155CC"/>
        <u/>
      </rPr>
      <t>c</t>
    </r>
    <r>
      <rPr/>
      <t>]
(</t>
    </r>
    <r>
      <rPr>
        <color rgb="FF1155CC"/>
        <u/>
      </rPr>
      <t>Syro-Malabar Church</t>
    </r>
    <r>
      <rPr/>
      <t>)</t>
    </r>
  </si>
  <si>
    <t>Donald Trump</t>
  </si>
  <si>
    <t>United States</t>
  </si>
  <si>
    <t>US President</t>
  </si>
  <si>
    <t>number</t>
  </si>
  <si>
    <t>name_full</t>
  </si>
  <si>
    <t>suffix</t>
  </si>
  <si>
    <t>canonization</t>
  </si>
  <si>
    <t>birth</t>
  </si>
  <si>
    <t>start</t>
  </si>
  <si>
    <t>end</t>
  </si>
  <si>
    <t>age_start</t>
  </si>
  <si>
    <t>age_end</t>
  </si>
  <si>
    <t>tenure</t>
  </si>
  <si>
    <t>date_cardinal</t>
  </si>
  <si>
    <t>prev_card_flavor</t>
  </si>
  <si>
    <t>Area</t>
  </si>
  <si>
    <t>city</t>
  </si>
  <si>
    <t>Country</t>
  </si>
  <si>
    <t>First_Language</t>
  </si>
  <si>
    <t>archbishop</t>
  </si>
  <si>
    <t>special_card_post</t>
  </si>
  <si>
    <t>patriarch</t>
  </si>
  <si>
    <t>LGBT</t>
  </si>
  <si>
    <t>gay</t>
  </si>
  <si>
    <t>poor</t>
  </si>
  <si>
    <t>Peter</t>
  </si>
  <si>
    <t>Saint</t>
  </si>
  <si>
    <t>not notable</t>
  </si>
  <si>
    <t>Linus</t>
  </si>
  <si>
    <t>Anacletus</t>
  </si>
  <si>
    <t>Clement I</t>
  </si>
  <si>
    <t>Clement</t>
  </si>
  <si>
    <t>Evaristus</t>
  </si>
  <si>
    <t>27-Oct-0105</t>
  </si>
  <si>
    <t>Alexander I</t>
  </si>
  <si>
    <t>Alexander</t>
  </si>
  <si>
    <t>3-May-0115</t>
  </si>
  <si>
    <t>Sixtus I</t>
  </si>
  <si>
    <t>Sixtus</t>
  </si>
  <si>
    <t>3-Apr-0125</t>
  </si>
  <si>
    <t>Telesphorus</t>
  </si>
  <si>
    <t>5-Jan-0136</t>
  </si>
  <si>
    <t>Hyginus</t>
  </si>
  <si>
    <t>11-Jan-0140</t>
  </si>
  <si>
    <t>Pius I</t>
  </si>
  <si>
    <t>Pius</t>
  </si>
  <si>
    <t>11-Jul-0155</t>
  </si>
  <si>
    <t>Anicetus</t>
  </si>
  <si>
    <t>20-Apr-0166</t>
  </si>
  <si>
    <t>Soter</t>
  </si>
  <si>
    <t>30-Jun-0119</t>
  </si>
  <si>
    <t>22-Apr-0174</t>
  </si>
  <si>
    <t>Eleutherius</t>
  </si>
  <si>
    <t>30-Jun-0130</t>
  </si>
  <si>
    <t>26-May-0189</t>
  </si>
  <si>
    <t>Victor I</t>
  </si>
  <si>
    <t>Victor</t>
  </si>
  <si>
    <t>30-Jun-0155</t>
  </si>
  <si>
    <t>28-Jul-0199</t>
  </si>
  <si>
    <t>Zephyrinus</t>
  </si>
  <si>
    <t>30-Jun-0160</t>
  </si>
  <si>
    <t>20-Dec-0217</t>
  </si>
  <si>
    <t>Callixtus I</t>
  </si>
  <si>
    <t>Callixtus</t>
  </si>
  <si>
    <t>14-Oct-0222</t>
  </si>
  <si>
    <t>Urban I</t>
  </si>
  <si>
    <t>Urban</t>
  </si>
  <si>
    <t>30-Jun-0175</t>
  </si>
  <si>
    <t>23-May-0230</t>
  </si>
  <si>
    <t>Pontian</t>
  </si>
  <si>
    <t>21-Aug-0230</t>
  </si>
  <si>
    <t>28-Sep-0235</t>
  </si>
  <si>
    <t>Anterus</t>
  </si>
  <si>
    <t>30-Jun-0180</t>
  </si>
  <si>
    <t>21-Nov-0235</t>
  </si>
  <si>
    <t>3-Jan-0236</t>
  </si>
  <si>
    <t>Fabian</t>
  </si>
  <si>
    <t>30-Jun-0200</t>
  </si>
  <si>
    <t>10-Jan-0236</t>
  </si>
  <si>
    <t>20-Jan-0250</t>
  </si>
  <si>
    <t>Cornelius</t>
  </si>
  <si>
    <t>6-Mar-0251</t>
  </si>
  <si>
    <t>25-Jun-0253</t>
  </si>
  <si>
    <t>Lucius I</t>
  </si>
  <si>
    <t>Lucius</t>
  </si>
  <si>
    <t>5-Mar-0254</t>
  </si>
  <si>
    <t>Stephen I</t>
  </si>
  <si>
    <t>Stephen</t>
  </si>
  <si>
    <t>30-Jun-0205</t>
  </si>
  <si>
    <t>12-Mar-0254</t>
  </si>
  <si>
    <t>2-Aug-0257</t>
  </si>
  <si>
    <t>Sixtus II</t>
  </si>
  <si>
    <t>30-Jun-0215</t>
  </si>
  <si>
    <t>30-Aug-0257</t>
  </si>
  <si>
    <t>6-Aug-0258</t>
  </si>
  <si>
    <t>Dionysius</t>
  </si>
  <si>
    <t>22-Jul-0259</t>
  </si>
  <si>
    <t>26-Dec-0268</t>
  </si>
  <si>
    <t>Felix I</t>
  </si>
  <si>
    <t>Felix</t>
  </si>
  <si>
    <t>30-Jun-0206</t>
  </si>
  <si>
    <t>5-Jan-0269</t>
  </si>
  <si>
    <t>30-Dec-0274</t>
  </si>
  <si>
    <t>Eutychian</t>
  </si>
  <si>
    <t>30-Jun-0240</t>
  </si>
  <si>
    <t>4-Jan-0275</t>
  </si>
  <si>
    <t>7-Dec-0283</t>
  </si>
  <si>
    <t>Caius</t>
  </si>
  <si>
    <t>30-Jun-0245</t>
  </si>
  <si>
    <t>17-Dec-0283</t>
  </si>
  <si>
    <t>22-Apr-0296</t>
  </si>
  <si>
    <t>Marcellinus</t>
  </si>
  <si>
    <t>30-Jun-0250</t>
  </si>
  <si>
    <t>30-Jun-0296</t>
  </si>
  <si>
    <t>26-Apr-0304</t>
  </si>
  <si>
    <t>Marcellus I</t>
  </si>
  <si>
    <t>Marcellus</t>
  </si>
  <si>
    <t>30-Jun-0255</t>
  </si>
  <si>
    <t>27-May-0308</t>
  </si>
  <si>
    <t>16-Jan-0309</t>
  </si>
  <si>
    <t>Eusebius</t>
  </si>
  <si>
    <t>18-Apr-0309</t>
  </si>
  <si>
    <t>17-Aug-0310</t>
  </si>
  <si>
    <t>Miltiades</t>
  </si>
  <si>
    <t>30-Jun-0270</t>
  </si>
  <si>
    <t>2-Jul-0311</t>
  </si>
  <si>
    <t>10-Jan-0314</t>
  </si>
  <si>
    <t>Sylvester I</t>
  </si>
  <si>
    <t>Sylvester</t>
  </si>
  <si>
    <t>30-Jun-0285</t>
  </si>
  <si>
    <t>31-Jan-0314</t>
  </si>
  <si>
    <t>31-Dec-0335</t>
  </si>
  <si>
    <t>Mark</t>
  </si>
  <si>
    <t>30-Jun-0290</t>
  </si>
  <si>
    <t>18-Jan-0336</t>
  </si>
  <si>
    <t>7-Oct-0336</t>
  </si>
  <si>
    <t>Julius I</t>
  </si>
  <si>
    <t>Julius</t>
  </si>
  <si>
    <t>30-Jun-0280</t>
  </si>
  <si>
    <t>6-Feb-0337</t>
  </si>
  <si>
    <t>12-Apr-0352</t>
  </si>
  <si>
    <t>Liberius</t>
  </si>
  <si>
    <t>30-Jun-0310</t>
  </si>
  <si>
    <t>17-May-0352</t>
  </si>
  <si>
    <t>24-Sep-0366</t>
  </si>
  <si>
    <t>Damasus I</t>
  </si>
  <si>
    <t>Damasus</t>
  </si>
  <si>
    <t>30-Jun-0305</t>
  </si>
  <si>
    <t>1-Oct-0366</t>
  </si>
  <si>
    <t>11-Dec-0384</t>
  </si>
  <si>
    <t>Siricius</t>
  </si>
  <si>
    <t>30-Jun-0334</t>
  </si>
  <si>
    <t>17-Dec-0384</t>
  </si>
  <si>
    <t>26-Nov-0399</t>
  </si>
  <si>
    <t>Anastasius I</t>
  </si>
  <si>
    <t>Anastasius</t>
  </si>
  <si>
    <t>30-Jun-0340</t>
  </si>
  <si>
    <t>27-Nov-0399</t>
  </si>
  <si>
    <t>19-Dec-0401</t>
  </si>
  <si>
    <t>Innocent I</t>
  </si>
  <si>
    <t>Innocent</t>
  </si>
  <si>
    <t>30-Jun-0378</t>
  </si>
  <si>
    <t>21-Dec-0401</t>
  </si>
  <si>
    <t>12-Mar-0417</t>
  </si>
  <si>
    <t>Zosimus</t>
  </si>
  <si>
    <t>30-Jun-0370</t>
  </si>
  <si>
    <t>18-Mar-0417</t>
  </si>
  <si>
    <t>26-Dec-0418</t>
  </si>
  <si>
    <t>Boniface I</t>
  </si>
  <si>
    <t>Boniface</t>
  </si>
  <si>
    <t>30-Jun-0377</t>
  </si>
  <si>
    <t>28-Dec-0418</t>
  </si>
  <si>
    <t>4-Sep-0422</t>
  </si>
  <si>
    <t>Celestine I</t>
  </si>
  <si>
    <t>Celestine</t>
  </si>
  <si>
    <t>30-Jun-0380</t>
  </si>
  <si>
    <t>10-Sep-0422</t>
  </si>
  <si>
    <t>27-Jul-0432</t>
  </si>
  <si>
    <t>Sixtus III</t>
  </si>
  <si>
    <t>30-Jun-0390</t>
  </si>
  <si>
    <t>31-Jul-0432</t>
  </si>
  <si>
    <t>18-Aug-0440</t>
  </si>
  <si>
    <t>Leo I</t>
  </si>
  <si>
    <t>Leo</t>
  </si>
  <si>
    <t>29-Sep-0440</t>
  </si>
  <si>
    <t>10-Nov-0461</t>
  </si>
  <si>
    <t>Hilary</t>
  </si>
  <si>
    <t>30-Jun-0400</t>
  </si>
  <si>
    <t>19-Nov-0461</t>
  </si>
  <si>
    <t>29-Feb-0468</t>
  </si>
  <si>
    <t>Simplicius</t>
  </si>
  <si>
    <t>30-Jun-0430</t>
  </si>
  <si>
    <t>3-Mar-0468</t>
  </si>
  <si>
    <t>10-Mar-0483</t>
  </si>
  <si>
    <t>Felix III</t>
  </si>
  <si>
    <t>30-Jun-0440</t>
  </si>
  <si>
    <t>13-Mar-0483</t>
  </si>
  <si>
    <t>1-Mar-0492</t>
  </si>
  <si>
    <t>Gelasius I</t>
  </si>
  <si>
    <t>Gelasius</t>
  </si>
  <si>
    <t>30-Jun-0410</t>
  </si>
  <si>
    <t>21-Nov-0496</t>
  </si>
  <si>
    <t>Anastasius II</t>
  </si>
  <si>
    <t>30-Jun-0445</t>
  </si>
  <si>
    <t>24-Nov-0496</t>
  </si>
  <si>
    <t>19-Nov-0498</t>
  </si>
  <si>
    <t>Symmachus</t>
  </si>
  <si>
    <t>30-Jun-0460</t>
  </si>
  <si>
    <t>22-Nov-0498</t>
  </si>
  <si>
    <t>19-Jul-0514</t>
  </si>
  <si>
    <t>Hormisdas</t>
  </si>
  <si>
    <t>30-Jun-0450</t>
  </si>
  <si>
    <t>20-Jul-0514</t>
  </si>
  <si>
    <t>6-Aug-0523</t>
  </si>
  <si>
    <t>John I</t>
  </si>
  <si>
    <t>John</t>
  </si>
  <si>
    <t>30-Jun-0470</t>
  </si>
  <si>
    <t>13-Aug-0523</t>
  </si>
  <si>
    <t>18-May-0526</t>
  </si>
  <si>
    <t>Felix IV</t>
  </si>
  <si>
    <t>30-Jun-0490</t>
  </si>
  <si>
    <t>12-Jul-0526</t>
  </si>
  <si>
    <t>22-Sep-0530</t>
  </si>
  <si>
    <t>Boniface II</t>
  </si>
  <si>
    <t>17-Oct-0532</t>
  </si>
  <si>
    <t>John II</t>
  </si>
  <si>
    <t>30-Jun-0473</t>
  </si>
  <si>
    <t>2-Jan-0533</t>
  </si>
  <si>
    <t>8-May-0535</t>
  </si>
  <si>
    <t>Agapetus I</t>
  </si>
  <si>
    <t>Agapetus</t>
  </si>
  <si>
    <t>13-May-0535</t>
  </si>
  <si>
    <t>22-Apr-0536</t>
  </si>
  <si>
    <t>Silverius</t>
  </si>
  <si>
    <t>30-Jun-0480</t>
  </si>
  <si>
    <t>8-Jun-0536</t>
  </si>
  <si>
    <t>11-Mar-0537</t>
  </si>
  <si>
    <t>Vigilius</t>
  </si>
  <si>
    <t>30-Jun-0500</t>
  </si>
  <si>
    <t>29-Mar-0537</t>
  </si>
  <si>
    <t>7-Jun-0555</t>
  </si>
  <si>
    <t>Pelagius I</t>
  </si>
  <si>
    <t>Pelagius</t>
  </si>
  <si>
    <t>30-Jun-0505</t>
  </si>
  <si>
    <t>16-Apr-0556</t>
  </si>
  <si>
    <t>4-Mar-0561</t>
  </si>
  <si>
    <t>John III</t>
  </si>
  <si>
    <t>30-Jun-0520</t>
  </si>
  <si>
    <t>17-Jul-0561</t>
  </si>
  <si>
    <t>13-Jul-0574</t>
  </si>
  <si>
    <t>Benedict I</t>
  </si>
  <si>
    <t>Benedict</t>
  </si>
  <si>
    <t>30-Jun-0525</t>
  </si>
  <si>
    <t>2-Jun-0575</t>
  </si>
  <si>
    <t>30-Jul-0579</t>
  </si>
  <si>
    <t>Pelagius II</t>
  </si>
  <si>
    <t>26-Nov-0579</t>
  </si>
  <si>
    <t>7-Feb-0590</t>
  </si>
  <si>
    <t>Gregory I</t>
  </si>
  <si>
    <t>Gregory</t>
  </si>
  <si>
    <t>30-Jun-0540</t>
  </si>
  <si>
    <t>3-Sep-0590</t>
  </si>
  <si>
    <t>12-Mar-0604</t>
  </si>
  <si>
    <t>Sabinian</t>
  </si>
  <si>
    <t>30-Jun-0530</t>
  </si>
  <si>
    <t>13-Sep-0604</t>
  </si>
  <si>
    <t>22-Feb-0606</t>
  </si>
  <si>
    <t>Boniface III</t>
  </si>
  <si>
    <t>19-Feb-0607</t>
  </si>
  <si>
    <t>12-Nov-0607</t>
  </si>
  <si>
    <t>Boniface IV</t>
  </si>
  <si>
    <t>30-Jun-0550</t>
  </si>
  <si>
    <t>15-Sep-0608</t>
  </si>
  <si>
    <t>8-May-0615</t>
  </si>
  <si>
    <t>Adeodatus I</t>
  </si>
  <si>
    <t>Adeodatus</t>
  </si>
  <si>
    <t>30-Jun-0570</t>
  </si>
  <si>
    <t>13-Nov-0615</t>
  </si>
  <si>
    <t>8-Nov-0618</t>
  </si>
  <si>
    <t>Boniface V</t>
  </si>
  <si>
    <t>30-Jun-0575</t>
  </si>
  <si>
    <t>23-Dec-0619</t>
  </si>
  <si>
    <t>25-Oct-0625</t>
  </si>
  <si>
    <t>Honorius I</t>
  </si>
  <si>
    <t>Honorius</t>
  </si>
  <si>
    <t>30-Jun-0585</t>
  </si>
  <si>
    <t>27-Oct-0625</t>
  </si>
  <si>
    <t>12-Oct-0638</t>
  </si>
  <si>
    <t>Severinus</t>
  </si>
  <si>
    <t>28-May-0640</t>
  </si>
  <si>
    <t>2-Aug-0640</t>
  </si>
  <si>
    <t>John IV</t>
  </si>
  <si>
    <t>30-Jun-0587</t>
  </si>
  <si>
    <t>24-Dec-0640</t>
  </si>
  <si>
    <t>12-Oct-0642</t>
  </si>
  <si>
    <t>Theodore I</t>
  </si>
  <si>
    <t>Theodore</t>
  </si>
  <si>
    <t>30-Jun-0610</t>
  </si>
  <si>
    <t>24-Nov-0642</t>
  </si>
  <si>
    <t>14-May-0649</t>
  </si>
  <si>
    <t>Martin I</t>
  </si>
  <si>
    <t>Martin</t>
  </si>
  <si>
    <t>30-Jun-0590</t>
  </si>
  <si>
    <t>5-Jul-0649</t>
  </si>
  <si>
    <t>12-Nov-0655</t>
  </si>
  <si>
    <t>Eugene I</t>
  </si>
  <si>
    <t>Eugene</t>
  </si>
  <si>
    <t>30-Jun-0615</t>
  </si>
  <si>
    <t>10-Aug-0654</t>
  </si>
  <si>
    <t>2-Jun-0657</t>
  </si>
  <si>
    <t>Vitalian</t>
  </si>
  <si>
    <t>30-Jun-0600</t>
  </si>
  <si>
    <t>30-Jul-0657</t>
  </si>
  <si>
    <t>27-Jan-0672</t>
  </si>
  <si>
    <t>Adeodatus II</t>
  </si>
  <si>
    <t>30-Jun-0621</t>
  </si>
  <si>
    <t>11-Apr-0672</t>
  </si>
  <si>
    <t>17-Jun-0676</t>
  </si>
  <si>
    <t>Donus</t>
  </si>
  <si>
    <t>2-Nov-0676</t>
  </si>
  <si>
    <t>11-Apr-0678</t>
  </si>
  <si>
    <t>Agatho</t>
  </si>
  <si>
    <t>30-Jun-0577</t>
  </si>
  <si>
    <t>27-Jun-0678</t>
  </si>
  <si>
    <t>10-Jan-0681</t>
  </si>
  <si>
    <t>Leo II</t>
  </si>
  <si>
    <t>30-Jun-0611</t>
  </si>
  <si>
    <t>17-Aug-0682</t>
  </si>
  <si>
    <t>3-Jul-0683</t>
  </si>
  <si>
    <t>Benedict II</t>
  </si>
  <si>
    <t>30-Jun-0635</t>
  </si>
  <si>
    <t>26-Jun-0684</t>
  </si>
  <si>
    <t>8-May-0685</t>
  </si>
  <si>
    <t>John V</t>
  </si>
  <si>
    <t>23-Jul-0685</t>
  </si>
  <si>
    <t>2-Aug-0686</t>
  </si>
  <si>
    <t>Conon</t>
  </si>
  <si>
    <t>30-Jun-0630</t>
  </si>
  <si>
    <t>21-Oct-0686</t>
  </si>
  <si>
    <t>21-Sep-0687</t>
  </si>
  <si>
    <t>Sergius I</t>
  </si>
  <si>
    <t>Sergius</t>
  </si>
  <si>
    <t>30-Jun-0650</t>
  </si>
  <si>
    <t>15-Dec-0687</t>
  </si>
  <si>
    <t>8-Sep-0701</t>
  </si>
  <si>
    <t>John VI</t>
  </si>
  <si>
    <t>30-Oct-0701</t>
  </si>
  <si>
    <t>11-Jan-0705</t>
  </si>
  <si>
    <t>John VII</t>
  </si>
  <si>
    <t>30-Jun-0655</t>
  </si>
  <si>
    <t>1-Mar-0705</t>
  </si>
  <si>
    <t>18-Oct-0707</t>
  </si>
  <si>
    <t>Sisinnius</t>
  </si>
  <si>
    <t>15-Jan-0708</t>
  </si>
  <si>
    <t>4-Feb-0708</t>
  </si>
  <si>
    <t>Constantine</t>
  </si>
  <si>
    <t>30-Jun-0664</t>
  </si>
  <si>
    <t>25-Mar-0708</t>
  </si>
  <si>
    <t>9-Apr-0715</t>
  </si>
  <si>
    <t>Gregory II</t>
  </si>
  <si>
    <t>30-Jun-0669</t>
  </si>
  <si>
    <t>19-May-0715</t>
  </si>
  <si>
    <t>11-Feb-0731</t>
  </si>
  <si>
    <t>Gregory III</t>
  </si>
  <si>
    <t>18-Mar-0731</t>
  </si>
  <si>
    <t>28-Nov-0741</t>
  </si>
  <si>
    <t>Zachary</t>
  </si>
  <si>
    <t>30-Jun-0679</t>
  </si>
  <si>
    <t>3-Dec-0741</t>
  </si>
  <si>
    <t>22-Mar-0752</t>
  </si>
  <si>
    <t>Stephen II</t>
  </si>
  <si>
    <t>30-Jun-0714</t>
  </si>
  <si>
    <t>26-Mar-0752</t>
  </si>
  <si>
    <t>26-Apr-0757</t>
  </si>
  <si>
    <t>Paul I</t>
  </si>
  <si>
    <t>Paul</t>
  </si>
  <si>
    <t>30-Jun-0700</t>
  </si>
  <si>
    <t>29-May-0757</t>
  </si>
  <si>
    <t>28-Jun-0767</t>
  </si>
  <si>
    <t>Stephen III</t>
  </si>
  <si>
    <t>30-Jun-0723</t>
  </si>
  <si>
    <t>7-Aug-0768</t>
  </si>
  <si>
    <t>24-Jan-0772</t>
  </si>
  <si>
    <t>Adrian I</t>
  </si>
  <si>
    <t>Adrian</t>
  </si>
  <si>
    <t>1-Feb-0772</t>
  </si>
  <si>
    <t>26-Dec-0795</t>
  </si>
  <si>
    <t>Leo III</t>
  </si>
  <si>
    <t>30-Jun-0750</t>
  </si>
  <si>
    <t>12-Jun-0816</t>
  </si>
  <si>
    <t>Stephen IV</t>
  </si>
  <si>
    <t>30-Jun-0770</t>
  </si>
  <si>
    <t>22-Jun-0816</t>
  </si>
  <si>
    <t>24-Jan-0817</t>
  </si>
  <si>
    <t>Paschal I</t>
  </si>
  <si>
    <t>Paschal</t>
  </si>
  <si>
    <t>30-Jun-0775</t>
  </si>
  <si>
    <t>25-Jan-0817</t>
  </si>
  <si>
    <t>11-Feb-0824</t>
  </si>
  <si>
    <t>Eugene II</t>
  </si>
  <si>
    <t>30-Jun-0780</t>
  </si>
  <si>
    <t>8-May-0824</t>
  </si>
  <si>
    <t>27-Aug-0827</t>
  </si>
  <si>
    <t>Valentine</t>
  </si>
  <si>
    <t>31-Aug-0827</t>
  </si>
  <si>
    <t>10-Oct-0827</t>
  </si>
  <si>
    <t>Gregory IV</t>
  </si>
  <si>
    <t>30-Jun-0790</t>
  </si>
  <si>
    <t>20-Dec-0827</t>
  </si>
  <si>
    <t>25-Jan-0844</t>
  </si>
  <si>
    <t>Sergius II</t>
  </si>
  <si>
    <t>27-Jan-0847</t>
  </si>
  <si>
    <t>Leo IV</t>
  </si>
  <si>
    <t>10-Apr-0847</t>
  </si>
  <si>
    <t>17-Jul-0855</t>
  </si>
  <si>
    <t>Benedict III</t>
  </si>
  <si>
    <t>30-Jun-0810</t>
  </si>
  <si>
    <t>29-Sep-0855</t>
  </si>
  <si>
    <t>17-Apr-0858</t>
  </si>
  <si>
    <t>Nicholas I</t>
  </si>
  <si>
    <t>Nicholas</t>
  </si>
  <si>
    <t>30-Jun-0800</t>
  </si>
  <si>
    <t>24-Apr-0858</t>
  </si>
  <si>
    <t>13-Nov-0867</t>
  </si>
  <si>
    <t>Adrian II</t>
  </si>
  <si>
    <t>30-Jun-0792</t>
  </si>
  <si>
    <t>14-Dec-0867</t>
  </si>
  <si>
    <t>14-Dec-0872</t>
  </si>
  <si>
    <t>John VIII</t>
  </si>
  <si>
    <t>30-Jun-0820</t>
  </si>
  <si>
    <t>16-Dec-0882</t>
  </si>
  <si>
    <t>Marinus I</t>
  </si>
  <si>
    <t>Marinus</t>
  </si>
  <si>
    <t>30-Jun-0830</t>
  </si>
  <si>
    <t>15-May-0884</t>
  </si>
  <si>
    <t>Adrian III</t>
  </si>
  <si>
    <t>17-May-0884</t>
  </si>
  <si>
    <t>15-Sep-0885</t>
  </si>
  <si>
    <t>Stephen V</t>
  </si>
  <si>
    <t>30-Jun-0840</t>
  </si>
  <si>
    <t>14-Sep-0885</t>
  </si>
  <si>
    <t>4-Sep-0891</t>
  </si>
  <si>
    <t>Formosus</t>
  </si>
  <si>
    <t>30-Jun-0805</t>
  </si>
  <si>
    <t>6-Oct-0891</t>
  </si>
  <si>
    <t>4-Apr-0896</t>
  </si>
  <si>
    <t>Boniface VI</t>
  </si>
  <si>
    <t>30-Jun-0806</t>
  </si>
  <si>
    <t>11-Apr-0896</t>
  </si>
  <si>
    <t>26-Apr-0896</t>
  </si>
  <si>
    <t>Stephen VI</t>
  </si>
  <si>
    <t>30-Jun-0850</t>
  </si>
  <si>
    <t>22-May-0896</t>
  </si>
  <si>
    <t>14-Aug-0897</t>
  </si>
  <si>
    <t>Romanus</t>
  </si>
  <si>
    <t>1-Nov-0897</t>
  </si>
  <si>
    <t>Theodore II</t>
  </si>
  <si>
    <t>1-Dec-0897</t>
  </si>
  <si>
    <t>20-Dec-0897</t>
  </si>
  <si>
    <t>John IX</t>
  </si>
  <si>
    <t>18-Jan-0898</t>
  </si>
  <si>
    <t>5-Jan-0900</t>
  </si>
  <si>
    <t>Benedict IV</t>
  </si>
  <si>
    <t>1-Feb-0900</t>
  </si>
  <si>
    <t>30-Jul-0903</t>
  </si>
  <si>
    <t>Leo V</t>
  </si>
  <si>
    <t>30-Jun-0845</t>
  </si>
  <si>
    <t>1-Dec-0903</t>
  </si>
  <si>
    <t>Sergius III</t>
  </si>
  <si>
    <t>30-Jun-0860</t>
  </si>
  <si>
    <t>29-Jan-0904</t>
  </si>
  <si>
    <t>14-Apr-0911</t>
  </si>
  <si>
    <t>Anastasius III</t>
  </si>
  <si>
    <t>30-Jun-0865</t>
  </si>
  <si>
    <t>1-Jun-0913</t>
  </si>
  <si>
    <t>Lando</t>
  </si>
  <si>
    <t>7-Jul-0913</t>
  </si>
  <si>
    <t>5-Feb-0914</t>
  </si>
  <si>
    <t>John X</t>
  </si>
  <si>
    <t>1-Mar-0914</t>
  </si>
  <si>
    <t>28-May-0928</t>
  </si>
  <si>
    <t>Leo VI</t>
  </si>
  <si>
    <t>30-Jun-0880</t>
  </si>
  <si>
    <t>1-Dec-0928</t>
  </si>
  <si>
    <t>Stephen VII</t>
  </si>
  <si>
    <t>3-Feb-0929</t>
  </si>
  <si>
    <t>13-Feb-0931</t>
  </si>
  <si>
    <t>John XI</t>
  </si>
  <si>
    <t>30-Jun-0910</t>
  </si>
  <si>
    <t>15-Mar-0931</t>
  </si>
  <si>
    <t>1-Dec-0935</t>
  </si>
  <si>
    <t>Leo VII</t>
  </si>
  <si>
    <t>30-Jun-0885</t>
  </si>
  <si>
    <t>3-Jan-0936</t>
  </si>
  <si>
    <t>13-Jul-0939</t>
  </si>
  <si>
    <t>Stephen VIII</t>
  </si>
  <si>
    <t>30-Jun-0900</t>
  </si>
  <si>
    <t>14-Jul-0939</t>
  </si>
  <si>
    <t>30-Oct-0942</t>
  </si>
  <si>
    <t>Marinus II</t>
  </si>
  <si>
    <t>1-May-0946</t>
  </si>
  <si>
    <t>Agapetus II</t>
  </si>
  <si>
    <t>30-Jun-0905</t>
  </si>
  <si>
    <t>10-May-0946</t>
  </si>
  <si>
    <t>8-Nov-0955</t>
  </si>
  <si>
    <t>John XII</t>
  </si>
  <si>
    <t>30-Jun-0930</t>
  </si>
  <si>
    <t>16-Dec-0955</t>
  </si>
  <si>
    <t>6-Dec-0963</t>
  </si>
  <si>
    <t>30-Jun-0937</t>
  </si>
  <si>
    <t>26-Feb-0964</t>
  </si>
  <si>
    <t>14-May-0964</t>
  </si>
  <si>
    <t>Benedict V</t>
  </si>
  <si>
    <t>30-Jun-0915</t>
  </si>
  <si>
    <t>22-May-0964</t>
  </si>
  <si>
    <t>23-Jun-0964</t>
  </si>
  <si>
    <t>Leo VIII</t>
  </si>
  <si>
    <t>1-Mar-0965</t>
  </si>
  <si>
    <t>John XIII</t>
  </si>
  <si>
    <t>1-Oct-0965</t>
  </si>
  <si>
    <t>6-Sep-0972</t>
  </si>
  <si>
    <t>Benedict VI</t>
  </si>
  <si>
    <t>30-Jun-0925</t>
  </si>
  <si>
    <t>19-Jan-0973</t>
  </si>
  <si>
    <t>8-Jun-0974</t>
  </si>
  <si>
    <t>Benedict VII</t>
  </si>
  <si>
    <t>1-Oct-0974</t>
  </si>
  <si>
    <t>10-Jul-0983</t>
  </si>
  <si>
    <t>John XIV</t>
  </si>
  <si>
    <t>30-Jun-0940</t>
  </si>
  <si>
    <t>1-Dec-0983</t>
  </si>
  <si>
    <t>20-Aug-0984</t>
  </si>
  <si>
    <t>John XV</t>
  </si>
  <si>
    <t>30-Jun-0950</t>
  </si>
  <si>
    <t>20-Aug-0985</t>
  </si>
  <si>
    <t>1-Apr-0996</t>
  </si>
  <si>
    <t>Gregory V</t>
  </si>
  <si>
    <t>30-Jun-0972</t>
  </si>
  <si>
    <t>3-May-0996</t>
  </si>
  <si>
    <t>18-Feb-0999</t>
  </si>
  <si>
    <t>Sylvester II</t>
  </si>
  <si>
    <t>2-Apr-0999</t>
  </si>
  <si>
    <t>12-May-1003</t>
  </si>
  <si>
    <t>John XVII</t>
  </si>
  <si>
    <t>30-Jun-0955</t>
  </si>
  <si>
    <t>16-May-1003</t>
  </si>
  <si>
    <t>6-Nov-1003</t>
  </si>
  <si>
    <t>John XVIII</t>
  </si>
  <si>
    <t>30-Jun-0965</t>
  </si>
  <si>
    <t>25-Dec-1003</t>
  </si>
  <si>
    <t>18-Jul-1009</t>
  </si>
  <si>
    <t>Sergius IV</t>
  </si>
  <si>
    <t>30-Jun-0970</t>
  </si>
  <si>
    <t>31-Jul-1009</t>
  </si>
  <si>
    <t>12-May-1012</t>
  </si>
  <si>
    <t>Benedict VIII</t>
  </si>
  <si>
    <t>30-Jun-0980</t>
  </si>
  <si>
    <t>18-May-1012</t>
  </si>
  <si>
    <t>9-Apr-1024</t>
  </si>
  <si>
    <t>John XIX</t>
  </si>
  <si>
    <t>30-Jun-0975</t>
  </si>
  <si>
    <t>14-May-1024</t>
  </si>
  <si>
    <t>6-Oct-1032</t>
  </si>
  <si>
    <t>Benedict IX</t>
  </si>
  <si>
    <t>21-Oct-1032</t>
  </si>
  <si>
    <t>31-Dec-1044</t>
  </si>
  <si>
    <t>Sylvester III</t>
  </si>
  <si>
    <t>30-Jun-1000</t>
  </si>
  <si>
    <t>13-Jan-1045</t>
  </si>
  <si>
    <t>10-Mar-1045</t>
  </si>
  <si>
    <t>1-May-1045</t>
  </si>
  <si>
    <t>Gregory VI</t>
  </si>
  <si>
    <t>5-May-1045</t>
  </si>
  <si>
    <t>20-Dec-1046</t>
  </si>
  <si>
    <t>Clement II</t>
  </si>
  <si>
    <t>30-Jun-0967</t>
  </si>
  <si>
    <t>24-Dec-1046</t>
  </si>
  <si>
    <t>9-Oct-1047</t>
  </si>
  <si>
    <t>30-Jun-1012</t>
  </si>
  <si>
    <t>8-Nov-1047</t>
  </si>
  <si>
    <t>17-Jul-1048</t>
  </si>
  <si>
    <t>Damasus II</t>
  </si>
  <si>
    <t>9-Aug-1048</t>
  </si>
  <si>
    <t>Leo IX</t>
  </si>
  <si>
    <t>21-Jul-1002</t>
  </si>
  <si>
    <t>12-Feb-1049</t>
  </si>
  <si>
    <t>19-Apr-1054</t>
  </si>
  <si>
    <t>Victor II</t>
  </si>
  <si>
    <t>30-Jun-1018</t>
  </si>
  <si>
    <t>13-Apr-1055</t>
  </si>
  <si>
    <t>28-Jul-1057</t>
  </si>
  <si>
    <t>Stephen IX</t>
  </si>
  <si>
    <t>30-Jun-1020</t>
  </si>
  <si>
    <t>2-Aug-1057</t>
  </si>
  <si>
    <t>29-Mar-1058</t>
  </si>
  <si>
    <t>Nicholas II</t>
  </si>
  <si>
    <t>6-Dec-1058</t>
  </si>
  <si>
    <t>27-Jul-1061</t>
  </si>
  <si>
    <t>Alexander II</t>
  </si>
  <si>
    <t>30-Sep-1061</t>
  </si>
  <si>
    <t>21-Apr-1073</t>
  </si>
  <si>
    <t>Gregory VII</t>
  </si>
  <si>
    <t>30-Jun-1015</t>
  </si>
  <si>
    <t>22-Apr-1073</t>
  </si>
  <si>
    <t>25-May-1085</t>
  </si>
  <si>
    <t>Victor III</t>
  </si>
  <si>
    <t>Blessed</t>
  </si>
  <si>
    <t>30-Jun-1026</t>
  </si>
  <si>
    <t>24-May-1086</t>
  </si>
  <si>
    <t>16-Sep-1087</t>
  </si>
  <si>
    <t>Urban II</t>
  </si>
  <si>
    <t>30-Jun-1042</t>
  </si>
  <si>
    <t>12-Mar-1088</t>
  </si>
  <si>
    <t>29-Jul-1099</t>
  </si>
  <si>
    <t>Paschal II</t>
  </si>
  <si>
    <t>30-Jun-1050</t>
  </si>
  <si>
    <t>13-Aug-1099</t>
  </si>
  <si>
    <t>21-Jan-1118</t>
  </si>
  <si>
    <t>Gelasius II</t>
  </si>
  <si>
    <t>30-Jun-1061</t>
  </si>
  <si>
    <t>24-Jan-1118</t>
  </si>
  <si>
    <t>29-Jan-1119</t>
  </si>
  <si>
    <t>Callixtus II</t>
  </si>
  <si>
    <t>30-Jun-1060</t>
  </si>
  <si>
    <t>2-Feb-1119</t>
  </si>
  <si>
    <t>13-Dec-1124</t>
  </si>
  <si>
    <t>Honorius II</t>
  </si>
  <si>
    <t>9-Feb-1060</t>
  </si>
  <si>
    <t>21-Dec-1124</t>
  </si>
  <si>
    <t>13-Feb-1130</t>
  </si>
  <si>
    <t>Innocent II</t>
  </si>
  <si>
    <t>30-Jun-1082</t>
  </si>
  <si>
    <t>14-Feb-1130</t>
  </si>
  <si>
    <t>24-Sep-1143</t>
  </si>
  <si>
    <t>Celestine II</t>
  </si>
  <si>
    <t>30-Jun-1085</t>
  </si>
  <si>
    <t>26-Sep-1143</t>
  </si>
  <si>
    <t>8-Mar-1144</t>
  </si>
  <si>
    <t>Lucius II</t>
  </si>
  <si>
    <t>30-Jun-1079</t>
  </si>
  <si>
    <t>12-Mar-1144</t>
  </si>
  <si>
    <t>15-Feb-1145</t>
  </si>
  <si>
    <t>Eugene III</t>
  </si>
  <si>
    <t>30-Jun-1080</t>
  </si>
  <si>
    <t>8-Jul-1153</t>
  </si>
  <si>
    <t>Anastasius IV</t>
  </si>
  <si>
    <t>30-Jun-1073</t>
  </si>
  <si>
    <t>12-Jul-1153</t>
  </si>
  <si>
    <t>3-Dec-1154</t>
  </si>
  <si>
    <t>Adrian IV</t>
  </si>
  <si>
    <t>30-Jun-1100</t>
  </si>
  <si>
    <t>4-Dec-1154</t>
  </si>
  <si>
    <t>1-Sep-1159</t>
  </si>
  <si>
    <t>Alexander III</t>
  </si>
  <si>
    <t>7-Sep-1159</t>
  </si>
  <si>
    <t>30-Aug-1181</t>
  </si>
  <si>
    <t>Lucius III</t>
  </si>
  <si>
    <t>30-Jun-1097</t>
  </si>
  <si>
    <t>1-Sep-1181</t>
  </si>
  <si>
    <t>25-Nov-1185</t>
  </si>
  <si>
    <t>Urban III</t>
  </si>
  <si>
    <t>30-Jun-1120</t>
  </si>
  <si>
    <t>20-Oct-1187</t>
  </si>
  <si>
    <t>Gregory VIII</t>
  </si>
  <si>
    <t>21-Oct-1187</t>
  </si>
  <si>
    <t>17-Dec-1187</t>
  </si>
  <si>
    <t>Clement III</t>
  </si>
  <si>
    <t>30-Jun-1130</t>
  </si>
  <si>
    <t>19-Dec-1187</t>
  </si>
  <si>
    <t>20-Mar-1191</t>
  </si>
  <si>
    <t>Celestine III</t>
  </si>
  <si>
    <t>30-Jun-1106</t>
  </si>
  <si>
    <t>30-Mar-1191</t>
  </si>
  <si>
    <t>8-Jan-1198</t>
  </si>
  <si>
    <t>Innocent III</t>
  </si>
  <si>
    <t>30-Jun-1161</t>
  </si>
  <si>
    <t>16-Jul-1216</t>
  </si>
  <si>
    <t>Honorius III</t>
  </si>
  <si>
    <t>30-Jun-1148</t>
  </si>
  <si>
    <t>18-Jul-1216</t>
  </si>
  <si>
    <t>18-Mar-1227</t>
  </si>
  <si>
    <t>Gregory IX</t>
  </si>
  <si>
    <t>30-Jun-1145</t>
  </si>
  <si>
    <t>19-Mar-1227</t>
  </si>
  <si>
    <t>22-Aug-1241</t>
  </si>
  <si>
    <t>Celestine IV</t>
  </si>
  <si>
    <t>30-Jun-1180</t>
  </si>
  <si>
    <t>25-Oct-1241</t>
  </si>
  <si>
    <t>10-Nov-1241</t>
  </si>
  <si>
    <t>Innocent IV</t>
  </si>
  <si>
    <t>30-Jun-1195</t>
  </si>
  <si>
    <t>25-Jun-1243</t>
  </si>
  <si>
    <t>7-Dec-1254</t>
  </si>
  <si>
    <t>Alexander IV</t>
  </si>
  <si>
    <t>30-Jun-1199</t>
  </si>
  <si>
    <t>12-Dec-1254</t>
  </si>
  <si>
    <t>25-May-1261</t>
  </si>
  <si>
    <t>Urban IV</t>
  </si>
  <si>
    <t>29-Aug-1261</t>
  </si>
  <si>
    <t>2-Oct-1264</t>
  </si>
  <si>
    <t>Clement IV</t>
  </si>
  <si>
    <t>23-Nov-1190</t>
  </si>
  <si>
    <t>5-Feb-1265</t>
  </si>
  <si>
    <t>29-Nov-1268</t>
  </si>
  <si>
    <t>Gregory X</t>
  </si>
  <si>
    <t>30-Jun-1210</t>
  </si>
  <si>
    <t>1-Sep-1271</t>
  </si>
  <si>
    <t>10-Jan-1276</t>
  </si>
  <si>
    <t>Innocent V</t>
  </si>
  <si>
    <t>30-Jun-1224</t>
  </si>
  <si>
    <t>21-Jan-1276</t>
  </si>
  <si>
    <t>22-Jun-1276</t>
  </si>
  <si>
    <t>Adrian V</t>
  </si>
  <si>
    <t>30-Jun-1216</t>
  </si>
  <si>
    <t>11-Jul-1276</t>
  </si>
  <si>
    <t>18-Aug-1276</t>
  </si>
  <si>
    <t>John XXI</t>
  </si>
  <si>
    <t>30-Jun-1215</t>
  </si>
  <si>
    <t>8-Sep-1276</t>
  </si>
  <si>
    <t>20-May-1277</t>
  </si>
  <si>
    <t>Nicholas III</t>
  </si>
  <si>
    <t>25-Nov-1277</t>
  </si>
  <si>
    <t>22-Aug-1280</t>
  </si>
  <si>
    <t>Martin IV</t>
  </si>
  <si>
    <t>22-Feb-1281</t>
  </si>
  <si>
    <t>28-Mar-1285</t>
  </si>
  <si>
    <t>Honorius IV</t>
  </si>
  <si>
    <t>2-Apr-1285</t>
  </si>
  <si>
    <t>3-Apr-1287</t>
  </si>
  <si>
    <t>Nicholas IV</t>
  </si>
  <si>
    <t>30-Sep-1227</t>
  </si>
  <si>
    <t>22-Feb-1288</t>
  </si>
  <si>
    <t>4-Apr-1292</t>
  </si>
  <si>
    <t>Celestine V</t>
  </si>
  <si>
    <t>5-Jul-1294</t>
  </si>
  <si>
    <t>13-Dec-1294</t>
  </si>
  <si>
    <t>Boniface VIII</t>
  </si>
  <si>
    <t>30-Jun-1230</t>
  </si>
  <si>
    <t>24-Dec-1294</t>
  </si>
  <si>
    <t>11-Oct-1303</t>
  </si>
  <si>
    <t>Benedict XI</t>
  </si>
  <si>
    <t>30-Jun-1240</t>
  </si>
  <si>
    <t>22-Oct-1303</t>
  </si>
  <si>
    <t>7-Jul-1304</t>
  </si>
  <si>
    <t>Clement V</t>
  </si>
  <si>
    <t>30-Jun-1264</t>
  </si>
  <si>
    <t>5-Jun-1305</t>
  </si>
  <si>
    <t>20-Apr-1314</t>
  </si>
  <si>
    <t>John XXII</t>
  </si>
  <si>
    <t>30-Jun-1244</t>
  </si>
  <si>
    <t>7-Aug-1316</t>
  </si>
  <si>
    <t>4-Dec-1334</t>
  </si>
  <si>
    <t>Benedict XII</t>
  </si>
  <si>
    <t>30-Jun-1280</t>
  </si>
  <si>
    <t>20-Dec-1334</t>
  </si>
  <si>
    <t>25-Apr-1342</t>
  </si>
  <si>
    <t>Clement VI</t>
  </si>
  <si>
    <t>30-Jun-1291</t>
  </si>
  <si>
    <t>7-May-1342</t>
  </si>
  <si>
    <t>6-Dec-1352</t>
  </si>
  <si>
    <t>Innocent VI</t>
  </si>
  <si>
    <t>30-Jun-1282</t>
  </si>
  <si>
    <t>18-Dec-1352</t>
  </si>
  <si>
    <t>12-Sep-1362</t>
  </si>
  <si>
    <t>Urban V</t>
  </si>
  <si>
    <t>30-Jun-1309</t>
  </si>
  <si>
    <t>28-Sep-1362</t>
  </si>
  <si>
    <t>19-Dec-1370</t>
  </si>
  <si>
    <t>Gregory XI</t>
  </si>
  <si>
    <t>30-Jun-1329</t>
  </si>
  <si>
    <t>30-Dec-1370</t>
  </si>
  <si>
    <t>27-Mar-1378</t>
  </si>
  <si>
    <t>Urban VI</t>
  </si>
  <si>
    <t>30-Jun-1318</t>
  </si>
  <si>
    <t>8-Apr-1378</t>
  </si>
  <si>
    <t>15-Oct-1389</t>
  </si>
  <si>
    <t>Boniface IX</t>
  </si>
  <si>
    <t>30-Jun-1348</t>
  </si>
  <si>
    <t>2-Nov-1389</t>
  </si>
  <si>
    <t>1-Oct-1404</t>
  </si>
  <si>
    <t>Innocent VII</t>
  </si>
  <si>
    <t>30-Jun-1336</t>
  </si>
  <si>
    <t>17-Oct-1404</t>
  </si>
  <si>
    <t>6-Nov-1406</t>
  </si>
  <si>
    <t>Gregory XII</t>
  </si>
  <si>
    <t>30-Jun-1327</t>
  </si>
  <si>
    <t>30-Nov-1406</t>
  </si>
  <si>
    <t>4-Jul-1415</t>
  </si>
  <si>
    <t>Martin V</t>
  </si>
  <si>
    <t>30-Jun-1369</t>
  </si>
  <si>
    <t>11-Nov-1417</t>
  </si>
  <si>
    <t>20-Feb-1431</t>
  </si>
  <si>
    <t>Eugene IV</t>
  </si>
  <si>
    <t>30-Jun-1383</t>
  </si>
  <si>
    <t>3-Mar-1431</t>
  </si>
  <si>
    <t>23-Feb-1447</t>
  </si>
  <si>
    <t>Nicholas V</t>
  </si>
  <si>
    <t>13-Nov-1397</t>
  </si>
  <si>
    <t>6-Mar-1447</t>
  </si>
  <si>
    <t>24-Mar-1455</t>
  </si>
  <si>
    <t>Callixtus III</t>
  </si>
  <si>
    <t>31-Dec-1378</t>
  </si>
  <si>
    <t>8-Apr-1455</t>
  </si>
  <si>
    <t>6-Aug-1458</t>
  </si>
  <si>
    <t>Pius II</t>
  </si>
  <si>
    <t>18-Oct-1405</t>
  </si>
  <si>
    <t>19-Aug-1458</t>
  </si>
  <si>
    <t>15-Aug-1464</t>
  </si>
  <si>
    <t>Paul II</t>
  </si>
  <si>
    <t>23-Feb-1417</t>
  </si>
  <si>
    <t>30-Aug-1464</t>
  </si>
  <si>
    <t>26-Jul-1471</t>
  </si>
  <si>
    <t>Sixtus IV</t>
  </si>
  <si>
    <t>21-Jul-1414</t>
  </si>
  <si>
    <t>9-Aug-1471</t>
  </si>
  <si>
    <t>12-Aug-1484</t>
  </si>
  <si>
    <t>Innocent VIII</t>
  </si>
  <si>
    <t>30-Jun-1432</t>
  </si>
  <si>
    <t>29-Aug-1484</t>
  </si>
  <si>
    <t>25-Jul-1492</t>
  </si>
  <si>
    <t>Alexander VI</t>
  </si>
  <si>
    <t>1-Jan-1431</t>
  </si>
  <si>
    <t>11-Aug-1492</t>
  </si>
  <si>
    <t>18-Aug-1503</t>
  </si>
  <si>
    <t>Pius III</t>
  </si>
  <si>
    <t>29-May-1439</t>
  </si>
  <si>
    <t>22-Sep-1503</t>
  </si>
  <si>
    <t>18-Oct-1503</t>
  </si>
  <si>
    <t>Julius II</t>
  </si>
  <si>
    <t>5-Dec-1443</t>
  </si>
  <si>
    <t>31-Oct-1503</t>
  </si>
  <si>
    <t>21-Feb-1513</t>
  </si>
  <si>
    <t>Leo X</t>
  </si>
  <si>
    <t>11-Dec-1475</t>
  </si>
  <si>
    <t>9-Mar-1513</t>
  </si>
  <si>
    <t>1-Dec-1521</t>
  </si>
  <si>
    <t>Adrian VI</t>
  </si>
  <si>
    <t>2-Mar-1459</t>
  </si>
  <si>
    <t>9-Jan-1522</t>
  </si>
  <si>
    <t>14-Sep-1523</t>
  </si>
  <si>
    <t>Clement VII</t>
  </si>
  <si>
    <t>26-May-1478</t>
  </si>
  <si>
    <t>26-Nov-1523</t>
  </si>
  <si>
    <t>25-Sep-1534</t>
  </si>
  <si>
    <t>Paul III</t>
  </si>
  <si>
    <t>29-Feb-1468</t>
  </si>
  <si>
    <t>13-Oct-1534</t>
  </si>
  <si>
    <t>10-Nov-1549</t>
  </si>
  <si>
    <t>Julius III</t>
  </si>
  <si>
    <t>10-Sep-1487</t>
  </si>
  <si>
    <t>7-Feb-1550</t>
  </si>
  <si>
    <t>29-Mar-1555</t>
  </si>
  <si>
    <t>Marcellus II</t>
  </si>
  <si>
    <t>6-May-1501</t>
  </si>
  <si>
    <t>9-Apr-1555</t>
  </si>
  <si>
    <t>1-May-1555</t>
  </si>
  <si>
    <t>Paul IV</t>
  </si>
  <si>
    <t>28-Jun-1476</t>
  </si>
  <si>
    <t>23-May-1555</t>
  </si>
  <si>
    <t>18-Aug-1559</t>
  </si>
  <si>
    <t>Pius IV</t>
  </si>
  <si>
    <t>31-Mar-1499</t>
  </si>
  <si>
    <t>26-Dec-1559</t>
  </si>
  <si>
    <t>9-Dec-1565</t>
  </si>
  <si>
    <t>Pius V</t>
  </si>
  <si>
    <t>17-Jan-1504</t>
  </si>
  <si>
    <t>7-Jan-1566</t>
  </si>
  <si>
    <t>1-May-1572</t>
  </si>
  <si>
    <t>Gregory XIII</t>
  </si>
  <si>
    <t>7-Jan-1502</t>
  </si>
  <si>
    <t>13-May-1572</t>
  </si>
  <si>
    <t>10-Apr-1585</t>
  </si>
  <si>
    <t>Sixtus V</t>
  </si>
  <si>
    <t>13-Dec-1521</t>
  </si>
  <si>
    <t>24-Apr-1585</t>
  </si>
  <si>
    <t>27-Aug-1590</t>
  </si>
  <si>
    <t>Urban VII</t>
  </si>
  <si>
    <t>4-Aug-1521</t>
  </si>
  <si>
    <t>15-Sep-1590</t>
  </si>
  <si>
    <t>27-Sep-1590</t>
  </si>
  <si>
    <t>Gregory XIV</t>
  </si>
  <si>
    <t>11-Feb-1535</t>
  </si>
  <si>
    <t>5-Dec-1590</t>
  </si>
  <si>
    <t>16-Oct-1591</t>
  </si>
  <si>
    <t>Innocent IX</t>
  </si>
  <si>
    <t>20-Jul-1519</t>
  </si>
  <si>
    <t>29-Oct-1591</t>
  </si>
  <si>
    <t>30-Dec-1591</t>
  </si>
  <si>
    <t>Clement VIII</t>
  </si>
  <si>
    <t>24-Feb-1536</t>
  </si>
  <si>
    <t>30-Jan-1592</t>
  </si>
  <si>
    <t>3-Mar-1605</t>
  </si>
  <si>
    <t>Leo XI</t>
  </si>
  <si>
    <t>2-Jun-1535</t>
  </si>
  <si>
    <t>1-Apr-1605</t>
  </si>
  <si>
    <t>27-Apr-1605</t>
  </si>
  <si>
    <t>Paul V</t>
  </si>
  <si>
    <t>17-Sep-1550</t>
  </si>
  <si>
    <t>16-May-1605</t>
  </si>
  <si>
    <t>28-Jan-1621</t>
  </si>
  <si>
    <t>Gregory XV</t>
  </si>
  <si>
    <t>9-Jan-1554</t>
  </si>
  <si>
    <t>9-Feb-1621</t>
  </si>
  <si>
    <t>8-Jul-1623</t>
  </si>
  <si>
    <t>Urban VIII</t>
  </si>
  <si>
    <t>5-Apr-1568</t>
  </si>
  <si>
    <t>6-Aug-1623</t>
  </si>
  <si>
    <t>29-Jul-1644</t>
  </si>
  <si>
    <t>Innocent X</t>
  </si>
  <si>
    <t>6-May-1574</t>
  </si>
  <si>
    <t>15-Sep-1644</t>
  </si>
  <si>
    <t>7-Jan-1655</t>
  </si>
  <si>
    <t>Alexander VII</t>
  </si>
  <si>
    <t>13-Feb-1599</t>
  </si>
  <si>
    <t>7-Apr-1655</t>
  </si>
  <si>
    <t>22-May-1667</t>
  </si>
  <si>
    <t>Clement IX</t>
  </si>
  <si>
    <t>28-Jan-1600</t>
  </si>
  <si>
    <t>20-Jun-1667</t>
  </si>
  <si>
    <t>9-Dec-1669</t>
  </si>
  <si>
    <t>13-Jul-1590</t>
  </si>
  <si>
    <t>29-Apr-1670</t>
  </si>
  <si>
    <t>22-Jul-1676</t>
  </si>
  <si>
    <t>Innocent XI</t>
  </si>
  <si>
    <t>16-May-1611</t>
  </si>
  <si>
    <t>21-Sep-1676</t>
  </si>
  <si>
    <t>12-Aug-1689</t>
  </si>
  <si>
    <t>Alexander VIII</t>
  </si>
  <si>
    <t>22-Apr-1610</t>
  </si>
  <si>
    <t>6-Oct-1689</t>
  </si>
  <si>
    <t>1-Feb-1691</t>
  </si>
  <si>
    <t>Innocent XII</t>
  </si>
  <si>
    <t>13-Mar-1615</t>
  </si>
  <si>
    <t>12-Jul-1691</t>
  </si>
  <si>
    <t>27-Sep-1700</t>
  </si>
  <si>
    <t>23-Jul-1649</t>
  </si>
  <si>
    <t>23-Nov-1700</t>
  </si>
  <si>
    <t>19-Mar-1721</t>
  </si>
  <si>
    <t>Innocent XIII</t>
  </si>
  <si>
    <t>13-May-1655</t>
  </si>
  <si>
    <t>8-May-1721</t>
  </si>
  <si>
    <t>7-Mar-1724</t>
  </si>
  <si>
    <t>Servant of God</t>
  </si>
  <si>
    <t>21-Feb-1730</t>
  </si>
  <si>
    <t>Porto–Santa Rufina</t>
  </si>
  <si>
    <t>Rome</t>
  </si>
  <si>
    <t>Italy</t>
  </si>
  <si>
    <t>Vice-Dean</t>
  </si>
  <si>
    <t>6-Feb-1740</t>
  </si>
  <si>
    <t>Frascati</t>
  </si>
  <si>
    <t>3-May-1758</t>
  </si>
  <si>
    <t>Santa Croce in Gerusalemme</t>
  </si>
  <si>
    <t>2-Feb-1769</t>
  </si>
  <si>
    <t>San Marco</t>
  </si>
  <si>
    <t>22-Sep-1774</t>
  </si>
  <si>
    <t>Santi Apostoli</t>
  </si>
  <si>
    <t>29-Aug-1799</t>
  </si>
  <si>
    <t>Sant'Onofrio</t>
  </si>
  <si>
    <t>anti</t>
  </si>
  <si>
    <t>20-Aug-1823</t>
  </si>
  <si>
    <t>San Callisto</t>
  </si>
  <si>
    <t>moderate</t>
  </si>
  <si>
    <t>10-Feb-1829</t>
  </si>
  <si>
    <t>Santa Maria in Trastevere</t>
  </si>
  <si>
    <t>30-Nov-1830</t>
  </si>
  <si>
    <t>Santa Maria in Traspontina</t>
  </si>
  <si>
    <t>1-Jun-1846</t>
  </si>
  <si>
    <t>7-Feb-1878</t>
  </si>
  <si>
    <t>Santi Marcellino e Pietro al Laterano</t>
  </si>
  <si>
    <t>San Crisogono</t>
  </si>
  <si>
    <t>pro</t>
  </si>
  <si>
    <t>San Bernardo alle Terme</t>
  </si>
  <si>
    <t>Santi Quattro Coronati</t>
  </si>
  <si>
    <t>San Martino ai Monti</t>
  </si>
  <si>
    <t>Venerable</t>
  </si>
  <si>
    <t>Santi Giovanni e Paolo al Celio</t>
  </si>
  <si>
    <t>sec of state</t>
  </si>
  <si>
    <t>Santa Prisca</t>
  </si>
  <si>
    <t xml:space="preserve">Santi Silvestro e Martino ai Monti </t>
  </si>
  <si>
    <t>Yes</t>
  </si>
  <si>
    <t>John Paul</t>
  </si>
  <si>
    <t>less inclusive</t>
  </si>
  <si>
    <t>San Cesareo in Palatio</t>
  </si>
  <si>
    <t>very less inclusive</t>
  </si>
  <si>
    <t>Ostia</t>
  </si>
  <si>
    <t>dean</t>
  </si>
  <si>
    <t>San Roberto Bellarmino</t>
  </si>
  <si>
    <t>more inclusive</t>
  </si>
  <si>
    <t>Date</t>
  </si>
  <si>
    <t>Pope</t>
  </si>
  <si>
    <t>27 June 1977
Paul VI</t>
  </si>
  <si>
    <t>28 June 1991
John Paul II</t>
  </si>
  <si>
    <t>2 February 1983
John Paul II</t>
  </si>
  <si>
    <t>21 February 2001
John Paul II</t>
  </si>
  <si>
    <t>24 May 1976
Paul VI</t>
  </si>
  <si>
    <t>30 June 1979
John Paul II</t>
  </si>
  <si>
    <t>25 May 1985
John Paul II</t>
  </si>
  <si>
    <t>28 June 1988
John Paul II</t>
  </si>
  <si>
    <t>26 November 1994
John Paul II</t>
  </si>
  <si>
    <t>21 February 1998
John Paul II</t>
  </si>
  <si>
    <t>21 October 2003
John Paul II</t>
  </si>
  <si>
    <t>date of conclave (observation)</t>
  </si>
  <si>
    <t>if elected, pope's chosen name</t>
  </si>
  <si>
    <t>cardinal's seniority rank at the conclave_date</t>
  </si>
  <si>
    <t>given name</t>
  </si>
  <si>
    <t>count of names in the name</t>
  </si>
  <si>
    <t>the country a cardinal is serving at the conclave_date (not necessarily where they were born)</t>
  </si>
  <si>
    <t>birth date</t>
  </si>
  <si>
    <t>cardinal's age at conclave_date</t>
  </si>
  <si>
    <t>as years</t>
  </si>
  <si>
    <t>CB, CP or CD</t>
  </si>
  <si>
    <t>date created as a cardinal</t>
  </si>
  <si>
    <t>which pope created them</t>
  </si>
  <si>
    <t>current post</t>
  </si>
  <si>
    <t>any votes received in a previous conclave</t>
  </si>
  <si>
    <t>sources_floating</t>
  </si>
  <si>
    <t>if a news source suggets them</t>
  </si>
  <si>
    <t>yes/no</t>
  </si>
  <si>
    <t>first language</t>
  </si>
  <si>
    <t>conclave date</t>
  </si>
  <si>
    <t># names</t>
  </si>
  <si>
    <t>country serving</t>
  </si>
  <si>
    <t>created</t>
  </si>
  <si>
    <t>votes received prev first ballot</t>
  </si>
  <si>
    <t>news suggested them</t>
  </si>
  <si>
    <t>elected?</t>
  </si>
  <si>
    <t>First Language</t>
  </si>
  <si>
    <t>votes received in first ballot</t>
  </si>
  <si>
    <r>
      <rPr>
        <color rgb="FF1155CC"/>
        <u/>
      </rPr>
      <t>Giovanni Battista Re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</si>
  <si>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</si>
  <si>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</si>
  <si>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t xml:space="preserve">Prefect emeritus of the </t>
    </r>
    <r>
      <rPr>
        <color rgb="FF1155CC"/>
        <u/>
      </rPr>
      <t>Congregation for Bishops</t>
    </r>
  </si>
  <si>
    <r>
      <rPr>
        <color rgb="FF1155CC"/>
        <u/>
      </rPr>
      <t>Tarcisio Bertone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</si>
  <si>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</si>
  <si>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</si>
  <si>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rPr>
        <color rgb="FF1155CC"/>
        <u/>
      </rPr>
      <t>Secretary of State</t>
    </r>
    <r>
      <rPr/>
      <t xml:space="preserve"> and </t>
    </r>
    <r>
      <rPr>
        <color rgb="FF1155CC"/>
        <u/>
      </rPr>
      <t>Camerlengo of the Holy Roman Church</t>
    </r>
  </si>
  <si>
    <r>
      <rPr>
        <color rgb="FF1155CC"/>
        <u/>
      </rPr>
      <t>Antonios Naguib</t>
    </r>
  </si>
  <si>
    <r>
      <rPr>
        <color rgb="FF1155CC"/>
        <u/>
      </rPr>
      <t>Egypt</t>
    </r>
  </si>
  <si>
    <r>
      <rPr>
        <color rgb="FF1155CC"/>
        <u/>
      </rPr>
      <t>CB</t>
    </r>
  </si>
  <si>
    <r>
      <rPr>
        <color rgb="FF1155CC"/>
        <u/>
      </rPr>
      <t>Patriarch emeritus of Alexandria</t>
    </r>
    <r>
      <rPr/>
      <t xml:space="preserve">
(</t>
    </r>
    <r>
      <rPr>
        <color rgb="FF1155CC"/>
        <u/>
      </rPr>
      <t>Coptic Church</t>
    </r>
    <r>
      <rPr/>
      <t>)</t>
    </r>
  </si>
  <si>
    <r>
      <rPr>
        <color rgb="FF1155CC"/>
        <u/>
      </rPr>
      <t>Béchara Boutros Raï</t>
    </r>
    <r>
      <rPr/>
      <t xml:space="preserve"> </t>
    </r>
  </si>
  <si>
    <r>
      <rPr>
        <color rgb="FF1155CC"/>
        <u/>
      </rPr>
      <t>Lebanon</t>
    </r>
  </si>
  <si>
    <r>
      <rPr>
        <color rgb="FF1155CC"/>
        <u/>
      </rPr>
      <t>CB</t>
    </r>
  </si>
  <si>
    <r>
      <rPr>
        <color rgb="FF1155CC"/>
        <u/>
      </rPr>
      <t>Patriarch of Antioch</t>
    </r>
    <r>
      <rPr/>
      <t xml:space="preserve">
(</t>
    </r>
    <r>
      <rPr>
        <color rgb="FF1155CC"/>
        <u/>
      </rPr>
      <t>Maronite Church</t>
    </r>
    <r>
      <rPr/>
      <t>)</t>
    </r>
  </si>
  <si>
    <r>
      <rPr>
        <color rgb="FF1155CC"/>
        <u/>
      </rPr>
      <t>Godfried Danneels</t>
    </r>
  </si>
  <si>
    <r>
      <rPr>
        <color rgb="FF1155CC"/>
        <u/>
      </rPr>
      <t>Belgium</t>
    </r>
  </si>
  <si>
    <r>
      <rPr>
        <color rgb="FF1155CC"/>
        <u/>
      </rPr>
      <t>CP</t>
    </r>
  </si>
  <si>
    <r>
      <rPr>
        <color rgb="FF1155CC"/>
        <u/>
      </rPr>
      <t>Archbishop emeritus of Mechelen–Brussels</t>
    </r>
  </si>
  <si>
    <r>
      <rPr>
        <color rgb="FF1155CC"/>
        <u/>
      </rPr>
      <t>Joachim Meisner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</si>
  <si>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</si>
  <si>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</si>
  <si>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rPr>
        <color rgb="FF1155CC"/>
        <u/>
      </rPr>
      <t>Archbishop of Cologne</t>
    </r>
  </si>
  <si>
    <r>
      <rPr>
        <color rgb="FF1155CC"/>
        <u/>
      </rPr>
      <t>Nicolás de Jesús López Rodríguez</t>
    </r>
  </si>
  <si>
    <r>
      <rPr>
        <color rgb="FF1155CC"/>
        <u/>
      </rPr>
      <t>Dominican Republic</t>
    </r>
  </si>
  <si>
    <r>
      <rPr>
        <color rgb="FF1155CC"/>
        <u/>
      </rPr>
      <t>CP</t>
    </r>
  </si>
  <si>
    <r>
      <rPr>
        <color rgb="FF1155CC"/>
        <u/>
      </rPr>
      <t>Archbishop of Santo Domingo</t>
    </r>
  </si>
  <si>
    <r>
      <rPr>
        <color rgb="FF1155CC"/>
        <u/>
      </rPr>
      <t>Roger Michael Mahony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</si>
  <si>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</si>
  <si>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</si>
  <si>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emeritus of Los Angeles</t>
    </r>
  </si>
  <si>
    <r>
      <rPr>
        <color rgb="FF1155CC"/>
        <u/>
      </rPr>
      <t>Jaime Lucas Ortega y Alamino</t>
    </r>
  </si>
  <si>
    <r>
      <rPr>
        <color rgb="FF1155CC"/>
        <u/>
      </rPr>
      <t>Cuba</t>
    </r>
  </si>
  <si>
    <r>
      <rPr>
        <color rgb="FF1155CC"/>
        <u/>
      </rPr>
      <t>CP</t>
    </r>
  </si>
  <si>
    <r>
      <rPr>
        <color rgb="FF1155CC"/>
        <u/>
      </rPr>
      <t>Archbishop of San Cristóbal de la Habana</t>
    </r>
  </si>
  <si>
    <r>
      <rPr>
        <color rgb="FF1155CC"/>
        <u/>
      </rPr>
      <t>Jean-Claude Turcotte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</si>
  <si>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</si>
  <si>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</si>
  <si>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rPr>
        <color rgb="FF1155CC"/>
        <u/>
      </rPr>
      <t>Archbishop emeritus of Montreal</t>
    </r>
  </si>
  <si>
    <r>
      <rPr>
        <color rgb="FF1155CC"/>
        <u/>
      </rPr>
      <t>Vinko Puljić</t>
    </r>
  </si>
  <si>
    <r>
      <rPr>
        <color rgb="FF1155CC"/>
        <u/>
      </rPr>
      <t>Bosnia and Herzegovina</t>
    </r>
  </si>
  <si>
    <r>
      <rPr>
        <color rgb="FF1155CC"/>
        <u/>
      </rPr>
      <t>CP</t>
    </r>
  </si>
  <si>
    <r>
      <rPr>
        <color rgb="FF1155CC"/>
        <u/>
      </rPr>
      <t>Archbishop of Vrhbosna</t>
    </r>
  </si>
  <si>
    <r>
      <rPr>
        <color rgb="FF1155CC"/>
        <u/>
      </rPr>
      <t>Juan Sandoval Íñiguez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</si>
  <si>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</si>
  <si>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</si>
  <si>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Archbishop emeritus of Guadalajara</t>
    </r>
  </si>
  <si>
    <r>
      <rPr>
        <color rgb="FF1155CC"/>
        <u/>
      </rPr>
      <t>Antonio María Rouco Varela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</si>
  <si>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</si>
  <si>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</si>
  <si>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of Madrid</t>
    </r>
  </si>
  <si>
    <r>
      <rPr>
        <color rgb="FF1155CC"/>
        <u/>
      </rPr>
      <t>Dionigi Tettamanzi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</si>
  <si>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</si>
  <si>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</si>
  <si>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Milan</t>
    </r>
  </si>
  <si>
    <r>
      <rPr>
        <color rgb="FF1155CC"/>
        <u/>
      </rPr>
      <t>Polycarp Pengo</t>
    </r>
  </si>
  <si>
    <r>
      <rPr>
        <color rgb="FF1155CC"/>
        <u/>
      </rPr>
      <t>Tanzania</t>
    </r>
  </si>
  <si>
    <r>
      <rPr>
        <color rgb="FF1155CC"/>
        <u/>
      </rPr>
      <t>CP</t>
    </r>
  </si>
  <si>
    <r>
      <rPr>
        <color rgb="FF1155CC"/>
        <u/>
      </rPr>
      <t>Archbishop of Dar-es-Salaam</t>
    </r>
  </si>
  <si>
    <r>
      <rPr>
        <color rgb="FF1155CC"/>
        <u/>
      </rPr>
      <t>Christoph Schönborn</t>
    </r>
    <r>
      <rPr/>
      <t xml:space="preserve"> </t>
    </r>
  </si>
  <si>
    <r>
      <rPr>
        <color rgb="FF1155CC"/>
        <u/>
      </rPr>
      <t>Austria</t>
    </r>
  </si>
  <si>
    <r>
      <rPr>
        <color rgb="FF1155CC"/>
        <u/>
      </rPr>
      <t>CP</t>
    </r>
  </si>
  <si>
    <r>
      <rPr>
        <color rgb="FF1155CC"/>
        <u/>
      </rPr>
      <t>Archbishop of Vienna</t>
    </r>
  </si>
  <si>
    <r>
      <rPr>
        <color rgb="FF1155CC"/>
        <u/>
      </rPr>
      <t>Norberto Rivera Carrera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</si>
  <si>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</si>
  <si>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</si>
  <si>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Archbishop of Mexico</t>
    </r>
  </si>
  <si>
    <r>
      <rPr>
        <color rgb="FF1155CC"/>
        <u/>
      </rPr>
      <t>Francis Eugene George</t>
    </r>
    <r>
      <rPr/>
      <t xml:space="preserve"> 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</si>
  <si>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</si>
  <si>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</si>
  <si>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Chicago</t>
    </r>
  </si>
  <si>
    <r>
      <rPr>
        <color rgb="FF1155CC"/>
        <u/>
      </rPr>
      <t>Zenon Grocholewski</t>
    </r>
  </si>
  <si>
    <r>
      <rPr>
        <color rgb="FF1155CC"/>
        <u/>
      </rPr>
      <t>Poland</t>
    </r>
  </si>
  <si>
    <r>
      <rPr>
        <color rgb="FF1155CC"/>
        <u/>
      </rPr>
      <t>CP</t>
    </r>
  </si>
  <si>
    <r>
      <t xml:space="preserve">Prefect of the </t>
    </r>
    <r>
      <rPr>
        <color rgb="FF1155CC"/>
        <u/>
      </rPr>
      <t>Congregation for Catholic Education</t>
    </r>
  </si>
  <si>
    <r>
      <rPr>
        <color rgb="FF1155CC"/>
        <u/>
      </rPr>
      <t>Crescenzio Sepe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</si>
  <si>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</si>
  <si>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</si>
  <si>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Naples</t>
    </r>
  </si>
  <si>
    <r>
      <rPr>
        <color rgb="FF1155CC"/>
        <u/>
      </rPr>
      <t>Walter Kasper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</si>
  <si>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</si>
  <si>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</si>
  <si>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Council for Promoting Christian Unity</t>
    </r>
  </si>
  <si>
    <r>
      <rPr>
        <color rgb="FF1155CC"/>
        <u/>
      </rPr>
      <t>Ivan Dias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</si>
  <si>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</si>
  <si>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</si>
  <si>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t xml:space="preserve">Prefect emeritus of the </t>
    </r>
    <r>
      <rPr>
        <color rgb="FF1155CC"/>
        <u/>
      </rPr>
      <t>Congregation for the Evangelization of Peoples</t>
    </r>
  </si>
  <si>
    <r>
      <rPr>
        <color rgb="FF1155CC"/>
        <u/>
      </rPr>
      <t>Geraldo Majella Agnelo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</si>
  <si>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</si>
  <si>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</si>
  <si>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emeritus of São Salvador da Bahia</t>
    </r>
  </si>
  <si>
    <r>
      <rPr>
        <color rgb="FF1155CC"/>
        <u/>
      </rPr>
      <t>Audrys Juozas Bačkis</t>
    </r>
  </si>
  <si>
    <r>
      <rPr>
        <color rgb="FF1155CC"/>
        <u/>
      </rPr>
      <t>Lithuania</t>
    </r>
  </si>
  <si>
    <r>
      <rPr>
        <color rgb="FF1155CC"/>
        <u/>
      </rPr>
      <t>CP</t>
    </r>
  </si>
  <si>
    <r>
      <rPr>
        <color rgb="FF1155CC"/>
        <u/>
      </rPr>
      <t>Archbishop of Vilnius</t>
    </r>
  </si>
  <si>
    <r>
      <rPr>
        <color rgb="FF1155CC"/>
        <u/>
      </rPr>
      <t>Francisco Javier Errázuriz Ossa</t>
    </r>
    <r>
      <rPr/>
      <t xml:space="preserve"> </t>
    </r>
  </si>
  <si>
    <r>
      <rPr>
        <color rgb="FF1155CC"/>
        <u/>
      </rPr>
      <t>Chile</t>
    </r>
  </si>
  <si>
    <r>
      <rPr>
        <color rgb="FF1155CC"/>
        <u/>
      </rPr>
      <t>CP</t>
    </r>
  </si>
  <si>
    <r>
      <rPr>
        <color rgb="FF1155CC"/>
        <u/>
      </rPr>
      <t>Archbishop emeritus of Santiago de Chile</t>
    </r>
  </si>
  <si>
    <r>
      <rPr>
        <color rgb="FF1155CC"/>
        <u/>
      </rPr>
      <t>Julio Terrazas Sandoval</t>
    </r>
    <r>
      <rPr/>
      <t xml:space="preserve"> </t>
    </r>
  </si>
  <si>
    <r>
      <rPr>
        <color rgb="FF1155CC"/>
        <u/>
      </rPr>
      <t>Bolivia</t>
    </r>
  </si>
  <si>
    <r>
      <rPr>
        <color rgb="FF1155CC"/>
        <u/>
      </rPr>
      <t>CP</t>
    </r>
  </si>
  <si>
    <r>
      <rPr>
        <color rgb="FF1155CC"/>
        <u/>
      </rPr>
      <t>Archbishop of Santa Cruz de la Sierra</t>
    </r>
  </si>
  <si>
    <r>
      <rPr>
        <color rgb="FF1155CC"/>
        <u/>
      </rPr>
      <t>Wilfrid Fox Napier</t>
    </r>
    <r>
      <rPr/>
      <t xml:space="preserve"> </t>
    </r>
  </si>
  <si>
    <r>
      <rPr>
        <color rgb="FF1155CC"/>
        <u/>
      </rPr>
      <t>South Africa</t>
    </r>
  </si>
  <si>
    <r>
      <rPr>
        <color rgb="FF1155CC"/>
        <u/>
      </rPr>
      <t>CP</t>
    </r>
  </si>
  <si>
    <r>
      <rPr>
        <color rgb="FF1155CC"/>
        <u/>
      </rPr>
      <t>Archbishop of Durban</t>
    </r>
  </si>
  <si>
    <r>
      <rPr>
        <color rgb="FF1155CC"/>
        <u/>
      </rPr>
      <t>Óscar Andrés Rodríguez Maradiaga</t>
    </r>
    <r>
      <rPr/>
      <t xml:space="preserve"> </t>
    </r>
  </si>
  <si>
    <r>
      <rPr>
        <color rgb="FF1155CC"/>
        <u/>
      </rPr>
      <t>Honduras</t>
    </r>
  </si>
  <si>
    <r>
      <rPr>
        <color rgb="FF1155CC"/>
        <u/>
      </rPr>
      <t>CP</t>
    </r>
  </si>
  <si>
    <r>
      <rPr>
        <color rgb="FF1155CC"/>
        <u/>
      </rPr>
      <t>Archbishop of Tegucigalpa</t>
    </r>
  </si>
  <si>
    <r>
      <rPr>
        <color rgb="FF1155CC"/>
        <u/>
      </rPr>
      <t>Juan Luis Cipriani Thorne</t>
    </r>
  </si>
  <si>
    <r>
      <rPr>
        <color rgb="FF1155CC"/>
        <u/>
      </rPr>
      <t>Peru</t>
    </r>
  </si>
  <si>
    <r>
      <rPr>
        <color rgb="FF1155CC"/>
        <u/>
      </rPr>
      <t>CP</t>
    </r>
  </si>
  <si>
    <r>
      <rPr>
        <color rgb="FF1155CC"/>
        <u/>
      </rPr>
      <t>Archbishop of Lima</t>
    </r>
  </si>
  <si>
    <r>
      <rPr>
        <color rgb="FF1155CC"/>
        <u/>
      </rPr>
      <t>Cláudio Hummes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</si>
  <si>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</si>
  <si>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</si>
  <si>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t xml:space="preserve">Prefect emeritus of the </t>
    </r>
    <r>
      <rPr>
        <color rgb="FF1155CC"/>
        <u/>
      </rPr>
      <t>Congregation for the Clergy</t>
    </r>
  </si>
  <si>
    <r>
      <rPr>
        <color rgb="FF1155CC"/>
        <u/>
      </rPr>
      <t>Jorge Mario Bergoglio</t>
    </r>
    <r>
      <rPr/>
      <t xml:space="preserve"> </t>
    </r>
  </si>
  <si>
    <r>
      <rPr>
        <color rgb="FF1155CC"/>
        <u/>
      </rPr>
      <t>Argentina</t>
    </r>
  </si>
  <si>
    <r>
      <rPr>
        <color rgb="FF1155CC"/>
        <u/>
      </rPr>
      <t>CP</t>
    </r>
  </si>
  <si>
    <r>
      <rPr>
        <color rgb="FF1155CC"/>
        <u/>
      </rPr>
      <t>Archbishop of Buenos Aires</t>
    </r>
  </si>
  <si>
    <r>
      <rPr>
        <color rgb="FF1155CC"/>
        <u/>
      </rPr>
      <t>José da Cruz Policarpo</t>
    </r>
  </si>
  <si>
    <r>
      <rPr>
        <color rgb="FF1155CC"/>
        <u/>
      </rPr>
      <t>Portugal</t>
    </r>
  </si>
  <si>
    <r>
      <rPr>
        <color rgb="FF1155CC"/>
        <u/>
      </rPr>
      <t>CP</t>
    </r>
  </si>
  <si>
    <r>
      <rPr>
        <color rgb="FF1155CC"/>
        <u/>
      </rPr>
      <t>Patriarch of Lisbon</t>
    </r>
  </si>
  <si>
    <r>
      <rPr>
        <color rgb="FF1155CC"/>
        <u/>
      </rPr>
      <t>Severino Poletto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</si>
  <si>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</si>
  <si>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</si>
  <si>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Turin</t>
    </r>
  </si>
  <si>
    <r>
      <rPr>
        <color rgb="FF1155CC"/>
        <u/>
      </rPr>
      <t>Karl Lehmann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</si>
  <si>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</si>
  <si>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</si>
  <si>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rPr>
        <color rgb="FF1155CC"/>
        <u/>
      </rPr>
      <t>Bishop of Mainz</t>
    </r>
  </si>
  <si>
    <r>
      <rPr>
        <color rgb="FF1155CC"/>
        <u/>
      </rPr>
      <t>Angelo Scola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</si>
  <si>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</si>
  <si>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</si>
  <si>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Milan</t>
    </r>
  </si>
  <si>
    <r>
      <rPr>
        <color rgb="FF1155CC"/>
        <u/>
      </rPr>
      <t>Anthony Olubunmi Okogie</t>
    </r>
  </si>
  <si>
    <r>
      <rPr>
        <color rgb="FF1155CC"/>
        <u/>
      </rPr>
      <t>Nigeria</t>
    </r>
  </si>
  <si>
    <r>
      <rPr>
        <color rgb="FF1155CC"/>
        <u/>
      </rPr>
      <t>CP</t>
    </r>
  </si>
  <si>
    <r>
      <rPr>
        <color rgb="FF1155CC"/>
        <u/>
      </rPr>
      <t>Archbishop emeritus of Lagos</t>
    </r>
  </si>
  <si>
    <r>
      <rPr>
        <color rgb="FF1155CC"/>
        <u/>
      </rPr>
      <t>Gabriel Zubeir Wako</t>
    </r>
  </si>
  <si>
    <r>
      <rPr>
        <color rgb="FF1155CC"/>
        <u/>
      </rPr>
      <t>Sudan</t>
    </r>
  </si>
  <si>
    <r>
      <rPr>
        <color rgb="FF1155CC"/>
        <u/>
      </rPr>
      <t>CP</t>
    </r>
  </si>
  <si>
    <r>
      <rPr>
        <color rgb="FF1155CC"/>
        <u/>
      </rPr>
      <t>Archbishop of Khartoum</t>
    </r>
  </si>
  <si>
    <r>
      <rPr>
        <color rgb="FF1155CC"/>
        <u/>
      </rPr>
      <t>Carlos Amigo Vallejo</t>
    </r>
    <r>
      <rPr/>
      <t xml:space="preserve"> 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</si>
  <si>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</si>
  <si>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</si>
  <si>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emeritus of Seville</t>
    </r>
  </si>
  <si>
    <r>
      <rPr>
        <color rgb="FF1155CC"/>
        <u/>
      </rPr>
      <t>Justin Francis Rigali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</si>
  <si>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</si>
  <si>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</si>
  <si>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emeritus of Philadelphia</t>
    </r>
  </si>
  <si>
    <r>
      <rPr>
        <color rgb="FF1155CC"/>
        <u/>
      </rPr>
      <t>Ennio Antonelli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</si>
  <si>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</si>
  <si>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</si>
  <si>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President emeritus of the </t>
    </r>
    <r>
      <rPr>
        <color rgb="FF1155CC"/>
        <u/>
      </rPr>
      <t>Pontifical Council for the Family</t>
    </r>
  </si>
  <si>
    <r>
      <rPr>
        <color rgb="FF1155CC"/>
        <u/>
      </rPr>
      <t>Peter Kodwo Appiah Turkson</t>
    </r>
  </si>
  <si>
    <r>
      <rPr>
        <color rgb="FF1155CC"/>
        <u/>
      </rPr>
      <t>Ghana</t>
    </r>
  </si>
  <si>
    <r>
      <rPr>
        <color rgb="FF1155CC"/>
        <u/>
      </rPr>
      <t>CP</t>
    </r>
  </si>
  <si>
    <r>
      <t xml:space="preserve">President of the </t>
    </r>
    <r>
      <rPr>
        <color rgb="FF1155CC"/>
        <u/>
      </rPr>
      <t>Pontifical Council for Justice and Peace</t>
    </r>
  </si>
  <si>
    <r>
      <rPr>
        <color rgb="FF1155CC"/>
        <u/>
      </rPr>
      <t>Telesphore Placidus Toppo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</si>
  <si>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</si>
  <si>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</si>
  <si>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Archbishop of Ranchi</t>
    </r>
  </si>
  <si>
    <r>
      <rPr>
        <color rgb="FF1155CC"/>
        <u/>
      </rPr>
      <t>George Pell</t>
    </r>
  </si>
  <si>
    <r>
      <rPr>
        <color rgb="FF1155CC"/>
        <u/>
      </rPr>
      <t>Australia</t>
    </r>
  </si>
  <si>
    <r>
      <rPr>
        <color rgb="FF1155CC"/>
        <u/>
      </rPr>
      <t>CP</t>
    </r>
  </si>
  <si>
    <r>
      <rPr>
        <color rgb="FF1155CC"/>
        <u/>
      </rPr>
      <t>Archbishop of Sydney</t>
    </r>
  </si>
  <si>
    <r>
      <rPr>
        <color rgb="FF1155CC"/>
        <u/>
      </rPr>
      <t>Josip Bozanić</t>
    </r>
  </si>
  <si>
    <r>
      <rPr>
        <color rgb="FF1155CC"/>
        <u/>
      </rPr>
      <t>Croatia</t>
    </r>
  </si>
  <si>
    <r>
      <rPr>
        <color rgb="FF1155CC"/>
        <u/>
      </rPr>
      <t>CP</t>
    </r>
  </si>
  <si>
    <r>
      <rPr>
        <color rgb="FF1155CC"/>
        <u/>
      </rPr>
      <t>Archbishop of Zagreb</t>
    </r>
  </si>
  <si>
    <r>
      <rPr>
        <color rgb="FF1155CC"/>
        <u/>
      </rPr>
      <t>Jean-Baptiste Phạm Minh Mẫn</t>
    </r>
  </si>
  <si>
    <r>
      <rPr>
        <color rgb="FF1155CC"/>
        <u/>
      </rPr>
      <t>Vietnam</t>
    </r>
  </si>
  <si>
    <r>
      <rPr>
        <color rgb="FF1155CC"/>
        <u/>
      </rPr>
      <t>CP</t>
    </r>
  </si>
  <si>
    <r>
      <rPr>
        <color rgb="FF1155CC"/>
        <u/>
      </rPr>
      <t>Archbishop of Ho Chi Minh City</t>
    </r>
  </si>
  <si>
    <r>
      <rPr>
        <color rgb="FF1155CC"/>
        <u/>
      </rPr>
      <t>Philippe Barbarin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</si>
  <si>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</si>
  <si>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</si>
  <si>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of Lyon</t>
    </r>
  </si>
  <si>
    <r>
      <rPr>
        <color rgb="FF1155CC"/>
        <u/>
      </rPr>
      <t>Péter Erdő</t>
    </r>
  </si>
  <si>
    <r>
      <rPr>
        <color rgb="FF1155CC"/>
        <u/>
      </rPr>
      <t>Hungary</t>
    </r>
  </si>
  <si>
    <r>
      <rPr>
        <color rgb="FF1155CC"/>
        <u/>
      </rPr>
      <t>CP</t>
    </r>
  </si>
  <si>
    <r>
      <rPr>
        <color rgb="FF1155CC"/>
        <u/>
      </rPr>
      <t>Archbishop of Esztergom–Budapest</t>
    </r>
  </si>
  <si>
    <r>
      <rPr>
        <color rgb="FF1155CC"/>
        <u/>
      </rPr>
      <t>Marc Ouellet</t>
    </r>
    <r>
      <rPr/>
      <t xml:space="preserve"> 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</si>
  <si>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</si>
  <si>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</si>
  <si>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t xml:space="preserve">Prefect of the </t>
    </r>
    <r>
      <rPr>
        <color rgb="FF1155CC"/>
        <u/>
      </rPr>
      <t>Congregation for Bishops</t>
    </r>
  </si>
  <si>
    <r>
      <rPr>
        <color rgb="FF1155CC"/>
        <u/>
      </rPr>
      <t>Agostino Vallini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</si>
  <si>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</si>
  <si>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</si>
  <si>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Vicar General for Rome</t>
    </r>
    <r>
      <rPr/>
      <t xml:space="preserve"> and Archpriest of the </t>
    </r>
    <r>
      <rPr>
        <color rgb="FF1155CC"/>
        <u/>
      </rPr>
      <t>Papal Basilica of Saint John Lateran</t>
    </r>
  </si>
  <si>
    <r>
      <rPr>
        <color rgb="FF1155CC"/>
        <u/>
      </rPr>
      <t>Jorge Liberato Urosa Savino</t>
    </r>
  </si>
  <si>
    <r>
      <rPr>
        <color rgb="FF1155CC"/>
        <u/>
      </rPr>
      <t>Venezuela</t>
    </r>
  </si>
  <si>
    <r>
      <rPr>
        <color rgb="FF1155CC"/>
        <u/>
      </rPr>
      <t>CP</t>
    </r>
  </si>
  <si>
    <r>
      <rPr>
        <color rgb="FF1155CC"/>
        <u/>
      </rPr>
      <t>Archbishop of Caracas</t>
    </r>
  </si>
  <si>
    <r>
      <rPr>
        <color rgb="FF1155CC"/>
        <u/>
      </rPr>
      <t>Jean-Pierre Ricard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</si>
  <si>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</si>
  <si>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</si>
  <si>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of Bordeaux</t>
    </r>
  </si>
  <si>
    <r>
      <rPr>
        <color rgb="FF1155CC"/>
        <u/>
      </rPr>
      <t>Antonio Cañizares Llovera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</si>
  <si>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</si>
  <si>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</si>
  <si>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t xml:space="preserve">Prefect of the </t>
    </r>
    <r>
      <rPr>
        <color rgb="FF1155CC"/>
        <u/>
      </rPr>
      <t>Congregation for Divine Worship and the Discipline of the Sacraments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</si>
  <si>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</si>
  <si>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</si>
  <si>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Boston</t>
    </r>
  </si>
  <si>
    <r>
      <rPr>
        <color rgb="FF1155CC"/>
        <u/>
      </rPr>
      <t>Stanisław Dziwisz</t>
    </r>
  </si>
  <si>
    <r>
      <rPr>
        <color rgb="FF1155CC"/>
        <u/>
      </rPr>
      <t>Poland</t>
    </r>
  </si>
  <si>
    <r>
      <rPr>
        <color rgb="FF1155CC"/>
        <u/>
      </rPr>
      <t>CP</t>
    </r>
  </si>
  <si>
    <r>
      <rPr>
        <color rgb="FF1155CC"/>
        <u/>
      </rPr>
      <t>Archbishop of Kraków</t>
    </r>
  </si>
  <si>
    <r>
      <rPr>
        <color rgb="FF1155CC"/>
        <u/>
      </rPr>
      <t>Carlo Caffarra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</si>
  <si>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</si>
  <si>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</si>
  <si>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Bologna</t>
    </r>
  </si>
  <si>
    <r>
      <rPr>
        <color rgb="FF1155CC"/>
        <u/>
      </rPr>
      <t>Seán Baptist Brady</t>
    </r>
  </si>
  <si>
    <r>
      <rPr>
        <color rgb="FF1155CC"/>
        <u/>
      </rPr>
      <t>Ireland</t>
    </r>
  </si>
  <si>
    <r>
      <rPr>
        <color rgb="FF1155CC"/>
        <u/>
      </rPr>
      <t>CP</t>
    </r>
  </si>
  <si>
    <r>
      <rPr>
        <color rgb="FF1155CC"/>
        <u/>
      </rPr>
      <t>Archbishop of Armagh</t>
    </r>
  </si>
  <si>
    <r>
      <rPr>
        <color rgb="FF1155CC"/>
        <u/>
      </rPr>
      <t>Lluís Martínez Sistach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</si>
  <si>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</si>
  <si>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</si>
  <si>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of Barcelona</t>
    </r>
  </si>
  <si>
    <r>
      <rPr>
        <color rgb="FF1155CC"/>
        <u/>
      </rPr>
      <t>André Vingt-Trois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</si>
  <si>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</si>
  <si>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</si>
  <si>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of Paris</t>
    </r>
  </si>
  <si>
    <r>
      <rPr>
        <color rgb="FF1155CC"/>
        <u/>
      </rPr>
      <t>Angelo Bagnasco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</si>
  <si>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</si>
  <si>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</si>
  <si>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Genoa</t>
    </r>
  </si>
  <si>
    <r>
      <rPr>
        <color rgb="FF1155CC"/>
        <u/>
      </rPr>
      <t>Théodore-Adrien Sarr</t>
    </r>
  </si>
  <si>
    <r>
      <rPr>
        <color rgb="FF1155CC"/>
        <u/>
      </rPr>
      <t>Senegal</t>
    </r>
  </si>
  <si>
    <r>
      <rPr>
        <color rgb="FF1155CC"/>
        <u/>
      </rPr>
      <t>CP</t>
    </r>
  </si>
  <si>
    <r>
      <rPr>
        <color rgb="FF1155CC"/>
        <u/>
      </rPr>
      <t>Archbishop of Dakar</t>
    </r>
  </si>
  <si>
    <r>
      <rPr>
        <color rgb="FF1155CC"/>
        <u/>
      </rPr>
      <t>Oswald Gracias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</si>
  <si>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</si>
  <si>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</si>
  <si>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Archbishop of Bombay</t>
    </r>
  </si>
  <si>
    <r>
      <rPr>
        <color rgb="FF1155CC"/>
        <u/>
      </rPr>
      <t>Francisco Robles Ortega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</si>
  <si>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</si>
  <si>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</si>
  <si>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Archbishop of Guadalajara</t>
    </r>
  </si>
  <si>
    <r>
      <rPr>
        <color rgb="FF1155CC"/>
        <u/>
      </rPr>
      <t>Daniel Nicholas DiNardo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</si>
  <si>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</si>
  <si>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</si>
  <si>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Galveston–Houston</t>
    </r>
  </si>
  <si>
    <r>
      <rPr>
        <color rgb="FF1155CC"/>
        <u/>
      </rPr>
      <t>Odilo Pedro Scherer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</si>
  <si>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</si>
  <si>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</si>
  <si>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São Paulo</t>
    </r>
  </si>
  <si>
    <r>
      <rPr>
        <color rgb="FF1155CC"/>
        <u/>
      </rPr>
      <t>John Njue</t>
    </r>
  </si>
  <si>
    <r>
      <rPr>
        <color rgb="FF1155CC"/>
        <u/>
      </rPr>
      <t>Kenya</t>
    </r>
  </si>
  <si>
    <t>1 January 1946[c]</t>
  </si>
  <si>
    <r>
      <rPr>
        <color rgb="FF1155CC"/>
        <u/>
      </rPr>
      <t>CP</t>
    </r>
  </si>
  <si>
    <r>
      <rPr>
        <color rgb="FF1155CC"/>
        <u/>
      </rPr>
      <t>Archbishop of Nairobi</t>
    </r>
  </si>
  <si>
    <r>
      <rPr>
        <color rgb="FF1155CC"/>
        <u/>
      </rPr>
      <t>Raúl Eduardo Vela Chiriboga</t>
    </r>
  </si>
  <si>
    <r>
      <rPr>
        <color rgb="FF1155CC"/>
        <u/>
      </rPr>
      <t>Ecuador</t>
    </r>
  </si>
  <si>
    <r>
      <rPr>
        <color rgb="FF1155CC"/>
        <u/>
      </rPr>
      <t>CP</t>
    </r>
  </si>
  <si>
    <r>
      <rPr>
        <color rgb="FF1155CC"/>
        <u/>
      </rPr>
      <t>Archbishop emeritus of Quito</t>
    </r>
  </si>
  <si>
    <r>
      <rPr>
        <color rgb="FF1155CC"/>
        <u/>
      </rPr>
      <t>Laurent Monsengwo Pasinya</t>
    </r>
  </si>
  <si>
    <r>
      <rPr>
        <color rgb="FF1155CC"/>
        <u/>
      </rPr>
      <t>Democratic Republic of the Congo</t>
    </r>
  </si>
  <si>
    <r>
      <rPr>
        <color rgb="FF1155CC"/>
        <u/>
      </rPr>
      <t>CP</t>
    </r>
  </si>
  <si>
    <r>
      <rPr>
        <color rgb="FF1155CC"/>
        <u/>
      </rPr>
      <t>Archbishop of Kinshasa</t>
    </r>
  </si>
  <si>
    <r>
      <rPr>
        <color rgb="FF1155CC"/>
        <u/>
      </rPr>
      <t>Paolo Romeo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</si>
  <si>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</si>
  <si>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</si>
  <si>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Palermo</t>
    </r>
  </si>
  <si>
    <r>
      <rPr>
        <color rgb="FF1155CC"/>
        <u/>
      </rPr>
      <t>Donald William Wuerl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</si>
  <si>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</si>
  <si>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</si>
  <si>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Washington</t>
    </r>
  </si>
  <si>
    <r>
      <rPr>
        <color rgb="FF1155CC"/>
        <u/>
      </rPr>
      <t>Raymundo Damasceno Assis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</si>
  <si>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</si>
  <si>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</si>
  <si>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Aparecida</t>
    </r>
  </si>
  <si>
    <r>
      <rPr>
        <color rgb="FF1155CC"/>
        <u/>
      </rPr>
      <t>Kazimierz Nycz</t>
    </r>
  </si>
  <si>
    <r>
      <rPr>
        <color rgb="FF1155CC"/>
        <u/>
      </rPr>
      <t>Poland</t>
    </r>
  </si>
  <si>
    <r>
      <rPr>
        <color rgb="FF1155CC"/>
        <u/>
      </rPr>
      <t>CP</t>
    </r>
  </si>
  <si>
    <r>
      <rPr>
        <color rgb="FF1155CC"/>
        <u/>
      </rPr>
      <t>Archbishop of Warsaw</t>
    </r>
  </si>
  <si>
    <r>
      <rPr>
        <color rgb="FF1155CC"/>
        <u/>
      </rPr>
      <t>Albert Malcolm Ranjith Patabendige Don</t>
    </r>
  </si>
  <si>
    <r>
      <rPr>
        <color rgb="FF1155CC"/>
        <u/>
      </rPr>
      <t>Sri Lanka</t>
    </r>
  </si>
  <si>
    <r>
      <rPr>
        <color rgb="FF1155CC"/>
        <u/>
      </rPr>
      <t>CP</t>
    </r>
  </si>
  <si>
    <r>
      <rPr>
        <color rgb="FF1155CC"/>
        <u/>
      </rPr>
      <t>Archbishop of Colombo</t>
    </r>
  </si>
  <si>
    <r>
      <rPr>
        <color rgb="FF1155CC"/>
        <u/>
      </rPr>
      <t>Reinhard Marx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</si>
  <si>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</si>
  <si>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</si>
  <si>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rPr>
        <color rgb="FF1155CC"/>
        <u/>
      </rPr>
      <t>Archbishop of Munich and Freising</t>
    </r>
  </si>
  <si>
    <r>
      <rPr>
        <color rgb="FF1155CC"/>
        <u/>
      </rPr>
      <t>George Alencherry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</si>
  <si>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</si>
  <si>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</si>
  <si>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Major Archbishop of Ernakulam–Angamaly</t>
    </r>
    <r>
      <rPr/>
      <t xml:space="preserve">
(</t>
    </r>
    <r>
      <rPr>
        <color rgb="FF1155CC"/>
        <u/>
      </rPr>
      <t>Syro-Malabar Church</t>
    </r>
    <r>
      <rPr/>
      <t>)</t>
    </r>
  </si>
  <si>
    <r>
      <rPr>
        <color rgb="FF1155CC"/>
        <u/>
      </rPr>
      <t>Thomas Christopher Collins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</si>
  <si>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</si>
  <si>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</si>
  <si>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rPr>
        <color rgb="FF1155CC"/>
        <u/>
      </rPr>
      <t>Archbishop of Toronto</t>
    </r>
  </si>
  <si>
    <r>
      <rPr>
        <color rgb="FF1155CC"/>
        <u/>
      </rPr>
      <t>Dominik Duka</t>
    </r>
    <r>
      <rPr/>
      <t xml:space="preserve"> </t>
    </r>
  </si>
  <si>
    <r>
      <rPr>
        <color rgb="FF1155CC"/>
        <u/>
      </rPr>
      <t>Czech Republic</t>
    </r>
  </si>
  <si>
    <r>
      <rPr>
        <color rgb="FF1155CC"/>
        <u/>
      </rPr>
      <t>CP</t>
    </r>
  </si>
  <si>
    <r>
      <rPr>
        <color rgb="FF1155CC"/>
        <u/>
      </rPr>
      <t>Archbishop of Prague</t>
    </r>
  </si>
  <si>
    <r>
      <rPr>
        <color rgb="FF1155CC"/>
        <u/>
      </rPr>
      <t>Willem Jacobus Eijk</t>
    </r>
  </si>
  <si>
    <r>
      <rPr>
        <color rgb="FF1155CC"/>
        <u/>
      </rPr>
      <t>Netherlands</t>
    </r>
  </si>
  <si>
    <r>
      <rPr>
        <color rgb="FF1155CC"/>
        <u/>
      </rPr>
      <t>CP</t>
    </r>
  </si>
  <si>
    <r>
      <rPr>
        <color rgb="FF1155CC"/>
        <u/>
      </rPr>
      <t>Archbishop of Utrecht</t>
    </r>
  </si>
  <si>
    <r>
      <rPr>
        <color rgb="FF1155CC"/>
        <u/>
      </rPr>
      <t>Giuseppe Betori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</si>
  <si>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</si>
  <si>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</si>
  <si>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Florence</t>
    </r>
  </si>
  <si>
    <r>
      <rPr>
        <color rgb="FF1155CC"/>
        <u/>
      </rPr>
      <t>Timothy Michael Dolan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</si>
  <si>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</si>
  <si>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</si>
  <si>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New York</t>
    </r>
  </si>
  <si>
    <r>
      <rPr>
        <color rgb="FF1155CC"/>
        <u/>
      </rPr>
      <t>Rainer Maria Woelki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</si>
  <si>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</si>
  <si>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</si>
  <si>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rPr>
        <color rgb="FF1155CC"/>
        <u/>
      </rPr>
      <t>Archbishop of Berlin</t>
    </r>
  </si>
  <si>
    <r>
      <rPr>
        <color rgb="FF1155CC"/>
        <u/>
      </rPr>
      <t>John Tong Hon</t>
    </r>
  </si>
  <si>
    <r>
      <rPr>
        <color rgb="FF1155CC"/>
        <u/>
      </rPr>
      <t>China</t>
    </r>
    <r>
      <rPr/>
      <t xml:space="preserve">
(</t>
    </r>
    <r>
      <rPr>
        <color rgb="FF1155CC"/>
        <u/>
      </rPr>
      <t>Hong Kong</t>
    </r>
    <r>
      <rPr/>
      <t>)</t>
    </r>
    <r>
      <rPr>
        <color rgb="FF1155CC"/>
        <u/>
      </rPr>
      <t>[</t>
    </r>
    <r>
      <rPr>
        <color rgb="FF1155CC"/>
        <u/>
      </rPr>
      <t>d</t>
    </r>
    <r>
      <rPr/>
      <t>]</t>
    </r>
  </si>
  <si>
    <r>
      <rPr>
        <color rgb="FF1155CC"/>
        <u/>
      </rPr>
      <t>CP</t>
    </r>
  </si>
  <si>
    <r>
      <rPr>
        <color rgb="FF1155CC"/>
        <u/>
      </rPr>
      <t>Bishop of Hong Kong</t>
    </r>
  </si>
  <si>
    <r>
      <rPr>
        <color rgb="FF1155CC"/>
        <u/>
      </rPr>
      <t>Baselios Cleemis Thottunkal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</si>
  <si>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</si>
  <si>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</si>
  <si>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Major Archbishop of Trivandrum</t>
    </r>
    <r>
      <rPr/>
      <t xml:space="preserve">
(</t>
    </r>
    <r>
      <rPr>
        <color rgb="FF1155CC"/>
        <u/>
      </rPr>
      <t>Syro-Malankara Church</t>
    </r>
    <r>
      <rPr/>
      <t>)</t>
    </r>
  </si>
  <si>
    <r>
      <rPr>
        <color rgb="FF1155CC"/>
        <u/>
      </rPr>
      <t>John Olorunfemi Onaiyekan</t>
    </r>
  </si>
  <si>
    <r>
      <rPr>
        <color rgb="FF1155CC"/>
        <u/>
      </rPr>
      <t>Nigeria</t>
    </r>
  </si>
  <si>
    <r>
      <rPr>
        <color rgb="FF1155CC"/>
        <u/>
      </rPr>
      <t>CP</t>
    </r>
  </si>
  <si>
    <r>
      <rPr>
        <color rgb="FF1155CC"/>
        <u/>
      </rPr>
      <t>Archbishop of Abuja</t>
    </r>
  </si>
  <si>
    <r>
      <rPr>
        <color rgb="FF1155CC"/>
        <u/>
      </rPr>
      <t>Rubén Salazar Gómez</t>
    </r>
  </si>
  <si>
    <r>
      <rPr>
        <color rgb="FF1155CC"/>
        <u/>
      </rPr>
      <t>Colombia</t>
    </r>
  </si>
  <si>
    <r>
      <rPr>
        <color rgb="FF1155CC"/>
        <u/>
      </rPr>
      <t>CP</t>
    </r>
  </si>
  <si>
    <r>
      <rPr>
        <color rgb="FF1155CC"/>
        <u/>
      </rPr>
      <t>Archbishop of Bogotá</t>
    </r>
  </si>
  <si>
    <r>
      <rPr>
        <color rgb="FF1155CC"/>
        <u/>
      </rPr>
      <t>Luis Antonio Gokim Tagle</t>
    </r>
  </si>
  <si>
    <r>
      <rPr>
        <color rgb="FF1155CC"/>
        <u/>
      </rPr>
      <t>Philippines</t>
    </r>
  </si>
  <si>
    <r>
      <rPr>
        <color rgb="FF1155CC"/>
        <u/>
      </rPr>
      <t>CP</t>
    </r>
  </si>
  <si>
    <r>
      <rPr>
        <color rgb="FF1155CC"/>
        <u/>
      </rPr>
      <t>Archbishop of Manila</t>
    </r>
  </si>
  <si>
    <r>
      <rPr>
        <color rgb="FF1155CC"/>
        <u/>
      </rPr>
      <t>Jean-Louis Tauran</t>
    </r>
  </si>
  <si>
    <r>
      <rPr>
        <color rgb="FF1155CC"/>
        <u/>
      </rPr>
      <t>France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</si>
  <si>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</si>
  <si>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 for Interreligious Dialogue</t>
    </r>
    <r>
      <rPr/>
      <t xml:space="preserve"> (</t>
    </r>
    <r>
      <rPr>
        <color rgb="FF1155CC"/>
        <u/>
      </rPr>
      <t>Protodeacon</t>
    </r>
    <r>
      <rPr/>
      <t>)</t>
    </r>
  </si>
  <si>
    <r>
      <rPr>
        <color rgb="FF1155CC"/>
        <u/>
      </rPr>
      <t>Attilio Nicora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</si>
  <si>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</si>
  <si>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</si>
  <si>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Pontifical Legate for the Basilicas of Saint Francis and Saint Mary of the Angels in Assisi</t>
    </r>
    <r>
      <rPr/>
      <t xml:space="preserve"> and President of the </t>
    </r>
    <r>
      <rPr>
        <color rgb="FF1155CC"/>
        <u/>
      </rPr>
      <t>Financial Information Authority</t>
    </r>
  </si>
  <si>
    <r>
      <rPr>
        <color rgb="FF1155CC"/>
        <u/>
      </rPr>
      <t>William Joseph Levada</t>
    </r>
  </si>
  <si>
    <r>
      <rPr>
        <color rgb="FF1155CC"/>
        <u/>
      </rPr>
      <t>United States</t>
    </r>
  </si>
  <si>
    <r>
      <rPr>
        <color rgb="FF1155CC"/>
        <u/>
      </rPr>
      <t>CD</t>
    </r>
  </si>
  <si>
    <r>
      <t xml:space="preserve">Prefect emeritus of the </t>
    </r>
    <r>
      <rPr>
        <color rgb="FF1155CC"/>
        <u/>
      </rPr>
      <t>Congregation for the Doctrine of the Faith</t>
    </r>
  </si>
  <si>
    <r>
      <rPr>
        <color rgb="FF1155CC"/>
        <u/>
      </rPr>
      <t>Franc Rodé</t>
    </r>
    <r>
      <rPr/>
      <t xml:space="preserve"> </t>
    </r>
    <r>
      <rPr>
        <color rgb="FF1155CC"/>
        <u/>
      </rPr>
      <t>CM</t>
    </r>
  </si>
  <si>
    <r>
      <rPr>
        <color rgb="FF1155CC"/>
        <u/>
      </rPr>
      <t>Slovenia</t>
    </r>
  </si>
  <si>
    <r>
      <rPr>
        <color rgb="FF1155CC"/>
        <u/>
      </rPr>
      <t>CD</t>
    </r>
  </si>
  <si>
    <r>
      <t xml:space="preserve">Prefect emeritus of the </t>
    </r>
    <r>
      <rPr>
        <color rgb="FF1155CC"/>
        <u/>
      </rPr>
      <t>Congregation for Institutes of Consecrated Life and Societies of Apostolic Life</t>
    </r>
  </si>
  <si>
    <r>
      <rPr>
        <color rgb="FF1155CC"/>
        <u/>
      </rPr>
      <t>Leonardo Sandri</t>
    </r>
  </si>
  <si>
    <r>
      <rPr>
        <color rgb="FF1155CC"/>
        <u/>
      </rPr>
      <t>Argentina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</si>
  <si>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</si>
  <si>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Congregation for the Oriental Churches</t>
    </r>
  </si>
  <si>
    <r>
      <rPr>
        <color rgb="FF1155CC"/>
        <u/>
      </rPr>
      <t>Giovanni Lajolo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</si>
  <si>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</si>
  <si>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</si>
  <si>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emeritus of the </t>
    </r>
    <r>
      <rPr>
        <color rgb="FF1155CC"/>
        <u/>
      </rPr>
      <t>Pontifical Commission for Vatican City State</t>
    </r>
  </si>
  <si>
    <r>
      <rPr>
        <color rgb="FF1155CC"/>
        <u/>
      </rPr>
      <t>Paul Josef Cordes</t>
    </r>
  </si>
  <si>
    <r>
      <rPr>
        <color rgb="FF1155CC"/>
        <u/>
      </rPr>
      <t>Germany</t>
    </r>
  </si>
  <si>
    <r>
      <rPr>
        <color rgb="FF1155CC"/>
        <u/>
      </rPr>
      <t>CD</t>
    </r>
  </si>
  <si>
    <r>
      <t xml:space="preserve">President emeritus of the </t>
    </r>
    <r>
      <rPr>
        <color rgb="FF1155CC"/>
        <u/>
      </rPr>
      <t xml:space="preserve">Pontifical Council </t>
    </r>
    <r>
      <rPr/>
      <t>Cor Unum</t>
    </r>
  </si>
  <si>
    <r>
      <rPr>
        <color rgb="FF1155CC"/>
        <u/>
      </rPr>
      <t>Angelo Comastri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</si>
  <si>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</si>
  <si>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</si>
  <si>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Vicar General for Vatican City</t>
    </r>
    <r>
      <rPr/>
      <t xml:space="preserve">, Archpriest of the </t>
    </r>
    <r>
      <rPr>
        <color rgb="FF1155CC"/>
        <u/>
      </rPr>
      <t>Papal Basilica of Saint Peter</t>
    </r>
    <r>
      <rPr/>
      <t xml:space="preserve"> and President of the </t>
    </r>
    <r>
      <rPr>
        <color rgb="FF1155CC"/>
        <u/>
      </rPr>
      <t>Fabric of Saint Peter</t>
    </r>
  </si>
  <si>
    <r>
      <rPr>
        <color rgb="FF1155CC"/>
        <u/>
      </rPr>
      <t>Stanisław Ryłko</t>
    </r>
  </si>
  <si>
    <r>
      <rPr>
        <color rgb="FF1155CC"/>
        <u/>
      </rPr>
      <t>Poland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</si>
  <si>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</si>
  <si>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 for the Laity</t>
    </r>
  </si>
  <si>
    <r>
      <rPr>
        <color rgb="FF1155CC"/>
        <u/>
      </rPr>
      <t>Raffaele Farina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</si>
  <si>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</si>
  <si>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</si>
  <si>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Archivist and Librarian emeritus of the Holy Roman Church</t>
    </r>
  </si>
  <si>
    <r>
      <rPr>
        <color rgb="FF1155CC"/>
        <u/>
      </rPr>
      <t>Angelo Amato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</si>
  <si>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</si>
  <si>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</si>
  <si>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Congregation for the Causes of Saints</t>
    </r>
  </si>
  <si>
    <r>
      <rPr>
        <color rgb="FF1155CC"/>
        <u/>
      </rPr>
      <t>Robert Sarah</t>
    </r>
  </si>
  <si>
    <r>
      <rPr>
        <color rgb="FF1155CC"/>
        <u/>
      </rPr>
      <t>Guinea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</si>
  <si>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</si>
  <si>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 xml:space="preserve">Pontifical Council </t>
    </r>
    <r>
      <rPr/>
      <t>Cor Unum</t>
    </r>
  </si>
  <si>
    <r>
      <rPr>
        <color rgb="FF1155CC"/>
        <u/>
      </rPr>
      <t>Francesco Monterisi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</si>
  <si>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</si>
  <si>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</si>
  <si>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Archpriest emeritus of the </t>
    </r>
    <r>
      <rPr>
        <color rgb="FF1155CC"/>
        <u/>
      </rPr>
      <t>Papal Basilica of Saint Paul Outside the Walls</t>
    </r>
  </si>
  <si>
    <r>
      <rPr>
        <color rgb="FF1155CC"/>
        <u/>
      </rPr>
      <t>Raymond Leo Burke</t>
    </r>
  </si>
  <si>
    <r>
      <rPr>
        <color rgb="FF1155CC"/>
        <u/>
      </rPr>
      <t>United States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</si>
  <si>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</si>
  <si>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Supreme Tribunal of the Apostolic Signatura</t>
    </r>
  </si>
  <si>
    <r>
      <rPr>
        <color rgb="FF1155CC"/>
        <u/>
      </rPr>
      <t>Kurt Koch</t>
    </r>
  </si>
  <si>
    <r>
      <rPr>
        <color rgb="FF1155CC"/>
        <u/>
      </rPr>
      <t>Switzerland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</si>
  <si>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</si>
  <si>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 for Promoting Christian Unity</t>
    </r>
  </si>
  <si>
    <r>
      <rPr>
        <color rgb="FF1155CC"/>
        <u/>
      </rPr>
      <t>Paolo Sardi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</si>
  <si>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</si>
  <si>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</si>
  <si>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Patron of the </t>
    </r>
    <r>
      <rPr>
        <color rgb="FF1155CC"/>
        <u/>
      </rPr>
      <t>Sovereign Military Order of Malta</t>
    </r>
  </si>
  <si>
    <r>
      <rPr>
        <color rgb="FF1155CC"/>
        <u/>
      </rPr>
      <t>Mauro Piacenza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</si>
  <si>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</si>
  <si>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</si>
  <si>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Congregation for the Clergy</t>
    </r>
  </si>
  <si>
    <r>
      <rPr>
        <color rgb="FF1155CC"/>
        <u/>
      </rPr>
      <t>Velasio De Paolis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</si>
  <si>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</si>
  <si>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</si>
  <si>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emeritus of the </t>
    </r>
    <r>
      <rPr>
        <color rgb="FF1155CC"/>
        <u/>
      </rPr>
      <t>Prefecture for the Economic Affairs of the Holy See</t>
    </r>
  </si>
  <si>
    <r>
      <rPr>
        <color rgb="FF1155CC"/>
        <u/>
      </rPr>
      <t>Gianfranco Ravasi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</si>
  <si>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</si>
  <si>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</si>
  <si>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 for Culture</t>
    </r>
  </si>
  <si>
    <r>
      <rPr>
        <color rgb="FF1155CC"/>
        <u/>
      </rPr>
      <t>Fernando Filoni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</si>
  <si>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</si>
  <si>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</si>
  <si>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Congregation for the Evangelization of Peoples</t>
    </r>
  </si>
  <si>
    <r>
      <rPr>
        <color rgb="FF1155CC"/>
        <u/>
      </rPr>
      <t>Manuel Monteiro de Castro</t>
    </r>
  </si>
  <si>
    <r>
      <rPr>
        <color rgb="FF1155CC"/>
        <u/>
      </rPr>
      <t>Portugal</t>
    </r>
  </si>
  <si>
    <r>
      <rPr>
        <color rgb="FF1155CC"/>
        <u/>
      </rPr>
      <t>CD</t>
    </r>
  </si>
  <si>
    <r>
      <rPr>
        <color rgb="FF1155CC"/>
        <u/>
      </rPr>
      <t>Major Penitentiary</t>
    </r>
  </si>
  <si>
    <r>
      <rPr>
        <color rgb="FF1155CC"/>
        <u/>
      </rPr>
      <t>Santos Abril y Castelló</t>
    </r>
  </si>
  <si>
    <r>
      <rPr>
        <color rgb="FF1155CC"/>
        <u/>
      </rPr>
      <t>Spain</t>
    </r>
  </si>
  <si>
    <r>
      <rPr>
        <color rgb="FF1155CC"/>
        <u/>
      </rPr>
      <t>CD</t>
    </r>
  </si>
  <si>
    <r>
      <t xml:space="preserve">Archpriest of the </t>
    </r>
    <r>
      <rPr>
        <color rgb="FF1155CC"/>
        <u/>
      </rPr>
      <t>Papal Basilica of Saint Mary Major</t>
    </r>
  </si>
  <si>
    <r>
      <rPr>
        <color rgb="FF1155CC"/>
        <u/>
      </rPr>
      <t>Antonio Maria Vegliò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</si>
  <si>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</si>
  <si>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</si>
  <si>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 for the Pastoral Care of Migrants and Itinerant People</t>
    </r>
  </si>
  <si>
    <r>
      <rPr>
        <color rgb="FF1155CC"/>
        <u/>
      </rPr>
      <t>Giuseppe Bertello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</si>
  <si>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</si>
  <si>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</si>
  <si>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Commission for Vatican City State</t>
    </r>
  </si>
  <si>
    <r>
      <rPr>
        <color rgb="FF1155CC"/>
        <u/>
      </rPr>
      <t>Francesco Coccopalmerio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</si>
  <si>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</si>
  <si>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</si>
  <si>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 for Legislative Texts</t>
    </r>
  </si>
  <si>
    <r>
      <rPr>
        <color rgb="FF1155CC"/>
        <u/>
      </rPr>
      <t>João Braz de Aviz</t>
    </r>
  </si>
  <si>
    <r>
      <rPr>
        <color rgb="FF1155CC"/>
        <u/>
      </rPr>
      <t>Brazil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</si>
  <si>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</si>
  <si>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Congregation for Institutes of Consecrated Life and Societies of Apostolic Life</t>
    </r>
  </si>
  <si>
    <r>
      <rPr>
        <color rgb="FF1155CC"/>
        <u/>
      </rPr>
      <t>Edwin Frederick O'Brien</t>
    </r>
  </si>
  <si>
    <r>
      <rPr>
        <color rgb="FF1155CC"/>
        <u/>
      </rPr>
      <t>United States</t>
    </r>
  </si>
  <si>
    <r>
      <rPr>
        <color rgb="FF1155CC"/>
        <u/>
      </rPr>
      <t>CD</t>
    </r>
  </si>
  <si>
    <r>
      <t xml:space="preserve">Grand Master of the </t>
    </r>
    <r>
      <rPr>
        <color rgb="FF1155CC"/>
        <u/>
      </rPr>
      <t>Order of the Holy Sepulchre</t>
    </r>
  </si>
  <si>
    <r>
      <rPr>
        <color rgb="FF1155CC"/>
        <u/>
      </rPr>
      <t>Domenico Calcagno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</si>
  <si>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</si>
  <si>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</si>
  <si>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Administration of the Patrimony of the Apostolic See</t>
    </r>
  </si>
  <si>
    <r>
      <rPr>
        <color rgb="FF1155CC"/>
        <u/>
      </rPr>
      <t>Giuseppe Versaldi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</si>
  <si>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</si>
  <si>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</si>
  <si>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Prefecture for the Economic Affairs of the Holy See</t>
    </r>
  </si>
  <si>
    <r>
      <rPr>
        <color rgb="FF1155CC"/>
        <u/>
      </rPr>
      <t>James Michael Harvey</t>
    </r>
  </si>
  <si>
    <r>
      <rPr>
        <color rgb="FF1155CC"/>
        <u/>
      </rPr>
      <t>United States</t>
    </r>
  </si>
  <si>
    <r>
      <rPr>
        <color rgb="FF1155CC"/>
        <u/>
      </rPr>
      <t>CD</t>
    </r>
  </si>
  <si>
    <r>
      <t xml:space="preserve">Archpriest of the </t>
    </r>
    <r>
      <rPr>
        <color rgb="FF1155CC"/>
        <u/>
      </rPr>
      <t>Papal Basilica of Saint Paul Outside the Walls</t>
    </r>
  </si>
  <si>
    <r>
      <rPr>
        <color rgb="FF1155CC"/>
        <u/>
      </rPr>
      <t>Joseph Ratzinger</t>
    </r>
  </si>
  <si>
    <r>
      <rPr>
        <color rgb="FF1155CC"/>
        <u/>
      </rPr>
      <t>Germany</t>
    </r>
  </si>
  <si>
    <r>
      <rPr>
        <color rgb="FF1155CC"/>
        <u/>
      </rPr>
      <t>CB</t>
    </r>
  </si>
  <si>
    <r>
      <t xml:space="preserve">Prefect of the </t>
    </r>
    <r>
      <rPr>
        <color rgb="FF1155CC"/>
        <u/>
      </rPr>
      <t>Congregation for the Doctrine of the Faith</t>
    </r>
    <r>
      <rPr/>
      <t xml:space="preserve"> (</t>
    </r>
    <r>
      <rPr>
        <color rgb="FF1155CC"/>
        <u/>
      </rPr>
      <t>Dean</t>
    </r>
    <r>
      <rPr/>
      <t>)</t>
    </r>
  </si>
  <si>
    <r>
      <rPr>
        <color rgb="FF1155CC"/>
        <u/>
      </rPr>
      <t>Angelo Sodano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</si>
  <si>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</si>
  <si>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</si>
  <si>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rPr>
        <color rgb="FF1155CC"/>
        <u/>
      </rPr>
      <t>Secretary of State</t>
    </r>
    <r>
      <rPr/>
      <t xml:space="preserve"> (</t>
    </r>
    <r>
      <rPr>
        <color rgb="FF1155CC"/>
        <u/>
      </rPr>
      <t>Vice-Dean</t>
    </r>
    <r>
      <rPr/>
      <t>)</t>
    </r>
  </si>
  <si>
    <r>
      <rPr>
        <color rgb="FF1155CC"/>
        <u/>
      </rPr>
      <t>Alfonso López Trujillo</t>
    </r>
  </si>
  <si>
    <r>
      <rPr>
        <color rgb="FF1155CC"/>
        <u/>
      </rPr>
      <t>Colombia</t>
    </r>
  </si>
  <si>
    <r>
      <rPr>
        <color rgb="FF1155CC"/>
        <u/>
      </rPr>
      <t>CB</t>
    </r>
  </si>
  <si>
    <r>
      <t xml:space="preserve">President of the </t>
    </r>
    <r>
      <rPr>
        <color rgb="FF1155CC"/>
        <u/>
      </rPr>
      <t>Pontifical Council for the Family</t>
    </r>
  </si>
  <si>
    <r>
      <rPr>
        <color rgb="FF1155CC"/>
        <u/>
      </rPr>
      <t>Giovanni Battista Re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</si>
  <si>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</si>
  <si>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</si>
  <si>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t xml:space="preserve">Prefect of the </t>
    </r>
    <r>
      <rPr>
        <color rgb="FF1155CC"/>
        <u/>
      </rPr>
      <t>Congregation for Bishops</t>
    </r>
  </si>
  <si>
    <r>
      <rPr>
        <color rgb="FF1155CC"/>
        <u/>
      </rPr>
      <t>Ignace Moussa I Daoud</t>
    </r>
  </si>
  <si>
    <r>
      <rPr>
        <color rgb="FF1155CC"/>
        <u/>
      </rPr>
      <t>Syria</t>
    </r>
  </si>
  <si>
    <r>
      <rPr>
        <color rgb="FF1155CC"/>
        <u/>
      </rPr>
      <t>CB</t>
    </r>
  </si>
  <si>
    <r>
      <t xml:space="preserve">Prefect of the </t>
    </r>
    <r>
      <rPr>
        <color rgb="FF1155CC"/>
        <u/>
      </rPr>
      <t>Congregation for the Oriental Churches</t>
    </r>
    <r>
      <rPr/>
      <t xml:space="preserve">
(</t>
    </r>
    <r>
      <rPr>
        <color rgb="FF1155CC"/>
        <u/>
      </rPr>
      <t>Syriac Church</t>
    </r>
    <r>
      <rPr/>
      <t>)</t>
    </r>
  </si>
  <si>
    <r>
      <rPr>
        <color rgb="FF1155CC"/>
        <u/>
      </rPr>
      <t>William Wakefield Baum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</si>
  <si>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</si>
  <si>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</si>
  <si>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Major Penitentiary emeritus</t>
    </r>
  </si>
  <si>
    <r>
      <rPr>
        <color rgb="FF1155CC"/>
        <u/>
      </rPr>
      <t>Marco Cé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</si>
  <si>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</si>
  <si>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</si>
  <si>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Patriarch emeritus of Venice</t>
    </r>
  </si>
  <si>
    <r>
      <rPr>
        <color rgb="FF1155CC"/>
        <u/>
      </rPr>
      <t>Franciszek Macharski</t>
    </r>
  </si>
  <si>
    <r>
      <rPr>
        <color rgb="FF1155CC"/>
        <u/>
      </rPr>
      <t>Poland</t>
    </r>
  </si>
  <si>
    <r>
      <rPr>
        <color rgb="FF1155CC"/>
        <u/>
      </rPr>
      <t>CP</t>
    </r>
  </si>
  <si>
    <r>
      <rPr>
        <color rgb="FF1155CC"/>
        <u/>
      </rPr>
      <t>Archbishop of Kraków</t>
    </r>
  </si>
  <si>
    <r>
      <rPr>
        <color rgb="FF1155CC"/>
        <u/>
      </rPr>
      <t>Michael Michai Kitbunchu</t>
    </r>
  </si>
  <si>
    <r>
      <rPr>
        <color rgb="FF1155CC"/>
        <u/>
      </rPr>
      <t>Thailand</t>
    </r>
  </si>
  <si>
    <r>
      <rPr>
        <color rgb="FF1155CC"/>
        <u/>
      </rPr>
      <t>CP</t>
    </r>
  </si>
  <si>
    <r>
      <rPr>
        <color rgb="FF1155CC"/>
        <u/>
      </rPr>
      <t>Archbishop of Bangkok</t>
    </r>
  </si>
  <si>
    <r>
      <rPr>
        <color rgb="FF1155CC"/>
        <u/>
      </rPr>
      <t>Godfried Danneels</t>
    </r>
  </si>
  <si>
    <r>
      <rPr>
        <color rgb="FF1155CC"/>
        <u/>
      </rPr>
      <t>Belgium</t>
    </r>
  </si>
  <si>
    <r>
      <rPr>
        <color rgb="FF1155CC"/>
        <u/>
      </rPr>
      <t>CP</t>
    </r>
  </si>
  <si>
    <r>
      <rPr>
        <color rgb="FF1155CC"/>
        <u/>
      </rPr>
      <t>Archbishop of Mechelen–Brussels</t>
    </r>
  </si>
  <si>
    <r>
      <rPr>
        <color rgb="FF1155CC"/>
        <u/>
      </rPr>
      <t>Thomas Stafford Williams</t>
    </r>
  </si>
  <si>
    <r>
      <rPr>
        <color rgb="FF1155CC"/>
        <u/>
      </rPr>
      <t>New Zealand</t>
    </r>
  </si>
  <si>
    <r>
      <rPr>
        <color rgb="FF1155CC"/>
        <u/>
      </rPr>
      <t>CP</t>
    </r>
  </si>
  <si>
    <r>
      <rPr>
        <color rgb="FF1155CC"/>
        <u/>
      </rPr>
      <t>Archbishop emeritus of Wellington</t>
    </r>
  </si>
  <si>
    <r>
      <rPr>
        <color rgb="FF1155CC"/>
        <u/>
      </rPr>
      <t>Carlo Maria Martini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</si>
  <si>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</si>
  <si>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</si>
  <si>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Milan</t>
    </r>
  </si>
  <si>
    <r>
      <rPr>
        <color rgb="FF1155CC"/>
        <u/>
      </rPr>
      <t>Jean-Marie Lustiger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</si>
  <si>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</si>
  <si>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</si>
  <si>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emeritus of Paris</t>
    </r>
  </si>
  <si>
    <r>
      <rPr>
        <color rgb="FF1155CC"/>
        <u/>
      </rPr>
      <t>Józef Glemp</t>
    </r>
  </si>
  <si>
    <r>
      <rPr>
        <color rgb="FF1155CC"/>
        <u/>
      </rPr>
      <t>Poland</t>
    </r>
  </si>
  <si>
    <r>
      <rPr>
        <color rgb="FF1155CC"/>
        <u/>
      </rPr>
      <t>CP</t>
    </r>
  </si>
  <si>
    <r>
      <rPr>
        <color rgb="FF1155CC"/>
        <u/>
      </rPr>
      <t>Archbishop of Warsaw</t>
    </r>
  </si>
  <si>
    <r>
      <rPr>
        <color rgb="FF1155CC"/>
        <u/>
      </rPr>
      <t>Joachim Meisner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</si>
  <si>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</si>
  <si>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</si>
  <si>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rPr>
        <color rgb="FF1155CC"/>
        <u/>
      </rPr>
      <t>Archbishop of Cologne</t>
    </r>
  </si>
  <si>
    <r>
      <rPr>
        <color rgb="FF1155CC"/>
        <u/>
      </rPr>
      <t>Francis Arinze</t>
    </r>
  </si>
  <si>
    <r>
      <rPr>
        <color rgb="FF1155CC"/>
        <u/>
      </rPr>
      <t>Nigeria</t>
    </r>
  </si>
  <si>
    <r>
      <rPr>
        <color rgb="FF1155CC"/>
        <u/>
      </rPr>
      <t>CP</t>
    </r>
  </si>
  <si>
    <r>
      <t xml:space="preserve">Prefect of the </t>
    </r>
    <r>
      <rPr>
        <color rgb="FF1155CC"/>
        <u/>
      </rPr>
      <t>Congregation for Divine Worship and the Discipline of the Sacraments</t>
    </r>
  </si>
  <si>
    <r>
      <rPr>
        <color rgb="FF1155CC"/>
        <u/>
      </rPr>
      <t>Miguel Obando Bravo</t>
    </r>
    <r>
      <rPr/>
      <t xml:space="preserve"> </t>
    </r>
  </si>
  <si>
    <r>
      <rPr>
        <color rgb="FF1155CC"/>
        <u/>
      </rPr>
      <t>Nicaragua</t>
    </r>
  </si>
  <si>
    <r>
      <rPr>
        <color rgb="FF1155CC"/>
        <u/>
      </rPr>
      <t>CP</t>
    </r>
  </si>
  <si>
    <r>
      <rPr>
        <color rgb="FF1155CC"/>
        <u/>
      </rPr>
      <t>Archbishop emeritus of Managua</t>
    </r>
  </si>
  <si>
    <r>
      <rPr>
        <color rgb="FF1155CC"/>
        <u/>
      </rPr>
      <t>Ricardo Jamin Vidal</t>
    </r>
  </si>
  <si>
    <r>
      <rPr>
        <color rgb="FF1155CC"/>
        <u/>
      </rPr>
      <t>Philippines</t>
    </r>
  </si>
  <si>
    <r>
      <rPr>
        <color rgb="FF1155CC"/>
        <u/>
      </rPr>
      <t>CP</t>
    </r>
  </si>
  <si>
    <r>
      <rPr>
        <color rgb="FF1155CC"/>
        <u/>
      </rPr>
      <t>Archbishop of Cebu</t>
    </r>
  </si>
  <si>
    <r>
      <rPr>
        <color rgb="FF1155CC"/>
        <u/>
      </rPr>
      <t>Paul Poupard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</si>
  <si>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</si>
  <si>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</si>
  <si>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t xml:space="preserve">President of the </t>
    </r>
    <r>
      <rPr>
        <color rgb="FF1155CC"/>
        <u/>
      </rPr>
      <t>Pontifical Council for Culture</t>
    </r>
  </si>
  <si>
    <r>
      <rPr>
        <color rgb="FF1155CC"/>
        <u/>
      </rPr>
      <t>Friedrich Wetter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</si>
  <si>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</si>
  <si>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</si>
  <si>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rPr>
        <color rgb="FF1155CC"/>
        <u/>
      </rPr>
      <t>Archbishop of Munich and Freising</t>
    </r>
  </si>
  <si>
    <r>
      <rPr>
        <color rgb="FF1155CC"/>
        <u/>
      </rPr>
      <t>Adrianus Johannes Simonis</t>
    </r>
  </si>
  <si>
    <r>
      <rPr>
        <color rgb="FF1155CC"/>
        <u/>
      </rPr>
      <t>Netherlands</t>
    </r>
  </si>
  <si>
    <r>
      <rPr>
        <color rgb="FF1155CC"/>
        <u/>
      </rPr>
      <t>CP</t>
    </r>
  </si>
  <si>
    <r>
      <rPr>
        <color rgb="FF1155CC"/>
        <u/>
      </rPr>
      <t>Archbishop of Utrecht</t>
    </r>
  </si>
  <si>
    <r>
      <rPr>
        <color rgb="FF1155CC"/>
        <u/>
      </rPr>
      <t>Bernard Francis Law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</si>
  <si>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</si>
  <si>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</si>
  <si>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t xml:space="preserve">Archpriest of the </t>
    </r>
    <r>
      <rPr>
        <color rgb="FF1155CC"/>
        <u/>
      </rPr>
      <t>Papal Basilica of Saint Mary Major</t>
    </r>
  </si>
  <si>
    <r>
      <rPr>
        <color rgb="FF1155CC"/>
        <u/>
      </rPr>
      <t>Giacomo Biffi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</si>
  <si>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</si>
  <si>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</si>
  <si>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Bologna</t>
    </r>
  </si>
  <si>
    <r>
      <rPr>
        <color rgb="FF1155CC"/>
        <u/>
      </rPr>
      <t>Eduardo Martínez Somalo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</si>
  <si>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</si>
  <si>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</si>
  <si>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t xml:space="preserve">Prefect emeritus of the </t>
    </r>
    <r>
      <rPr>
        <color rgb="FF1155CC"/>
        <u/>
      </rPr>
      <t>Congregation for Institutes of Consecrated Life and Societies of Apostolic Life</t>
    </r>
    <r>
      <rPr/>
      <t xml:space="preserve"> and </t>
    </r>
    <r>
      <rPr>
        <color rgb="FF1155CC"/>
        <u/>
      </rPr>
      <t>Camerlengo of the Holy Roman Church</t>
    </r>
  </si>
  <si>
    <r>
      <rPr>
        <color rgb="FF1155CC"/>
        <u/>
      </rPr>
      <t>José Freire Falcão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</si>
  <si>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</si>
  <si>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</si>
  <si>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emeritus of Brasília</t>
    </r>
  </si>
  <si>
    <r>
      <rPr>
        <color rgb="FF1155CC"/>
        <u/>
      </rPr>
      <t>Michele Giordano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</si>
  <si>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</si>
  <si>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</si>
  <si>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Naples</t>
    </r>
  </si>
  <si>
    <r>
      <rPr>
        <color rgb="FF1155CC"/>
        <u/>
      </rPr>
      <t>Edmund Casimir Szoka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</si>
  <si>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</si>
  <si>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</si>
  <si>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t xml:space="preserve">President of the </t>
    </r>
    <r>
      <rPr>
        <color rgb="FF1155CC"/>
        <u/>
      </rPr>
      <t>Pontifical Commission for Vatican City State</t>
    </r>
  </si>
  <si>
    <r>
      <rPr>
        <color rgb="FF1155CC"/>
        <u/>
      </rPr>
      <t>László Paskai</t>
    </r>
    <r>
      <rPr/>
      <t xml:space="preserve"> </t>
    </r>
  </si>
  <si>
    <r>
      <rPr>
        <color rgb="FF1155CC"/>
        <u/>
      </rPr>
      <t>Hungary</t>
    </r>
  </si>
  <si>
    <r>
      <rPr>
        <color rgb="FF1155CC"/>
        <u/>
      </rPr>
      <t>CP</t>
    </r>
  </si>
  <si>
    <r>
      <rPr>
        <color rgb="FF1155CC"/>
        <u/>
      </rPr>
      <t>Archbishop emeritus of Esztergom–Budapest</t>
    </r>
  </si>
  <si>
    <r>
      <rPr>
        <color rgb="FF1155CC"/>
        <u/>
      </rPr>
      <t>Christian Wiyghan Tumi</t>
    </r>
  </si>
  <si>
    <r>
      <rPr>
        <color rgb="FF1155CC"/>
        <u/>
      </rPr>
      <t>Cameroon</t>
    </r>
  </si>
  <si>
    <r>
      <rPr>
        <color rgb="FF1155CC"/>
        <u/>
      </rPr>
      <t>CP</t>
    </r>
  </si>
  <si>
    <r>
      <rPr>
        <color rgb="FF1155CC"/>
        <u/>
      </rPr>
      <t>Archbishop of Douala</t>
    </r>
  </si>
  <si>
    <r>
      <rPr>
        <color rgb="FF1155CC"/>
        <u/>
      </rPr>
      <t>Frédéric Etsou-Nzabi-Bamungwabi</t>
    </r>
    <r>
      <rPr/>
      <t xml:space="preserve"> </t>
    </r>
    <r>
      <rPr>
        <color rgb="FF1155CC"/>
        <u/>
      </rPr>
      <t>CICM</t>
    </r>
  </si>
  <si>
    <r>
      <rPr>
        <color rgb="FF1155CC"/>
        <u/>
      </rPr>
      <t>Democratic Republic of the Congo</t>
    </r>
  </si>
  <si>
    <r>
      <rPr>
        <color rgb="FF1155CC"/>
        <u/>
      </rPr>
      <t>CP</t>
    </r>
  </si>
  <si>
    <r>
      <rPr>
        <color rgb="FF1155CC"/>
        <u/>
      </rPr>
      <t>Archbishop of Kinshasa</t>
    </r>
  </si>
  <si>
    <r>
      <rPr>
        <color rgb="FF1155CC"/>
        <u/>
      </rPr>
      <t>Nicolás de Jesús López Rodríguez</t>
    </r>
  </si>
  <si>
    <r>
      <rPr>
        <color rgb="FF1155CC"/>
        <u/>
      </rPr>
      <t>Dominican Republic</t>
    </r>
  </si>
  <si>
    <r>
      <rPr>
        <color rgb="FF1155CC"/>
        <u/>
      </rPr>
      <t>CP</t>
    </r>
  </si>
  <si>
    <r>
      <rPr>
        <color rgb="FF1155CC"/>
        <u/>
      </rPr>
      <t>Archbishop of Santo Domingo</t>
    </r>
  </si>
  <si>
    <r>
      <rPr>
        <color rgb="FF1155CC"/>
        <u/>
      </rPr>
      <t>Roger Michael Mahony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</si>
  <si>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</si>
  <si>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</si>
  <si>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Los Angeles</t>
    </r>
  </si>
  <si>
    <r>
      <rPr>
        <color rgb="FF1155CC"/>
        <u/>
      </rPr>
      <t>Camillo Ruini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</si>
  <si>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</si>
  <si>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</si>
  <si>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Vicar General for Rome</t>
    </r>
    <r>
      <rPr/>
      <t xml:space="preserve"> and Archpriest of the </t>
    </r>
    <r>
      <rPr>
        <color rgb="FF1155CC"/>
        <u/>
      </rPr>
      <t>Papal Basilica of Saint John Lateran</t>
    </r>
  </si>
  <si>
    <r>
      <rPr>
        <color rgb="FF1155CC"/>
        <u/>
      </rPr>
      <t>Henri Schwery</t>
    </r>
  </si>
  <si>
    <r>
      <rPr>
        <color rgb="FF1155CC"/>
        <u/>
      </rPr>
      <t>Switzerland</t>
    </r>
  </si>
  <si>
    <r>
      <rPr>
        <color rgb="FF1155CC"/>
        <u/>
      </rPr>
      <t>CP</t>
    </r>
  </si>
  <si>
    <r>
      <rPr>
        <color rgb="FF1155CC"/>
        <u/>
      </rPr>
      <t>Bishop emeritus of Sion</t>
    </r>
  </si>
  <si>
    <r>
      <rPr>
        <color rgb="FF1155CC"/>
        <u/>
      </rPr>
      <t>Georg Maximilian Sterzinsky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</si>
  <si>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</si>
  <si>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</si>
  <si>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rPr>
        <color rgb="FF1155CC"/>
        <u/>
      </rPr>
      <t>Archbishop of Berlin</t>
    </r>
  </si>
  <si>
    <r>
      <rPr>
        <color rgb="FF1155CC"/>
        <u/>
      </rPr>
      <t>Miloslav Vlk</t>
    </r>
  </si>
  <si>
    <r>
      <rPr>
        <color rgb="FF1155CC"/>
        <u/>
      </rPr>
      <t>Czech Republic</t>
    </r>
  </si>
  <si>
    <r>
      <rPr>
        <color rgb="FF1155CC"/>
        <u/>
      </rPr>
      <t>CP</t>
    </r>
  </si>
  <si>
    <r>
      <rPr>
        <color rgb="FF1155CC"/>
        <u/>
      </rPr>
      <t>Archbishop of Prague</t>
    </r>
  </si>
  <si>
    <r>
      <rPr>
        <color rgb="FF1155CC"/>
        <u/>
      </rPr>
      <t>Peter Seiichi Shirayanagi</t>
    </r>
  </si>
  <si>
    <r>
      <rPr>
        <color rgb="FF1155CC"/>
        <u/>
      </rPr>
      <t>Japan</t>
    </r>
  </si>
  <si>
    <r>
      <rPr>
        <color rgb="FF1155CC"/>
        <u/>
      </rPr>
      <t>CP</t>
    </r>
  </si>
  <si>
    <r>
      <rPr>
        <color rgb="FF1155CC"/>
        <u/>
      </rPr>
      <t>Archbishop emeritus of Tokyo</t>
    </r>
  </si>
  <si>
    <r>
      <rPr>
        <color rgb="FF1155CC"/>
        <u/>
      </rPr>
      <t>Julius Darmaatmadja</t>
    </r>
    <r>
      <rPr/>
      <t xml:space="preserve"> </t>
    </r>
  </si>
  <si>
    <r>
      <rPr>
        <color rgb="FF1155CC"/>
        <u/>
      </rPr>
      <t>Indonesia</t>
    </r>
  </si>
  <si>
    <r>
      <rPr>
        <color rgb="FF1155CC"/>
        <u/>
      </rPr>
      <t>CP</t>
    </r>
  </si>
  <si>
    <r>
      <rPr>
        <color rgb="FF1155CC"/>
        <u/>
      </rPr>
      <t>Archbishop of Jakarta</t>
    </r>
  </si>
  <si>
    <r>
      <rPr>
        <color rgb="FF1155CC"/>
        <u/>
      </rPr>
      <t>Jaime Lucas Ortega y Alamino</t>
    </r>
  </si>
  <si>
    <r>
      <rPr>
        <color rgb="FF1155CC"/>
        <u/>
      </rPr>
      <t>Cuba</t>
    </r>
  </si>
  <si>
    <r>
      <rPr>
        <color rgb="FF1155CC"/>
        <u/>
      </rPr>
      <t>CP</t>
    </r>
  </si>
  <si>
    <r>
      <rPr>
        <color rgb="FF1155CC"/>
        <u/>
      </rPr>
      <t>Archbishop of San Cristóbal de la Habana</t>
    </r>
  </si>
  <si>
    <r>
      <rPr>
        <color rgb="FF1155CC"/>
        <u/>
      </rPr>
      <t>Emmanuel Wamala</t>
    </r>
  </si>
  <si>
    <r>
      <rPr>
        <color rgb="FF1155CC"/>
        <u/>
      </rPr>
      <t>Uganda</t>
    </r>
  </si>
  <si>
    <r>
      <rPr>
        <color rgb="FF1155CC"/>
        <u/>
      </rPr>
      <t>CP</t>
    </r>
  </si>
  <si>
    <r>
      <rPr>
        <color rgb="FF1155CC"/>
        <u/>
      </rPr>
      <t>Archbishop of Kampala</t>
    </r>
  </si>
  <si>
    <r>
      <rPr>
        <color rgb="FF1155CC"/>
        <u/>
      </rPr>
      <t>William Henry Keeler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</si>
  <si>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</si>
  <si>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</si>
  <si>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Baltimore</t>
    </r>
  </si>
  <si>
    <r>
      <rPr>
        <color rgb="FF1155CC"/>
        <u/>
      </rPr>
      <t>Jean-Claude Turcotte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</si>
  <si>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</si>
  <si>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</si>
  <si>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rPr>
        <color rgb="FF1155CC"/>
        <u/>
      </rPr>
      <t>Archbishop of Montreal</t>
    </r>
  </si>
  <si>
    <r>
      <rPr>
        <color rgb="FF1155CC"/>
        <u/>
      </rPr>
      <t>Ricardo María Carles Gordó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</si>
  <si>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</si>
  <si>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</si>
  <si>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emeritus of Barcelona</t>
    </r>
  </si>
  <si>
    <r>
      <rPr>
        <color rgb="FF1155CC"/>
        <u/>
      </rPr>
      <t>Adam Joseph Maida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</si>
  <si>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</si>
  <si>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</si>
  <si>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Detroit</t>
    </r>
  </si>
  <si>
    <r>
      <rPr>
        <color rgb="FF1155CC"/>
        <u/>
      </rPr>
      <t>Vinko Puljić</t>
    </r>
  </si>
  <si>
    <r>
      <rPr>
        <color rgb="FF1155CC"/>
        <u/>
      </rPr>
      <t>Bosnia and Herzegovina</t>
    </r>
  </si>
  <si>
    <r>
      <rPr>
        <color rgb="FF1155CC"/>
        <u/>
      </rPr>
      <t>CP</t>
    </r>
  </si>
  <si>
    <r>
      <rPr>
        <color rgb="FF1155CC"/>
        <u/>
      </rPr>
      <t>Archbishop of Vrhbosna</t>
    </r>
  </si>
  <si>
    <r>
      <rPr>
        <color rgb="FF1155CC"/>
        <u/>
      </rPr>
      <t>Armand Gaetan Razafindratandra</t>
    </r>
  </si>
  <si>
    <r>
      <rPr>
        <color rgb="FF1155CC"/>
        <u/>
      </rPr>
      <t>Madagascar</t>
    </r>
  </si>
  <si>
    <r>
      <rPr>
        <color rgb="FF1155CC"/>
        <u/>
      </rPr>
      <t>CP</t>
    </r>
  </si>
  <si>
    <r>
      <rPr>
        <color rgb="FF1155CC"/>
        <u/>
      </rPr>
      <t>Archbishop of Antananarivo</t>
    </r>
  </si>
  <si>
    <r>
      <rPr>
        <color rgb="FF1155CC"/>
        <u/>
      </rPr>
      <t>Juan Sandoval Íñiguez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</si>
  <si>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</si>
  <si>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</si>
  <si>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Archbishop of Guadalajara</t>
    </r>
  </si>
  <si>
    <r>
      <rPr>
        <color rgb="FF1155CC"/>
        <u/>
      </rPr>
      <t>Salvatore De Giorgi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</si>
  <si>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</si>
  <si>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</si>
  <si>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Palermo</t>
    </r>
  </si>
  <si>
    <r>
      <rPr>
        <color rgb="FF1155CC"/>
        <u/>
      </rPr>
      <t>Antonio María Rouco Varela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</si>
  <si>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</si>
  <si>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</si>
  <si>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of Madrid</t>
    </r>
  </si>
  <si>
    <r>
      <rPr>
        <color rgb="FF1155CC"/>
        <u/>
      </rPr>
      <t>Aloysius Matthew Ambrozic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</si>
  <si>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</si>
  <si>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</si>
  <si>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rPr>
        <color rgb="FF1155CC"/>
        <u/>
      </rPr>
      <t>Archbishop of Toronto</t>
    </r>
  </si>
  <si>
    <r>
      <rPr>
        <color rgb="FF1155CC"/>
        <u/>
      </rPr>
      <t>Dionigi Tettamanzi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</si>
  <si>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</si>
  <si>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</si>
  <si>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Milan</t>
    </r>
  </si>
  <si>
    <r>
      <rPr>
        <color rgb="FF1155CC"/>
        <u/>
      </rPr>
      <t>Polycarp Pengo</t>
    </r>
  </si>
  <si>
    <r>
      <rPr>
        <color rgb="FF1155CC"/>
        <u/>
      </rPr>
      <t>Tanzania</t>
    </r>
  </si>
  <si>
    <r>
      <rPr>
        <color rgb="FF1155CC"/>
        <u/>
      </rPr>
      <t>CP</t>
    </r>
  </si>
  <si>
    <r>
      <rPr>
        <color rgb="FF1155CC"/>
        <u/>
      </rPr>
      <t>Archbishop of Dar-es-Salaam</t>
    </r>
  </si>
  <si>
    <r>
      <rPr>
        <color rgb="FF1155CC"/>
        <u/>
      </rPr>
      <t>Christoph Schönborn</t>
    </r>
    <r>
      <rPr/>
      <t xml:space="preserve"> </t>
    </r>
  </si>
  <si>
    <r>
      <rPr>
        <color rgb="FF1155CC"/>
        <u/>
      </rPr>
      <t>Austria</t>
    </r>
  </si>
  <si>
    <r>
      <rPr>
        <color rgb="FF1155CC"/>
        <u/>
      </rPr>
      <t>CP</t>
    </r>
  </si>
  <si>
    <r>
      <rPr>
        <color rgb="FF1155CC"/>
        <u/>
      </rPr>
      <t>Archbishop of Vienna</t>
    </r>
  </si>
  <si>
    <r>
      <rPr>
        <color rgb="FF1155CC"/>
        <u/>
      </rPr>
      <t>Norberto Rivera Carrera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</si>
  <si>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</si>
  <si>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</si>
  <si>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Archbishop of Mexico</t>
    </r>
  </si>
  <si>
    <r>
      <rPr>
        <color rgb="FF1155CC"/>
        <u/>
      </rPr>
      <t>Francis Eugene George</t>
    </r>
    <r>
      <rPr/>
      <t xml:space="preserve"> 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</si>
  <si>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</si>
  <si>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</si>
  <si>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Chicago</t>
    </r>
  </si>
  <si>
    <r>
      <rPr>
        <color rgb="FF1155CC"/>
        <u/>
      </rPr>
      <t>Marian Jaworski</t>
    </r>
  </si>
  <si>
    <r>
      <rPr>
        <color rgb="FF1155CC"/>
        <u/>
      </rPr>
      <t>Poland</t>
    </r>
    <r>
      <rPr/>
      <t/>
    </r>
    <r>
      <rPr>
        <color rgb="FF1155CC"/>
        <u/>
      </rPr>
      <t>[</t>
    </r>
    <r>
      <rPr>
        <color rgb="FF1155CC"/>
        <u/>
      </rPr>
      <t>a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</si>
  <si>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</si>
  <si>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Archbishop of Lviv</t>
    </r>
  </si>
  <si>
    <r>
      <rPr>
        <color rgb="FF1155CC"/>
        <u/>
      </rPr>
      <t>Jānis Pujats</t>
    </r>
  </si>
  <si>
    <r>
      <rPr>
        <color rgb="FF1155CC"/>
        <u/>
      </rPr>
      <t>Latvia</t>
    </r>
  </si>
  <si>
    <r>
      <rPr>
        <color rgb="FF1155CC"/>
        <u/>
      </rPr>
      <t>CP</t>
    </r>
  </si>
  <si>
    <r>
      <rPr>
        <color rgb="FF1155CC"/>
        <u/>
      </rPr>
      <t>Archbishop of Riga</t>
    </r>
  </si>
  <si>
    <r>
      <rPr>
        <color rgb="FF1155CC"/>
        <u/>
      </rPr>
      <t>Ivan Dias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</si>
  <si>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</si>
  <si>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</si>
  <si>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Archbishop of Bombay</t>
    </r>
  </si>
  <si>
    <r>
      <rPr>
        <color rgb="FF1155CC"/>
        <u/>
      </rPr>
      <t>Geraldo Majella Agnelo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</si>
  <si>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</si>
  <si>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</si>
  <si>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São Salvador da Bahia</t>
    </r>
  </si>
  <si>
    <r>
      <rPr>
        <color rgb="FF1155CC"/>
        <u/>
      </rPr>
      <t>Pedro Rubiano Sáenz</t>
    </r>
  </si>
  <si>
    <r>
      <rPr>
        <color rgb="FF1155CC"/>
        <u/>
      </rPr>
      <t>Colombia</t>
    </r>
  </si>
  <si>
    <r>
      <rPr>
        <color rgb="FF1155CC"/>
        <u/>
      </rPr>
      <t>CP</t>
    </r>
  </si>
  <si>
    <r>
      <rPr>
        <color rgb="FF1155CC"/>
        <u/>
      </rPr>
      <t>Archbishop of Bogotá</t>
    </r>
  </si>
  <si>
    <r>
      <rPr>
        <color rgb="FF1155CC"/>
        <u/>
      </rPr>
      <t>Theodore Edgar McCarrick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</si>
  <si>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</si>
  <si>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</si>
  <si>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Washington</t>
    </r>
  </si>
  <si>
    <r>
      <rPr>
        <color rgb="FF1155CC"/>
        <u/>
      </rPr>
      <t>Desmond Connell</t>
    </r>
  </si>
  <si>
    <r>
      <rPr>
        <color rgb="FF1155CC"/>
        <u/>
      </rPr>
      <t>Ireland</t>
    </r>
  </si>
  <si>
    <r>
      <rPr>
        <color rgb="FF1155CC"/>
        <u/>
      </rPr>
      <t>CP</t>
    </r>
  </si>
  <si>
    <r>
      <rPr>
        <color rgb="FF1155CC"/>
        <u/>
      </rPr>
      <t>Archbishop emeritus of Dublin</t>
    </r>
  </si>
  <si>
    <r>
      <rPr>
        <color rgb="FF1155CC"/>
        <u/>
      </rPr>
      <t>Audrys Juozas Bačkis</t>
    </r>
  </si>
  <si>
    <r>
      <rPr>
        <color rgb="FF1155CC"/>
        <u/>
      </rPr>
      <t>Lithuania</t>
    </r>
  </si>
  <si>
    <r>
      <rPr>
        <color rgb="FF1155CC"/>
        <u/>
      </rPr>
      <t>CP</t>
    </r>
  </si>
  <si>
    <r>
      <rPr>
        <color rgb="FF1155CC"/>
        <u/>
      </rPr>
      <t>Archbishop of Vilnius</t>
    </r>
  </si>
  <si>
    <r>
      <rPr>
        <color rgb="FF1155CC"/>
        <u/>
      </rPr>
      <t>Francisco Javier Errázuriz Ossa</t>
    </r>
    <r>
      <rPr/>
      <t xml:space="preserve"> </t>
    </r>
  </si>
  <si>
    <r>
      <rPr>
        <color rgb="FF1155CC"/>
        <u/>
      </rPr>
      <t>Chile</t>
    </r>
  </si>
  <si>
    <r>
      <rPr>
        <color rgb="FF1155CC"/>
        <u/>
      </rPr>
      <t>CP</t>
    </r>
  </si>
  <si>
    <r>
      <rPr>
        <color rgb="FF1155CC"/>
        <u/>
      </rPr>
      <t>Archbishop of Santiago de Chile</t>
    </r>
  </si>
  <si>
    <r>
      <rPr>
        <color rgb="FF1155CC"/>
        <u/>
      </rPr>
      <t>Julio Terrazas Sandoval</t>
    </r>
    <r>
      <rPr/>
      <t xml:space="preserve"> </t>
    </r>
  </si>
  <si>
    <r>
      <rPr>
        <color rgb="FF1155CC"/>
        <u/>
      </rPr>
      <t>Bolivia</t>
    </r>
  </si>
  <si>
    <r>
      <rPr>
        <color rgb="FF1155CC"/>
        <u/>
      </rPr>
      <t>CP</t>
    </r>
  </si>
  <si>
    <r>
      <rPr>
        <color rgb="FF1155CC"/>
        <u/>
      </rPr>
      <t>Archbishop of Santa Cruz de la Sierra</t>
    </r>
  </si>
  <si>
    <r>
      <rPr>
        <color rgb="FF1155CC"/>
        <u/>
      </rPr>
      <t>Wilfrid Fox Napier</t>
    </r>
    <r>
      <rPr/>
      <t xml:space="preserve"> </t>
    </r>
  </si>
  <si>
    <r>
      <rPr>
        <color rgb="FF1155CC"/>
        <u/>
      </rPr>
      <t>South Africa</t>
    </r>
  </si>
  <si>
    <r>
      <rPr>
        <color rgb="FF1155CC"/>
        <u/>
      </rPr>
      <t>CP</t>
    </r>
  </si>
  <si>
    <r>
      <rPr>
        <color rgb="FF1155CC"/>
        <u/>
      </rPr>
      <t>Archbishop of Durban</t>
    </r>
  </si>
  <si>
    <r>
      <rPr>
        <color rgb="FF1155CC"/>
        <u/>
      </rPr>
      <t>Óscar Andrés Rodríguez Maradiaga</t>
    </r>
    <r>
      <rPr/>
      <t xml:space="preserve"> </t>
    </r>
  </si>
  <si>
    <r>
      <rPr>
        <color rgb="FF1155CC"/>
        <u/>
      </rPr>
      <t>Honduras</t>
    </r>
  </si>
  <si>
    <r>
      <rPr>
        <color rgb="FF1155CC"/>
        <u/>
      </rPr>
      <t>CP</t>
    </r>
  </si>
  <si>
    <r>
      <rPr>
        <color rgb="FF1155CC"/>
        <u/>
      </rPr>
      <t>Archbishop of Tegucigalpa</t>
    </r>
  </si>
  <si>
    <r>
      <rPr>
        <color rgb="FF1155CC"/>
        <u/>
      </rPr>
      <t>Bernard Agré</t>
    </r>
  </si>
  <si>
    <r>
      <rPr>
        <color rgb="FF1155CC"/>
        <u/>
      </rPr>
      <t>Ivory Coast</t>
    </r>
  </si>
  <si>
    <r>
      <rPr>
        <color rgb="FF1155CC"/>
        <u/>
      </rPr>
      <t>CP</t>
    </r>
  </si>
  <si>
    <r>
      <rPr>
        <color rgb="FF1155CC"/>
        <u/>
      </rPr>
      <t>Archbishop of Abidjan</t>
    </r>
  </si>
  <si>
    <r>
      <rPr>
        <color rgb="FF1155CC"/>
        <u/>
      </rPr>
      <t>Juan Luis Cipriani Thorne</t>
    </r>
  </si>
  <si>
    <r>
      <rPr>
        <color rgb="FF1155CC"/>
        <u/>
      </rPr>
      <t>Peru</t>
    </r>
  </si>
  <si>
    <r>
      <rPr>
        <color rgb="FF1155CC"/>
        <u/>
      </rPr>
      <t>CP</t>
    </r>
  </si>
  <si>
    <r>
      <rPr>
        <color rgb="FF1155CC"/>
        <u/>
      </rPr>
      <t>Archbishop of Lima</t>
    </r>
  </si>
  <si>
    <r>
      <rPr>
        <color rgb="FF1155CC"/>
        <u/>
      </rPr>
      <t>Francisco Álvarez Martínez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</si>
  <si>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</si>
  <si>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</si>
  <si>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emeritus of Toledo</t>
    </r>
  </si>
  <si>
    <r>
      <rPr>
        <color rgb="FF1155CC"/>
        <u/>
      </rPr>
      <t>Cláudio Hummes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</si>
  <si>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</si>
  <si>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</si>
  <si>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São Paulo</t>
    </r>
  </si>
  <si>
    <r>
      <rPr>
        <color rgb="FF1155CC"/>
        <u/>
      </rPr>
      <t>Varkey Vithayathil</t>
    </r>
    <r>
      <rPr/>
      <t xml:space="preserve"> 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</si>
  <si>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</si>
  <si>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</si>
  <si>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Major Archbishop of Ernakulam–Angamaly</t>
    </r>
    <r>
      <rPr/>
      <t xml:space="preserve">
(</t>
    </r>
    <r>
      <rPr>
        <color rgb="FF1155CC"/>
        <u/>
      </rPr>
      <t>Syro-Malabar Church</t>
    </r>
    <r>
      <rPr/>
      <t>)</t>
    </r>
  </si>
  <si>
    <r>
      <rPr>
        <color rgb="FF1155CC"/>
        <u/>
      </rPr>
      <t>Jorge Mario Bergoglio</t>
    </r>
    <r>
      <rPr/>
      <t xml:space="preserve"> </t>
    </r>
  </si>
  <si>
    <r>
      <rPr>
        <color rgb="FF1155CC"/>
        <u/>
      </rPr>
      <t>Argentina</t>
    </r>
  </si>
  <si>
    <r>
      <rPr>
        <color rgb="FF1155CC"/>
        <u/>
      </rPr>
      <t>CP</t>
    </r>
  </si>
  <si>
    <r>
      <rPr>
        <color rgb="FF1155CC"/>
        <u/>
      </rPr>
      <t>Archbishop of Buenos Aires</t>
    </r>
  </si>
  <si>
    <r>
      <rPr>
        <color rgb="FF1155CC"/>
        <u/>
      </rPr>
      <t>José da Cruz Policarpo</t>
    </r>
  </si>
  <si>
    <r>
      <rPr>
        <color rgb="FF1155CC"/>
        <u/>
      </rPr>
      <t>Portugal</t>
    </r>
  </si>
  <si>
    <r>
      <rPr>
        <color rgb="FF1155CC"/>
        <u/>
      </rPr>
      <t>CP</t>
    </r>
  </si>
  <si>
    <r>
      <rPr>
        <color rgb="FF1155CC"/>
        <u/>
      </rPr>
      <t>Patriarch of Lisbon</t>
    </r>
  </si>
  <si>
    <r>
      <rPr>
        <color rgb="FF1155CC"/>
        <u/>
      </rPr>
      <t>Severino Poletto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</si>
  <si>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</si>
  <si>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</si>
  <si>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Turin</t>
    </r>
  </si>
  <si>
    <r>
      <rPr>
        <color rgb="FF1155CC"/>
        <u/>
      </rPr>
      <t>Cormac Murphy-O'Connor</t>
    </r>
  </si>
  <si>
    <r>
      <rPr>
        <color rgb="FF1155CC"/>
        <u/>
      </rPr>
      <t>United Kingdom</t>
    </r>
  </si>
  <si>
    <r>
      <rPr>
        <color rgb="FF1155CC"/>
        <u/>
      </rPr>
      <t>CP</t>
    </r>
  </si>
  <si>
    <r>
      <rPr>
        <color rgb="FF1155CC"/>
        <u/>
      </rPr>
      <t>Archbishop of Westminster</t>
    </r>
  </si>
  <si>
    <r>
      <rPr>
        <color rgb="FF1155CC"/>
        <u/>
      </rPr>
      <t>Edward Michael Egan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</si>
  <si>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</si>
  <si>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</si>
  <si>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New York</t>
    </r>
  </si>
  <si>
    <r>
      <rPr>
        <color rgb="FF1155CC"/>
        <u/>
      </rPr>
      <t>Lubomyr Husar</t>
    </r>
    <r>
      <rPr/>
      <t xml:space="preserve"> </t>
    </r>
  </si>
  <si>
    <r>
      <rPr>
        <color rgb="FF1155CC"/>
        <u/>
      </rPr>
      <t>Ukraine</t>
    </r>
  </si>
  <si>
    <r>
      <rPr>
        <color rgb="FF1155CC"/>
        <u/>
      </rPr>
      <t>CP</t>
    </r>
  </si>
  <si>
    <r>
      <rPr>
        <color rgb="FF1155CC"/>
        <u/>
      </rPr>
      <t>Major Archbishop of Kyiv–Galicia</t>
    </r>
    <r>
      <rPr/>
      <t xml:space="preserve">
(</t>
    </r>
    <r>
      <rPr>
        <color rgb="FF1155CC"/>
        <u/>
      </rPr>
      <t>Ukrainian Greek Church</t>
    </r>
    <r>
      <rPr/>
      <t>)</t>
    </r>
  </si>
  <si>
    <r>
      <rPr>
        <color rgb="FF1155CC"/>
        <u/>
      </rPr>
      <t>Karl Lehmann</t>
    </r>
  </si>
  <si>
    <r>
      <rPr>
        <color rgb="FF1155CC"/>
        <u/>
      </rPr>
      <t>Germany</t>
    </r>
  </si>
  <si>
    <r>
      <rPr>
        <color rgb="FF1155CC"/>
        <u/>
      </rPr>
      <t>CP</t>
    </r>
  </si>
  <si>
    <r>
      <rPr>
        <color rgb="FF1155CC"/>
        <u/>
      </rPr>
      <t>Bishop of Mainz</t>
    </r>
  </si>
  <si>
    <r>
      <rPr>
        <color rgb="FF1155CC"/>
        <u/>
      </rPr>
      <t>Angelo Scola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</si>
  <si>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</si>
  <si>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</si>
  <si>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Patriarch of Venice</t>
    </r>
  </si>
  <si>
    <r>
      <rPr>
        <color rgb="FF1155CC"/>
        <u/>
      </rPr>
      <t>Anthony Olubunmi Okogie</t>
    </r>
  </si>
  <si>
    <r>
      <rPr>
        <color rgb="FF1155CC"/>
        <u/>
      </rPr>
      <t>Nigeria</t>
    </r>
  </si>
  <si>
    <r>
      <rPr>
        <color rgb="FF1155CC"/>
        <u/>
      </rPr>
      <t>CP</t>
    </r>
  </si>
  <si>
    <r>
      <rPr>
        <color rgb="FF1155CC"/>
        <u/>
      </rPr>
      <t>Archbishop of Lagos</t>
    </r>
  </si>
  <si>
    <r>
      <rPr>
        <color rgb="FF1155CC"/>
        <u/>
      </rPr>
      <t>Bernard Panafieu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</si>
  <si>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</si>
  <si>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</si>
  <si>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of Marseille</t>
    </r>
  </si>
  <si>
    <r>
      <rPr>
        <color rgb="FF1155CC"/>
        <u/>
      </rPr>
      <t>Gabriel Zubeir Wako</t>
    </r>
  </si>
  <si>
    <r>
      <rPr>
        <color rgb="FF1155CC"/>
        <u/>
      </rPr>
      <t>Sudan</t>
    </r>
  </si>
  <si>
    <r>
      <rPr>
        <color rgb="FF1155CC"/>
        <u/>
      </rPr>
      <t>CP</t>
    </r>
  </si>
  <si>
    <r>
      <rPr>
        <color rgb="FF1155CC"/>
        <u/>
      </rPr>
      <t>Archbishop of Khartoum</t>
    </r>
  </si>
  <si>
    <r>
      <rPr>
        <color rgb="FF1155CC"/>
        <u/>
      </rPr>
      <t>Carlos Amigo Vallejo</t>
    </r>
    <r>
      <rPr/>
      <t xml:space="preserve"> 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</si>
  <si>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</si>
  <si>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</si>
  <si>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of Seville</t>
    </r>
  </si>
  <si>
    <r>
      <rPr>
        <color rgb="FF1155CC"/>
        <u/>
      </rPr>
      <t>Justin Francis Rigali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</si>
  <si>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</si>
  <si>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</si>
  <si>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Philadelphia</t>
    </r>
  </si>
  <si>
    <r>
      <rPr>
        <color rgb="FF1155CC"/>
        <u/>
      </rPr>
      <t>Keith Michael Patrick O'Brien</t>
    </r>
  </si>
  <si>
    <r>
      <rPr>
        <color rgb="FF1155CC"/>
        <u/>
      </rPr>
      <t>United Kingdom</t>
    </r>
  </si>
  <si>
    <r>
      <rPr>
        <color rgb="FF1155CC"/>
        <u/>
      </rPr>
      <t>CP</t>
    </r>
  </si>
  <si>
    <r>
      <rPr>
        <color rgb="FF1155CC"/>
        <u/>
      </rPr>
      <t>Archbishop of Saint Andrews and Edinburgh</t>
    </r>
  </si>
  <si>
    <r>
      <rPr>
        <color rgb="FF1155CC"/>
        <u/>
      </rPr>
      <t>Eusébio Oscar Scheid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</si>
  <si>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</si>
  <si>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</si>
  <si>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São Sebastião do Rio de Janeiro</t>
    </r>
  </si>
  <si>
    <r>
      <rPr>
        <color rgb="FF1155CC"/>
        <u/>
      </rPr>
      <t>Ennio Antonelli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</si>
  <si>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</si>
  <si>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</si>
  <si>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Florence</t>
    </r>
  </si>
  <si>
    <r>
      <rPr>
        <color rgb="FF1155CC"/>
        <u/>
      </rPr>
      <t>Tarcisio Bertone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</si>
  <si>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</si>
  <si>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</si>
  <si>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Genoa</t>
    </r>
  </si>
  <si>
    <r>
      <rPr>
        <color rgb="FF1155CC"/>
        <u/>
      </rPr>
      <t>Peter Kodwo Appiah Turkson</t>
    </r>
  </si>
  <si>
    <r>
      <rPr>
        <color rgb="FF1155CC"/>
        <u/>
      </rPr>
      <t>Ghana</t>
    </r>
  </si>
  <si>
    <r>
      <rPr>
        <color rgb="FF1155CC"/>
        <u/>
      </rPr>
      <t>CP</t>
    </r>
  </si>
  <si>
    <r>
      <rPr>
        <color rgb="FF1155CC"/>
        <u/>
      </rPr>
      <t>Archbishop of Cape Coast</t>
    </r>
  </si>
  <si>
    <r>
      <rPr>
        <color rgb="FF1155CC"/>
        <u/>
      </rPr>
      <t>Telesphore Placidus Toppo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</si>
  <si>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</si>
  <si>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</si>
  <si>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Archbishop of Ranchi</t>
    </r>
  </si>
  <si>
    <r>
      <rPr>
        <color rgb="FF1155CC"/>
        <u/>
      </rPr>
      <t>George Pell</t>
    </r>
  </si>
  <si>
    <r>
      <rPr>
        <color rgb="FF1155CC"/>
        <u/>
      </rPr>
      <t>Australia</t>
    </r>
  </si>
  <si>
    <r>
      <rPr>
        <color rgb="FF1155CC"/>
        <u/>
      </rPr>
      <t>CP</t>
    </r>
  </si>
  <si>
    <r>
      <rPr>
        <color rgb="FF1155CC"/>
        <u/>
      </rPr>
      <t>Archbishop of Sydney</t>
    </r>
  </si>
  <si>
    <r>
      <rPr>
        <color rgb="FF1155CC"/>
        <u/>
      </rPr>
      <t>Josip Bozanić</t>
    </r>
  </si>
  <si>
    <r>
      <rPr>
        <color rgb="FF1155CC"/>
        <u/>
      </rPr>
      <t>Croatia</t>
    </r>
  </si>
  <si>
    <r>
      <rPr>
        <color rgb="FF1155CC"/>
        <u/>
      </rPr>
      <t>CP</t>
    </r>
  </si>
  <si>
    <r>
      <rPr>
        <color rgb="FF1155CC"/>
        <u/>
      </rPr>
      <t>Archbishop of Zagreb</t>
    </r>
  </si>
  <si>
    <r>
      <rPr>
        <color rgb="FF1155CC"/>
        <u/>
      </rPr>
      <t>Jean-Baptiste Phạm Minh Mẫn</t>
    </r>
  </si>
  <si>
    <r>
      <rPr>
        <color rgb="FF1155CC"/>
        <u/>
      </rPr>
      <t>Vietnam</t>
    </r>
  </si>
  <si>
    <r>
      <rPr>
        <color rgb="FF1155CC"/>
        <u/>
      </rPr>
      <t>CP</t>
    </r>
  </si>
  <si>
    <r>
      <rPr>
        <color rgb="FF1155CC"/>
        <u/>
      </rPr>
      <t>Archbishop of Ho Chi Minh City</t>
    </r>
  </si>
  <si>
    <r>
      <rPr>
        <color rgb="FF1155CC"/>
        <u/>
      </rPr>
      <t>Rodolfo Quezada Toruño</t>
    </r>
  </si>
  <si>
    <r>
      <rPr>
        <color rgb="FF1155CC"/>
        <u/>
      </rPr>
      <t>Guatemala</t>
    </r>
  </si>
  <si>
    <r>
      <rPr>
        <color rgb="FF1155CC"/>
        <u/>
      </rPr>
      <t>CP</t>
    </r>
  </si>
  <si>
    <r>
      <rPr>
        <color rgb="FF1155CC"/>
        <u/>
      </rPr>
      <t>Archbishop of Guatemala</t>
    </r>
  </si>
  <si>
    <r>
      <rPr>
        <color rgb="FF1155CC"/>
        <u/>
      </rPr>
      <t>Philippe Barbarin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</si>
  <si>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</si>
  <si>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</si>
  <si>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of Lyon</t>
    </r>
  </si>
  <si>
    <r>
      <rPr>
        <color rgb="FF1155CC"/>
        <u/>
      </rPr>
      <t>Péter Erdő</t>
    </r>
  </si>
  <si>
    <r>
      <rPr>
        <color rgb="FF1155CC"/>
        <u/>
      </rPr>
      <t>Hungary</t>
    </r>
  </si>
  <si>
    <r>
      <rPr>
        <color rgb="FF1155CC"/>
        <u/>
      </rPr>
      <t>CP</t>
    </r>
  </si>
  <si>
    <r>
      <rPr>
        <color rgb="FF1155CC"/>
        <u/>
      </rPr>
      <t>Archbishop of Esztergom–Budapest</t>
    </r>
  </si>
  <si>
    <r>
      <rPr>
        <color rgb="FF1155CC"/>
        <u/>
      </rPr>
      <t>Marc Ouellet</t>
    </r>
    <r>
      <rPr/>
      <t xml:space="preserve"> 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</si>
  <si>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</si>
  <si>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</si>
  <si>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rPr>
        <color rgb="FF1155CC"/>
        <u/>
      </rPr>
      <t>Archbishop of Quebec</t>
    </r>
  </si>
  <si>
    <r>
      <rPr>
        <color rgb="FF1155CC"/>
        <u/>
      </rPr>
      <t>Jorge Arturo Medina Estévez</t>
    </r>
  </si>
  <si>
    <r>
      <rPr>
        <color rgb="FF1155CC"/>
        <u/>
      </rPr>
      <t>Chile</t>
    </r>
  </si>
  <si>
    <r>
      <rPr>
        <color rgb="FF1155CC"/>
        <u/>
      </rPr>
      <t>CD</t>
    </r>
  </si>
  <si>
    <r>
      <t xml:space="preserve">Prefect emeritus of the </t>
    </r>
    <r>
      <rPr>
        <color rgb="FF1155CC"/>
        <u/>
      </rPr>
      <t>Congregation for Divine Worship and the Discipline of the Sacraments</t>
    </r>
    <r>
      <rPr/>
      <t xml:space="preserve"> (</t>
    </r>
    <r>
      <rPr>
        <color rgb="FF1155CC"/>
        <u/>
      </rPr>
      <t>Protodeacon</t>
    </r>
    <r>
      <rPr/>
      <t>)</t>
    </r>
  </si>
  <si>
    <r>
      <rPr>
        <color rgb="FF1155CC"/>
        <u/>
      </rPr>
      <t>Darío Castrillón Hoyos</t>
    </r>
  </si>
  <si>
    <r>
      <rPr>
        <color rgb="FF1155CC"/>
        <u/>
      </rPr>
      <t>Colombia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</si>
  <si>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</si>
  <si>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Congregation for the Clergy</t>
    </r>
    <r>
      <rPr/>
      <t xml:space="preserve"> and President of the </t>
    </r>
    <r>
      <rPr>
        <color rgb="FF1155CC"/>
        <u/>
      </rPr>
      <t xml:space="preserve">Pontifical Commission </t>
    </r>
    <r>
      <rPr/>
      <t>Ecclesia Dei</t>
    </r>
  </si>
  <si>
    <r>
      <rPr>
        <color rgb="FF1155CC"/>
        <u/>
      </rPr>
      <t>James Francis Stafford</t>
    </r>
  </si>
  <si>
    <r>
      <rPr>
        <color rgb="FF1155CC"/>
        <u/>
      </rPr>
      <t>United States</t>
    </r>
  </si>
  <si>
    <r>
      <rPr>
        <color rgb="FF1155CC"/>
        <u/>
      </rPr>
      <t>CD</t>
    </r>
  </si>
  <si>
    <r>
      <rPr>
        <color rgb="FF1155CC"/>
        <u/>
      </rPr>
      <t>Major Penitentiary</t>
    </r>
  </si>
  <si>
    <r>
      <rPr>
        <color rgb="FF1155CC"/>
        <u/>
      </rPr>
      <t>Agostino Cacciavillan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</si>
  <si>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</si>
  <si>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</si>
  <si>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emeritus of the </t>
    </r>
    <r>
      <rPr>
        <color rgb="FF1155CC"/>
        <u/>
      </rPr>
      <t>Administration of the Patrimony of the Apostolic See</t>
    </r>
  </si>
  <si>
    <r>
      <rPr>
        <color rgb="FF1155CC"/>
        <u/>
      </rPr>
      <t>Sergio Sebastiani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</si>
  <si>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</si>
  <si>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</si>
  <si>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Prefecture for the Economic Affairs of the Holy See</t>
    </r>
  </si>
  <si>
    <r>
      <rPr>
        <color rgb="FF1155CC"/>
        <u/>
      </rPr>
      <t>Zenon Grocholewski</t>
    </r>
  </si>
  <si>
    <r>
      <rPr>
        <color rgb="FF1155CC"/>
        <u/>
      </rPr>
      <t>Poland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</si>
  <si>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</si>
  <si>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Congregation for Catholic Education</t>
    </r>
  </si>
  <si>
    <r>
      <rPr>
        <color rgb="FF1155CC"/>
        <u/>
      </rPr>
      <t>José Saraiva Martins</t>
    </r>
    <r>
      <rPr/>
      <t xml:space="preserve"> </t>
    </r>
  </si>
  <si>
    <r>
      <rPr>
        <color rgb="FF1155CC"/>
        <u/>
      </rPr>
      <t>Portugal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</si>
  <si>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</si>
  <si>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Congregation for the Causes of Saints</t>
    </r>
  </si>
  <si>
    <r>
      <rPr>
        <color rgb="FF1155CC"/>
        <u/>
      </rPr>
      <t>Crescenzio Sepe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</si>
  <si>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</si>
  <si>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</si>
  <si>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Congregation for the Evangelization of Peoples</t>
    </r>
  </si>
  <si>
    <r>
      <rPr>
        <color rgb="FF1155CC"/>
        <u/>
      </rPr>
      <t>Mario Francesco Pompedda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</si>
  <si>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</si>
  <si>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</si>
  <si>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Prefect emeritus of the </t>
    </r>
    <r>
      <rPr>
        <color rgb="FF1155CC"/>
        <u/>
      </rPr>
      <t>Supreme Tribunal of the Apostolic Signatura</t>
    </r>
  </si>
  <si>
    <r>
      <rPr>
        <color rgb="FF1155CC"/>
        <u/>
      </rPr>
      <t>Walter Kasper</t>
    </r>
  </si>
  <si>
    <r>
      <rPr>
        <color rgb="FF1155CC"/>
        <u/>
      </rPr>
      <t>Germany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</si>
  <si>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</si>
  <si>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 for Promoting Christian Unity</t>
    </r>
  </si>
  <si>
    <r>
      <rPr>
        <color rgb="FF1155CC"/>
        <u/>
      </rPr>
      <t>Jean-Louis Tauran</t>
    </r>
  </si>
  <si>
    <r>
      <rPr>
        <color rgb="FF1155CC"/>
        <u/>
      </rPr>
      <t>France</t>
    </r>
  </si>
  <si>
    <r>
      <rPr>
        <color rgb="FF1155CC"/>
        <u/>
      </rPr>
      <t>CD</t>
    </r>
  </si>
  <si>
    <r>
      <rPr>
        <color rgb="FF1155CC"/>
        <u/>
      </rPr>
      <t>Archivist and Librarian of the Holy Roman Church</t>
    </r>
  </si>
  <si>
    <r>
      <rPr>
        <color rgb="FF1155CC"/>
        <u/>
      </rPr>
      <t>Renato Raffaele Martino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</si>
  <si>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</si>
  <si>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</si>
  <si>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 for Justice and Peace</t>
    </r>
  </si>
  <si>
    <r>
      <rPr>
        <color rgb="FF1155CC"/>
        <u/>
      </rPr>
      <t>Francesco Marchisano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</si>
  <si>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</si>
  <si>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</si>
  <si>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Archpriest of the </t>
    </r>
    <r>
      <rPr>
        <color rgb="FF1155CC"/>
        <u/>
      </rPr>
      <t>Papal Basilica of Saint Peter</t>
    </r>
    <r>
      <rPr/>
      <t xml:space="preserve"> and President of the </t>
    </r>
    <r>
      <rPr>
        <color rgb="FF1155CC"/>
        <u/>
      </rPr>
      <t>Labour Office of the Apostolic See</t>
    </r>
  </si>
  <si>
    <r>
      <rPr>
        <color rgb="FF1155CC"/>
        <u/>
      </rPr>
      <t>Julián Herranz Casado</t>
    </r>
  </si>
  <si>
    <r>
      <rPr>
        <color rgb="FF1155CC"/>
        <u/>
      </rPr>
      <t>Spain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</si>
  <si>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</si>
  <si>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 for Legislative Texts</t>
    </r>
  </si>
  <si>
    <r>
      <rPr>
        <color rgb="FF1155CC"/>
        <u/>
      </rPr>
      <t>Javier Lozano Barragán</t>
    </r>
  </si>
  <si>
    <r>
      <rPr>
        <color rgb="FF1155CC"/>
        <u/>
      </rPr>
      <t>Mexico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</si>
  <si>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</si>
  <si>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 for the Pastoral Care of Health Care Workers</t>
    </r>
  </si>
  <si>
    <r>
      <rPr>
        <color rgb="FF1155CC"/>
        <u/>
      </rPr>
      <t>Stephen Fumio Hamao</t>
    </r>
  </si>
  <si>
    <r>
      <rPr>
        <color rgb="FF1155CC"/>
        <u/>
      </rPr>
      <t>Japan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</si>
  <si>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</si>
  <si>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 for the Pastoral Care of Migrants and Itinerant People</t>
    </r>
  </si>
  <si>
    <r>
      <rPr>
        <color rgb="FF1155CC"/>
        <u/>
      </rPr>
      <t>Attilio Nicora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</si>
  <si>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</si>
  <si>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</si>
  <si>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Administration of the Patrimony of the Apostolic See</t>
    </r>
  </si>
  <si>
    <r>
      <rPr>
        <color rgb="FF1155CC"/>
        <u/>
      </rPr>
      <t>Jean-Marie Villot</t>
    </r>
  </si>
  <si>
    <r>
      <rPr>
        <color rgb="FF1155CC"/>
        <u/>
      </rPr>
      <t>France</t>
    </r>
  </si>
  <si>
    <r>
      <rPr>
        <color rgb="FF1155CC"/>
        <u/>
      </rPr>
      <t>CB</t>
    </r>
  </si>
  <si>
    <r>
      <rPr>
        <color rgb="FF1155CC"/>
        <u/>
      </rPr>
      <t>Secretary of State</t>
    </r>
    <r>
      <rPr/>
      <t xml:space="preserve">, </t>
    </r>
    <r>
      <rPr>
        <color rgb="FF1155CC"/>
        <u/>
      </rPr>
      <t>Camerlengo of the Holy Roman Church</t>
    </r>
    <r>
      <rPr/>
      <t xml:space="preserve"> and President of the </t>
    </r>
    <r>
      <rPr>
        <color rgb="FF1155CC"/>
        <u/>
      </rPr>
      <t xml:space="preserve">Pontifical Council </t>
    </r>
    <r>
      <rPr/>
      <t>Cor Unum</t>
    </r>
    <r>
      <rPr>
        <color rgb="FF1155CC"/>
        <u/>
      </rPr>
      <t>[</t>
    </r>
    <r>
      <rPr>
        <color rgb="FF1155CC"/>
        <u/>
      </rPr>
      <t>e</t>
    </r>
    <r>
      <rPr/>
      <t>]</t>
    </r>
  </si>
  <si>
    <r>
      <rPr>
        <color rgb="FF1155CC"/>
        <u/>
      </rPr>
      <t>Antonio Samorè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</si>
  <si>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</si>
  <si>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</si>
  <si>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rPr>
        <color rgb="FF1155CC"/>
        <u/>
      </rPr>
      <t>Archivist and Librarian of the Holy Roman Church</t>
    </r>
  </si>
  <si>
    <r>
      <rPr>
        <color rgb="FF1155CC"/>
        <u/>
      </rPr>
      <t>Francesco Carpino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</si>
  <si>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</si>
  <si>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</si>
  <si>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rPr>
        <color rgb="FF1155CC"/>
        <u/>
      </rPr>
      <t>Archbishop emeritus of Palermo</t>
    </r>
  </si>
  <si>
    <r>
      <rPr>
        <color rgb="FF1155CC"/>
        <u/>
      </rPr>
      <t>Sebastiano Baggio</t>
    </r>
  </si>
  <si>
    <r>
      <rPr>
        <color rgb="FF1155CC"/>
        <u/>
      </rPr>
      <t>Italy</t>
    </r>
  </si>
  <si>
    <r>
      <rPr>
        <color rgb="FF1155CC"/>
        <u/>
      </rPr>
      <t>CB</t>
    </r>
  </si>
  <si>
    <r>
      <t xml:space="preserve">Prefect of the </t>
    </r>
    <r>
      <rPr>
        <color rgb="FF1155CC"/>
        <u/>
      </rPr>
      <t>Sacred Congregation for Bishops</t>
    </r>
  </si>
  <si>
    <r>
      <rPr>
        <color rgb="FF1155CC"/>
        <u/>
      </rPr>
      <t>Egypt</t>
    </r>
  </si>
  <si>
    <r>
      <rPr>
        <color rgb="FF1155CC"/>
        <u/>
      </rPr>
      <t>CB</t>
    </r>
  </si>
  <si>
    <r>
      <rPr>
        <color rgb="FF1155CC"/>
        <u/>
      </rPr>
      <t>Patriarch of Alexandria</t>
    </r>
    <r>
      <rPr/>
      <t xml:space="preserve">
(</t>
    </r>
    <r>
      <rPr>
        <color rgb="FF1155CC"/>
        <u/>
      </rPr>
      <t>Coptic Catholic Church</t>
    </r>
    <r>
      <rPr/>
      <t>)</t>
    </r>
  </si>
  <si>
    <r>
      <rPr>
        <color rgb="FF1155CC"/>
        <u/>
      </rPr>
      <t>Giuseppe Siri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</si>
  <si>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</si>
  <si>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</si>
  <si>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Genoa</t>
    </r>
  </si>
  <si>
    <r>
      <rPr>
        <color rgb="FF1155CC"/>
        <u/>
      </rPr>
      <t>Stefan Wyszyński</t>
    </r>
  </si>
  <si>
    <r>
      <rPr>
        <color rgb="FF1155CC"/>
        <u/>
      </rPr>
      <t>Poland</t>
    </r>
  </si>
  <si>
    <r>
      <rPr>
        <color rgb="FF1155CC"/>
        <u/>
      </rPr>
      <t>CP</t>
    </r>
  </si>
  <si>
    <r>
      <rPr>
        <color rgb="FF1155CC"/>
        <u/>
      </rPr>
      <t>Archbishop of Gniezno</t>
    </r>
    <r>
      <rPr/>
      <t xml:space="preserve"> and </t>
    </r>
    <r>
      <rPr>
        <color rgb="FF1155CC"/>
        <u/>
      </rPr>
      <t>of Warsaw</t>
    </r>
  </si>
  <si>
    <r>
      <rPr>
        <color rgb="FF1155CC"/>
        <u/>
      </rPr>
      <t>Paul Émile Léger</t>
    </r>
    <r>
      <rPr/>
      <t xml:space="preserve"> 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</si>
  <si>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</si>
  <si>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</si>
  <si>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rPr>
        <color rgb="FF1155CC"/>
        <u/>
      </rPr>
      <t>Archbishop emeritus of Montreal</t>
    </r>
  </si>
  <si>
    <r>
      <rPr>
        <color rgb="FF1155CC"/>
        <u/>
      </rPr>
      <t>José María Bueno y Monreal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</si>
  <si>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</si>
  <si>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</si>
  <si>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of Seville</t>
    </r>
  </si>
  <si>
    <r>
      <rPr>
        <color rgb="FF1155CC"/>
        <u/>
      </rPr>
      <t>Franz König</t>
    </r>
  </si>
  <si>
    <r>
      <rPr>
        <color rgb="FF1155CC"/>
        <u/>
      </rPr>
      <t>Austria</t>
    </r>
  </si>
  <si>
    <r>
      <rPr>
        <color rgb="FF1155CC"/>
        <u/>
      </rPr>
      <t>CP</t>
    </r>
  </si>
  <si>
    <r>
      <rPr>
        <color rgb="FF1155CC"/>
        <u/>
      </rPr>
      <t>Archbishop of Vienna</t>
    </r>
    <r>
      <rPr/>
      <t xml:space="preserve"> and President of the </t>
    </r>
    <r>
      <rPr>
        <color rgb="FF1155CC"/>
        <u/>
      </rPr>
      <t>Secretariat for Non-Believers</t>
    </r>
  </si>
  <si>
    <r>
      <rPr>
        <color rgb="FF1155CC"/>
        <u/>
      </rPr>
      <t>Bernardus Johannes Alfrink</t>
    </r>
  </si>
  <si>
    <r>
      <rPr>
        <color rgb="FF1155CC"/>
        <u/>
      </rPr>
      <t>Netherlands</t>
    </r>
  </si>
  <si>
    <r>
      <rPr>
        <color rgb="FF1155CC"/>
        <u/>
      </rPr>
      <t>CP</t>
    </r>
  </si>
  <si>
    <r>
      <rPr>
        <color rgb="FF1155CC"/>
        <u/>
      </rPr>
      <t>Archbishop emeritus of Utrecht</t>
    </r>
  </si>
  <si>
    <r>
      <rPr>
        <color rgb="FF1155CC"/>
        <u/>
      </rPr>
      <t>Laurean Rugambwa</t>
    </r>
  </si>
  <si>
    <r>
      <rPr>
        <color rgb="FF1155CC"/>
        <u/>
      </rPr>
      <t>Tanzania</t>
    </r>
  </si>
  <si>
    <r>
      <rPr>
        <color rgb="FF1155CC"/>
        <u/>
      </rPr>
      <t>CP</t>
    </r>
  </si>
  <si>
    <r>
      <rPr>
        <color rgb="FF1155CC"/>
        <u/>
      </rPr>
      <t>Archbishop of Dar-es-Salaam</t>
    </r>
  </si>
  <si>
    <r>
      <rPr>
        <color rgb="FF1155CC"/>
        <u/>
      </rPr>
      <t>José Humberto Quintero Parra</t>
    </r>
  </si>
  <si>
    <r>
      <rPr>
        <color rgb="FF1155CC"/>
        <u/>
      </rPr>
      <t>Venezuela</t>
    </r>
  </si>
  <si>
    <r>
      <rPr>
        <color rgb="FF1155CC"/>
        <u/>
      </rPr>
      <t>CP</t>
    </r>
  </si>
  <si>
    <r>
      <rPr>
        <color rgb="FF1155CC"/>
        <u/>
      </rPr>
      <t>Archbishop of Caracas</t>
    </r>
  </si>
  <si>
    <r>
      <rPr>
        <color rgb="FF1155CC"/>
        <u/>
      </rPr>
      <t>Juan Landázuri Ricketts</t>
    </r>
    <r>
      <rPr/>
      <t xml:space="preserve"> </t>
    </r>
  </si>
  <si>
    <r>
      <rPr>
        <color rgb="FF1155CC"/>
        <u/>
      </rPr>
      <t>Peru</t>
    </r>
  </si>
  <si>
    <r>
      <rPr>
        <color rgb="FF1155CC"/>
        <u/>
      </rPr>
      <t>CP</t>
    </r>
  </si>
  <si>
    <r>
      <rPr>
        <color rgb="FF1155CC"/>
        <u/>
      </rPr>
      <t>Archbishop of Lima</t>
    </r>
  </si>
  <si>
    <r>
      <rPr>
        <color rgb="FF1155CC"/>
        <u/>
      </rPr>
      <t>Raúl Silva Henríquez</t>
    </r>
    <r>
      <rPr/>
      <t xml:space="preserve"> </t>
    </r>
  </si>
  <si>
    <r>
      <rPr>
        <color rgb="FF1155CC"/>
        <u/>
      </rPr>
      <t>Chile</t>
    </r>
  </si>
  <si>
    <r>
      <rPr>
        <color rgb="FF1155CC"/>
        <u/>
      </rPr>
      <t>CP</t>
    </r>
  </si>
  <si>
    <r>
      <rPr>
        <color rgb="FF1155CC"/>
        <u/>
      </rPr>
      <t>Archbishop of Santiago de Chile</t>
    </r>
  </si>
  <si>
    <r>
      <rPr>
        <color rgb="FF1155CC"/>
        <u/>
      </rPr>
      <t>Leo-Jozef Suenens</t>
    </r>
  </si>
  <si>
    <r>
      <rPr>
        <color rgb="FF1155CC"/>
        <u/>
      </rPr>
      <t>Belgium</t>
    </r>
  </si>
  <si>
    <r>
      <rPr>
        <color rgb="FF1155CC"/>
        <u/>
      </rPr>
      <t>CP</t>
    </r>
  </si>
  <si>
    <r>
      <rPr>
        <color rgb="FF1155CC"/>
        <u/>
      </rPr>
      <t>Archbishop of Mechelen–Brussels</t>
    </r>
  </si>
  <si>
    <r>
      <rPr>
        <color rgb="FF1155CC"/>
        <u/>
      </rPr>
      <t>Thomas Benjamin Cooray</t>
    </r>
    <r>
      <rPr/>
      <t xml:space="preserve"> </t>
    </r>
  </si>
  <si>
    <r>
      <rPr>
        <color rgb="FF1155CC"/>
        <u/>
      </rPr>
      <t>Sri Lanka</t>
    </r>
  </si>
  <si>
    <r>
      <rPr>
        <color rgb="FF1155CC"/>
        <u/>
      </rPr>
      <t>CP</t>
    </r>
  </si>
  <si>
    <r>
      <rPr>
        <color rgb="FF1155CC"/>
        <u/>
      </rPr>
      <t>Archbishop emeritus of Colombo</t>
    </r>
  </si>
  <si>
    <r>
      <rPr>
        <color rgb="FF1155CC"/>
        <u/>
      </rPr>
      <t>Maurice Roy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</si>
  <si>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</si>
  <si>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</si>
  <si>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rPr>
        <color rgb="FF1155CC"/>
        <u/>
      </rPr>
      <t>Archbishop of Quebec</t>
    </r>
  </si>
  <si>
    <r>
      <rPr>
        <color rgb="FF1155CC"/>
        <u/>
      </rPr>
      <t>Owen McCann</t>
    </r>
  </si>
  <si>
    <r>
      <rPr>
        <color rgb="FF1155CC"/>
        <u/>
      </rPr>
      <t>South Africa</t>
    </r>
  </si>
  <si>
    <r>
      <rPr>
        <color rgb="FF1155CC"/>
        <u/>
      </rPr>
      <t>CP</t>
    </r>
  </si>
  <si>
    <r>
      <rPr>
        <color rgb="FF1155CC"/>
        <u/>
      </rPr>
      <t>Archbishop of Cape Town</t>
    </r>
  </si>
  <si>
    <r>
      <rPr>
        <color rgb="FF1155CC"/>
        <u/>
      </rPr>
      <t>Léon-Étienne Duval</t>
    </r>
  </si>
  <si>
    <r>
      <rPr>
        <color rgb="FF1155CC"/>
        <u/>
      </rPr>
      <t>Algeria</t>
    </r>
  </si>
  <si>
    <r>
      <rPr>
        <color rgb="FF1155CC"/>
        <u/>
      </rPr>
      <t>CP</t>
    </r>
  </si>
  <si>
    <r>
      <rPr>
        <color rgb="FF1155CC"/>
        <u/>
      </rPr>
      <t>Archbishop of Algiers</t>
    </r>
  </si>
  <si>
    <r>
      <rPr>
        <color rgb="FF1155CC"/>
        <u/>
      </rPr>
      <t>Ermenegildo Florit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</si>
  <si>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</si>
  <si>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</si>
  <si>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Florence</t>
    </r>
  </si>
  <si>
    <r>
      <rPr>
        <color rgb="FF1155CC"/>
        <u/>
      </rPr>
      <t>Franjo Šeper</t>
    </r>
  </si>
  <si>
    <r>
      <rPr>
        <color rgb="FF1155CC"/>
        <u/>
      </rPr>
      <t>Yugoslavia</t>
    </r>
  </si>
  <si>
    <r>
      <rPr>
        <color rgb="FF1155CC"/>
        <u/>
      </rPr>
      <t>CP</t>
    </r>
  </si>
  <si>
    <r>
      <t xml:space="preserve">Prefect of the </t>
    </r>
    <r>
      <rPr>
        <color rgb="FF1155CC"/>
        <u/>
      </rPr>
      <t>Sacred Congregation for the Doctrine of the Faith</t>
    </r>
  </si>
  <si>
    <r>
      <rPr>
        <color rgb="FF1155CC"/>
        <u/>
      </rPr>
      <t>Upper Volta</t>
    </r>
  </si>
  <si>
    <r>
      <rPr>
        <color rgb="FF1155CC"/>
        <u/>
      </rPr>
      <t>CP</t>
    </r>
  </si>
  <si>
    <r>
      <rPr>
        <color rgb="FF1155CC"/>
        <u/>
      </rPr>
      <t>Archbishop of Ouagadougou</t>
    </r>
  </si>
  <si>
    <r>
      <rPr>
        <color rgb="FF1155CC"/>
        <u/>
      </rPr>
      <t>Agnelo Rossi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</si>
  <si>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</si>
  <si>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</si>
  <si>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t xml:space="preserve">Prefect of the </t>
    </r>
    <r>
      <rPr>
        <color rgb="FF1155CC"/>
        <u/>
      </rPr>
      <t>Sacred Congregation for the Evangelization of Peoples</t>
    </r>
  </si>
  <si>
    <r>
      <rPr>
        <color rgb="FF1155CC"/>
        <u/>
      </rPr>
      <t>Giovanni Colombo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</si>
  <si>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</si>
  <si>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</si>
  <si>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Milan</t>
    </r>
  </si>
  <si>
    <r>
      <rPr>
        <color rgb="FF1155CC"/>
        <u/>
      </rPr>
      <t>Gabriel-Marie Garrone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</si>
  <si>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</si>
  <si>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</si>
  <si>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t xml:space="preserve">Prefect of the </t>
    </r>
    <r>
      <rPr>
        <color rgb="FF1155CC"/>
        <u/>
      </rPr>
      <t>Sacred Congregation for Catholic Education</t>
    </r>
    <r>
      <rPr/>
      <t xml:space="preserve"> and </t>
    </r>
    <r>
      <rPr>
        <color rgb="FF1155CC"/>
        <u/>
      </rPr>
      <t>Camerlengo of the Sacred College of Cardinals</t>
    </r>
  </si>
  <si>
    <r>
      <rPr>
        <color rgb="FF1155CC"/>
        <u/>
      </rPr>
      <t>Egidio Vagnozzi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</si>
  <si>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</si>
  <si>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</si>
  <si>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President of the </t>
    </r>
    <r>
      <rPr>
        <color rgb="FF1155CC"/>
        <u/>
      </rPr>
      <t>Prefecture for the Economic Affairs of the Holy See</t>
    </r>
  </si>
  <si>
    <r>
      <rPr>
        <color rgb="FF1155CC"/>
        <u/>
      </rPr>
      <t>Maximilien de Furstenberg</t>
    </r>
  </si>
  <si>
    <r>
      <rPr>
        <color rgb="FF1155CC"/>
        <u/>
      </rPr>
      <t>Belgium</t>
    </r>
  </si>
  <si>
    <r>
      <rPr>
        <color rgb="FF1155CC"/>
        <u/>
      </rPr>
      <t>CP</t>
    </r>
  </si>
  <si>
    <r>
      <t xml:space="preserve">Grand Master of the </t>
    </r>
    <r>
      <rPr>
        <color rgb="FF1155CC"/>
        <u/>
      </rPr>
      <t>Order of the Holy Sepulchre</t>
    </r>
  </si>
  <si>
    <r>
      <rPr>
        <color rgb="FF1155CC"/>
        <u/>
      </rPr>
      <t>José Clemente Maurer</t>
    </r>
    <r>
      <rPr/>
      <t xml:space="preserve"> </t>
    </r>
  </si>
  <si>
    <r>
      <rPr>
        <color rgb="FF1155CC"/>
        <u/>
      </rPr>
      <t>Bolivia</t>
    </r>
  </si>
  <si>
    <r>
      <rPr>
        <color rgb="FF1155CC"/>
        <u/>
      </rPr>
      <t>CP</t>
    </r>
  </si>
  <si>
    <r>
      <rPr>
        <color rgb="FF1155CC"/>
        <u/>
      </rPr>
      <t>Archbishop of Sucre</t>
    </r>
  </si>
  <si>
    <r>
      <rPr>
        <color rgb="FF1155CC"/>
        <u/>
      </rPr>
      <t>John Joseph Krol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</si>
  <si>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</si>
  <si>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</si>
  <si>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Philadelphia</t>
    </r>
  </si>
  <si>
    <r>
      <rPr>
        <color rgb="FF1155CC"/>
        <u/>
      </rPr>
      <t>John Patrick Cody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</si>
  <si>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</si>
  <si>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</si>
  <si>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Chicago</t>
    </r>
  </si>
  <si>
    <r>
      <rPr>
        <color rgb="FF1155CC"/>
        <u/>
      </rPr>
      <t>Corrado Ursi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</si>
  <si>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</si>
  <si>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</si>
  <si>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Naples</t>
    </r>
  </si>
  <si>
    <r>
      <rPr>
        <color rgb="FF1155CC"/>
        <u/>
      </rPr>
      <t>Alfred Bengsch</t>
    </r>
  </si>
  <si>
    <r>
      <rPr>
        <color rgb="FF1155CC"/>
        <u/>
      </rPr>
      <t>East Germany</t>
    </r>
    <r>
      <rPr/>
      <t/>
    </r>
    <r>
      <rPr>
        <color rgb="FF1155CC"/>
        <u/>
      </rPr>
      <t>[</t>
    </r>
    <r>
      <rPr>
        <color rgb="FF1155CC"/>
        <u/>
      </rPr>
      <t>f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</si>
  <si>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</si>
  <si>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Archbishop-Bishop of Berlin</t>
    </r>
  </si>
  <si>
    <r>
      <rPr>
        <color rgb="FF1155CC"/>
        <u/>
      </rPr>
      <t>Justinus Darmojuwono</t>
    </r>
  </si>
  <si>
    <r>
      <rPr>
        <color rgb="FF1155CC"/>
        <u/>
      </rPr>
      <t>Indonesia</t>
    </r>
  </si>
  <si>
    <r>
      <rPr>
        <color rgb="FF1155CC"/>
        <u/>
      </rPr>
      <t>CP</t>
    </r>
  </si>
  <si>
    <r>
      <rPr>
        <color rgb="FF1155CC"/>
        <u/>
      </rPr>
      <t>Archbishop of Semarang</t>
    </r>
  </si>
  <si>
    <r>
      <rPr>
        <color rgb="FF1155CC"/>
        <u/>
      </rPr>
      <t>Karol Wojtyła</t>
    </r>
  </si>
  <si>
    <r>
      <rPr>
        <color rgb="FF1155CC"/>
        <u/>
      </rPr>
      <t>Poland</t>
    </r>
  </si>
  <si>
    <r>
      <rPr>
        <color rgb="FF1155CC"/>
        <u/>
      </rPr>
      <t>CP</t>
    </r>
  </si>
  <si>
    <r>
      <rPr>
        <color rgb="FF1155CC"/>
        <u/>
      </rPr>
      <t>Archbishop of Kraków</t>
    </r>
  </si>
  <si>
    <r>
      <rPr>
        <color rgb="FF1155CC"/>
        <u/>
      </rPr>
      <t>Michele Pellegrino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</si>
  <si>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</si>
  <si>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</si>
  <si>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emeritus of Turin</t>
    </r>
  </si>
  <si>
    <r>
      <rPr>
        <color rgb="FF1155CC"/>
        <u/>
      </rPr>
      <t>Alexandre-Charles Renard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</si>
  <si>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</si>
  <si>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</si>
  <si>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of Lyon</t>
    </r>
  </si>
  <si>
    <r>
      <rPr>
        <color rgb="FF1155CC"/>
        <u/>
      </rPr>
      <t>Alfredo Vicente Scherer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</si>
  <si>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</si>
  <si>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</si>
  <si>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Porto Alegre</t>
    </r>
  </si>
  <si>
    <r>
      <rPr>
        <color rgb="FF1155CC"/>
        <u/>
      </rPr>
      <t>Julio Rosales y Ras</t>
    </r>
  </si>
  <si>
    <r>
      <rPr>
        <color rgb="FF1155CC"/>
        <u/>
      </rPr>
      <t>Philippines</t>
    </r>
  </si>
  <si>
    <r>
      <rPr>
        <color rgb="FF1155CC"/>
        <u/>
      </rPr>
      <t>CP</t>
    </r>
  </si>
  <si>
    <r>
      <rPr>
        <color rgb="FF1155CC"/>
        <u/>
      </rPr>
      <t>Archbishop of Cebu</t>
    </r>
  </si>
  <si>
    <r>
      <rPr>
        <color rgb="FF1155CC"/>
        <u/>
      </rPr>
      <t>Gordon Joseph Gray</t>
    </r>
  </si>
  <si>
    <r>
      <rPr>
        <color rgb="FF1155CC"/>
        <u/>
      </rPr>
      <t>United Kingdom</t>
    </r>
  </si>
  <si>
    <r>
      <rPr>
        <color rgb="FF1155CC"/>
        <u/>
      </rPr>
      <t>CP</t>
    </r>
  </si>
  <si>
    <r>
      <rPr>
        <color rgb="FF1155CC"/>
        <u/>
      </rPr>
      <t>Archbishop of Saint Andrews and Edinburgh</t>
    </r>
  </si>
  <si>
    <r>
      <rPr>
        <color rgb="FF1155CC"/>
        <u/>
      </rPr>
      <t>Paolo Bertoli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</si>
  <si>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</si>
  <si>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</si>
  <si>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t xml:space="preserve">Prefect emeritus of the </t>
    </r>
    <r>
      <rPr>
        <color rgb="FF1155CC"/>
        <u/>
      </rPr>
      <t>Sacred Congregation for the Causes of Saints</t>
    </r>
  </si>
  <si>
    <r>
      <rPr>
        <color rgb="FF1155CC"/>
        <u/>
      </rPr>
      <t>Joseph Parecattil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</si>
  <si>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</si>
  <si>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</si>
  <si>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Archbishop of Ernakulam</t>
    </r>
    <r>
      <rPr/>
      <t xml:space="preserve"> and President of the Pontifical Commission for the Revision of the </t>
    </r>
    <r>
      <rPr>
        <color rgb="FF1155CC"/>
        <u/>
      </rPr>
      <t>Code of Oriental Canon Law</t>
    </r>
    <r>
      <rPr/>
      <t xml:space="preserve">
(</t>
    </r>
    <r>
      <rPr>
        <color rgb="FF1155CC"/>
        <u/>
      </rPr>
      <t>Syro-Malabar Catholic Church</t>
    </r>
    <r>
      <rPr/>
      <t>)</t>
    </r>
  </si>
  <si>
    <r>
      <rPr>
        <color rgb="FF1155CC"/>
        <u/>
      </rPr>
      <t>John Francis Dearden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</si>
  <si>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</si>
  <si>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</si>
  <si>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Detroit</t>
    </r>
  </si>
  <si>
    <r>
      <rPr>
        <color rgb="FF1155CC"/>
        <u/>
      </rPr>
      <t>François Marty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</si>
  <si>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</si>
  <si>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</si>
  <si>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of Paris</t>
    </r>
  </si>
  <si>
    <r>
      <rPr>
        <color rgb="FF1155CC"/>
        <u/>
      </rPr>
      <t>Canada</t>
    </r>
  </si>
  <si>
    <r>
      <rPr>
        <color rgb="FF1155CC"/>
        <u/>
      </rPr>
      <t>CP</t>
    </r>
  </si>
  <si>
    <r>
      <rPr>
        <color rgb="FF1155CC"/>
        <u/>
      </rPr>
      <t>Archbishop of Winnipeg</t>
    </r>
  </si>
  <si>
    <r>
      <rPr>
        <color rgb="FF1155CC"/>
        <u/>
      </rPr>
      <t>Paul Gouyon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</si>
  <si>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</si>
  <si>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</si>
  <si>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of Rennes</t>
    </r>
  </si>
  <si>
    <r>
      <rPr>
        <color rgb="FF1155CC"/>
        <u/>
      </rPr>
      <t>Mario Casariego y Acevedo</t>
    </r>
    <r>
      <rPr/>
      <t xml:space="preserve"> </t>
    </r>
  </si>
  <si>
    <r>
      <rPr>
        <color rgb="FF1155CC"/>
        <u/>
      </rPr>
      <t>Guatemala</t>
    </r>
  </si>
  <si>
    <r>
      <rPr>
        <color rgb="FF1155CC"/>
        <u/>
      </rPr>
      <t>CP</t>
    </r>
  </si>
  <si>
    <r>
      <rPr>
        <color rgb="FF1155CC"/>
        <u/>
      </rPr>
      <t>Archbishop of Guatemala</t>
    </r>
  </si>
  <si>
    <r>
      <rPr>
        <color rgb="FF1155CC"/>
        <u/>
      </rPr>
      <t>Vicente Enrique y Tarancón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</si>
  <si>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</si>
  <si>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</si>
  <si>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of Madrid</t>
    </r>
  </si>
  <si>
    <r>
      <rPr>
        <color rgb="FF1155CC"/>
        <u/>
      </rPr>
      <t>Joseph Malula</t>
    </r>
  </si>
  <si>
    <r>
      <rPr>
        <color rgb="FF1155CC"/>
        <u/>
      </rPr>
      <t>Zaire</t>
    </r>
  </si>
  <si>
    <r>
      <rPr>
        <color rgb="FF1155CC"/>
        <u/>
      </rPr>
      <t>CP</t>
    </r>
  </si>
  <si>
    <r>
      <rPr>
        <color rgb="FF1155CC"/>
        <u/>
      </rPr>
      <t>Archbishop of Kinshasa</t>
    </r>
  </si>
  <si>
    <r>
      <rPr>
        <color rgb="FF1155CC"/>
        <u/>
      </rPr>
      <t>Pablo Muñoz Vega</t>
    </r>
    <r>
      <rPr/>
      <t xml:space="preserve"> </t>
    </r>
  </si>
  <si>
    <r>
      <rPr>
        <color rgb="FF1155CC"/>
        <u/>
      </rPr>
      <t>Ecuador</t>
    </r>
  </si>
  <si>
    <r>
      <rPr>
        <color rgb="FF1155CC"/>
        <u/>
      </rPr>
      <t>CP</t>
    </r>
  </si>
  <si>
    <r>
      <rPr>
        <color rgb="FF1155CC"/>
        <u/>
      </rPr>
      <t>Archbishop of Quito</t>
    </r>
  </si>
  <si>
    <r>
      <rPr>
        <color rgb="FF1155CC"/>
        <u/>
      </rPr>
      <t>Antonio Poma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</si>
  <si>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</si>
  <si>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</si>
  <si>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Bologna</t>
    </r>
  </si>
  <si>
    <r>
      <rPr>
        <color rgb="FF1155CC"/>
        <u/>
      </rPr>
      <t>John Joseph Carberry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</si>
  <si>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</si>
  <si>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</si>
  <si>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St. Louis</t>
    </r>
  </si>
  <si>
    <r>
      <rPr>
        <color rgb="FF1155CC"/>
        <u/>
      </rPr>
      <t>Terence James Cooke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</si>
  <si>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</si>
  <si>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</si>
  <si>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New York</t>
    </r>
  </si>
  <si>
    <r>
      <rPr>
        <color rgb="FF1155CC"/>
        <u/>
      </rPr>
      <t>Stephen Kim Sou-hwan</t>
    </r>
  </si>
  <si>
    <r>
      <rPr>
        <color rgb="FF1155CC"/>
        <u/>
      </rPr>
      <t>South Korea</t>
    </r>
  </si>
  <si>
    <r>
      <rPr>
        <color rgb="FF1155CC"/>
        <u/>
      </rPr>
      <t>CP</t>
    </r>
  </si>
  <si>
    <r>
      <rPr>
        <color rgb="FF1155CC"/>
        <u/>
      </rPr>
      <t>Archbishop of Seoul</t>
    </r>
  </si>
  <si>
    <r>
      <rPr>
        <color rgb="FF1155CC"/>
        <u/>
      </rPr>
      <t>Eugênio de Araújo Sales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</si>
  <si>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</si>
  <si>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</si>
  <si>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São Sebastião do Rio de Janeiro</t>
    </r>
  </si>
  <si>
    <r>
      <rPr>
        <color rgb="FF1155CC"/>
        <u/>
      </rPr>
      <t>Joseph Höffner</t>
    </r>
  </si>
  <si>
    <r>
      <rPr>
        <color rgb="FF1155CC"/>
        <u/>
      </rPr>
      <t>West Germany</t>
    </r>
  </si>
  <si>
    <r>
      <rPr>
        <color rgb="FF1155CC"/>
        <u/>
      </rPr>
      <t>CP</t>
    </r>
  </si>
  <si>
    <r>
      <rPr>
        <color rgb="FF1155CC"/>
        <u/>
      </rPr>
      <t>Archbishop of Cologne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</si>
  <si>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</si>
  <si>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</si>
  <si>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t xml:space="preserve">Prefect of the </t>
    </r>
    <r>
      <rPr>
        <color rgb="FF1155CC"/>
        <u/>
      </rPr>
      <t>Sacred Congregation for the Clergy</t>
    </r>
  </si>
  <si>
    <r>
      <rPr>
        <color rgb="FF1155CC"/>
        <u/>
      </rPr>
      <t>Johannes Willebrands</t>
    </r>
  </si>
  <si>
    <r>
      <rPr>
        <color rgb="FF1155CC"/>
        <u/>
      </rPr>
      <t>Netherlands</t>
    </r>
  </si>
  <si>
    <r>
      <rPr>
        <color rgb="FF1155CC"/>
        <u/>
      </rPr>
      <t>CP</t>
    </r>
  </si>
  <si>
    <r>
      <rPr>
        <color rgb="FF1155CC"/>
        <u/>
      </rPr>
      <t>Archbishop of Utrecht</t>
    </r>
    <r>
      <rPr/>
      <t xml:space="preserve"> and President of the </t>
    </r>
    <r>
      <rPr>
        <color rgb="FF1155CC"/>
        <u/>
      </rPr>
      <t>Secretariat for Christian Unity</t>
    </r>
  </si>
  <si>
    <r>
      <rPr>
        <color rgb="FF1155CC"/>
        <u/>
      </rPr>
      <t>Albino Lucian</t>
    </r>
    <r>
      <rPr/>
      <t>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</si>
  <si>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</si>
  <si>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</si>
  <si>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Patriarch of Venice</t>
    </r>
  </si>
  <si>
    <r>
      <rPr>
        <color rgb="FF1155CC"/>
        <u/>
      </rPr>
      <t>António Ribeiro</t>
    </r>
  </si>
  <si>
    <r>
      <rPr>
        <color rgb="FF1155CC"/>
        <u/>
      </rPr>
      <t>Portugal</t>
    </r>
  </si>
  <si>
    <r>
      <rPr>
        <color rgb="FF1155CC"/>
        <u/>
      </rPr>
      <t>CP</t>
    </r>
  </si>
  <si>
    <r>
      <rPr>
        <color rgb="FF1155CC"/>
        <u/>
      </rPr>
      <t>Patriarch of Lisbon</t>
    </r>
  </si>
  <si>
    <r>
      <rPr>
        <color rgb="FF1155CC"/>
        <u/>
      </rPr>
      <t>James Robert Knox</t>
    </r>
  </si>
  <si>
    <r>
      <rPr>
        <color rgb="FF1155CC"/>
        <u/>
      </rPr>
      <t>Australia</t>
    </r>
  </si>
  <si>
    <r>
      <rPr>
        <color rgb="FF1155CC"/>
        <u/>
      </rPr>
      <t>CP</t>
    </r>
  </si>
  <si>
    <r>
      <t xml:space="preserve">Prefect of the </t>
    </r>
    <r>
      <rPr>
        <color rgb="FF1155CC"/>
        <u/>
      </rPr>
      <t>Sacred Congregation for the Sacraments and Divine Worship</t>
    </r>
  </si>
  <si>
    <r>
      <rPr>
        <color rgb="FF1155CC"/>
        <u/>
      </rPr>
      <t>Avelar Brandão Vilela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</si>
  <si>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</si>
  <si>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</si>
  <si>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São Salvador da Bahia</t>
    </r>
  </si>
  <si>
    <r>
      <rPr>
        <color rgb="FF1155CC"/>
        <u/>
      </rPr>
      <t>Joseph Cordeiro</t>
    </r>
  </si>
  <si>
    <r>
      <rPr>
        <color rgb="FF1155CC"/>
        <u/>
      </rPr>
      <t>Pakistan</t>
    </r>
  </si>
  <si>
    <r>
      <rPr>
        <color rgb="FF1155CC"/>
        <u/>
      </rPr>
      <t>CP</t>
    </r>
  </si>
  <si>
    <r>
      <rPr>
        <color rgb="FF1155CC"/>
        <u/>
      </rPr>
      <t>Archbishop of Karachi</t>
    </r>
  </si>
  <si>
    <r>
      <rPr>
        <color rgb="FF1155CC"/>
        <u/>
      </rPr>
      <t>Aníbal Muñoz Duque</t>
    </r>
  </si>
  <si>
    <r>
      <rPr>
        <color rgb="FF1155CC"/>
        <u/>
      </rPr>
      <t>Colombia</t>
    </r>
  </si>
  <si>
    <r>
      <rPr>
        <color rgb="FF1155CC"/>
        <u/>
      </rPr>
      <t>CP</t>
    </r>
  </si>
  <si>
    <r>
      <rPr>
        <color rgb="FF1155CC"/>
        <u/>
      </rPr>
      <t>Archbishop of Bogotá</t>
    </r>
  </si>
  <si>
    <r>
      <rPr>
        <color rgb="FF1155CC"/>
        <u/>
      </rPr>
      <t>Luis Aponte Martínez</t>
    </r>
  </si>
  <si>
    <r>
      <rPr>
        <color rgb="FF1155CC"/>
        <u/>
      </rPr>
      <t>Puerto Rico</t>
    </r>
    <r>
      <rPr/>
      <t xml:space="preserve">
(</t>
    </r>
    <r>
      <rPr>
        <color rgb="FF1155CC"/>
        <u/>
      </rPr>
      <t>United States</t>
    </r>
    <r>
      <rPr/>
      <t>)</t>
    </r>
    <r>
      <rPr>
        <color rgb="FF1155CC"/>
        <u/>
      </rPr>
      <t>[</t>
    </r>
    <r>
      <rPr>
        <color rgb="FF1155CC"/>
        <u/>
      </rPr>
      <t>i</t>
    </r>
    <r>
      <rPr/>
      <t>]</t>
    </r>
  </si>
  <si>
    <r>
      <rPr>
        <color rgb="FF1155CC"/>
        <u/>
      </rPr>
      <t>CP</t>
    </r>
  </si>
  <si>
    <r>
      <rPr>
        <color rgb="FF1155CC"/>
        <u/>
      </rPr>
      <t>Archbishop of San Juan de Puerto Rico</t>
    </r>
  </si>
  <si>
    <r>
      <rPr>
        <color rgb="FF1155CC"/>
        <u/>
      </rPr>
      <t>Raúl Francisco Primatesta</t>
    </r>
  </si>
  <si>
    <r>
      <rPr>
        <color rgb="FF1155CC"/>
        <u/>
      </rPr>
      <t>Argentina</t>
    </r>
  </si>
  <si>
    <r>
      <rPr>
        <color rgb="FF1155CC"/>
        <u/>
      </rPr>
      <t>CP</t>
    </r>
  </si>
  <si>
    <r>
      <rPr>
        <color rgb="FF1155CC"/>
        <u/>
      </rPr>
      <t>Archbishop of Córdoba</t>
    </r>
  </si>
  <si>
    <r>
      <rPr>
        <color rgb="FF1155CC"/>
        <u/>
      </rPr>
      <t>Salvatore Pappalardo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</si>
  <si>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</si>
  <si>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</si>
  <si>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Palermo</t>
    </r>
  </si>
  <si>
    <r>
      <rPr>
        <color rgb="FF1155CC"/>
        <u/>
      </rPr>
      <t>Marcelo González Martín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</si>
  <si>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</si>
  <si>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</si>
  <si>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of Toledo</t>
    </r>
  </si>
  <si>
    <r>
      <rPr>
        <color rgb="FF1155CC"/>
        <u/>
      </rPr>
      <t>Louis-Jean Guyot</t>
    </r>
  </si>
  <si>
    <r>
      <rPr>
        <color rgb="FF1155CC"/>
        <u/>
      </rPr>
      <t>France</t>
    </r>
  </si>
  <si>
    <r>
      <rPr>
        <color rgb="FF1155CC"/>
        <u/>
      </rPr>
      <t>CP</t>
    </r>
  </si>
  <si>
    <r>
      <rPr>
        <color rgb="FF1155CC"/>
        <u/>
      </rPr>
      <t>Archbishop of Toulouse</t>
    </r>
  </si>
  <si>
    <r>
      <rPr>
        <color rgb="FF1155CC"/>
        <u/>
      </rPr>
      <t>Ugo Poletti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</si>
  <si>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</si>
  <si>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</si>
  <si>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Vicar General for Rome</t>
    </r>
    <r>
      <rPr/>
      <t xml:space="preserve"> and Archpriest of the </t>
    </r>
    <r>
      <rPr>
        <color rgb="FF1155CC"/>
        <u/>
      </rPr>
      <t>Papal Basilica of Saint John Lateran</t>
    </r>
  </si>
  <si>
    <r>
      <rPr>
        <color rgb="FF1155CC"/>
        <u/>
      </rPr>
      <t>Timothy Manning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</si>
  <si>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</si>
  <si>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</si>
  <si>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Los Angeles</t>
    </r>
  </si>
  <si>
    <r>
      <rPr>
        <color rgb="FF1155CC"/>
        <u/>
      </rPr>
      <t>Maurice Michael Otunga</t>
    </r>
  </si>
  <si>
    <r>
      <rPr>
        <color rgb="FF1155CC"/>
        <u/>
      </rPr>
      <t>Kenya</t>
    </r>
  </si>
  <si>
    <r>
      <rPr>
        <color rgb="FF1155CC"/>
        <u/>
      </rPr>
      <t>CP</t>
    </r>
  </si>
  <si>
    <r>
      <rPr>
        <color rgb="FF1155CC"/>
        <u/>
      </rPr>
      <t>Archbishop of Nairobi</t>
    </r>
  </si>
  <si>
    <r>
      <rPr>
        <color rgb="FF1155CC"/>
        <u/>
      </rPr>
      <t>José Salazar López</t>
    </r>
  </si>
  <si>
    <r>
      <rPr>
        <color rgb="FF1155CC"/>
        <u/>
      </rPr>
      <t>Mexico</t>
    </r>
  </si>
  <si>
    <r>
      <rPr>
        <color rgb="FF1155CC"/>
        <u/>
      </rPr>
      <t>CP</t>
    </r>
  </si>
  <si>
    <r>
      <rPr>
        <color rgb="FF1155CC"/>
        <u/>
      </rPr>
      <t>Archbishop of Guadalajara</t>
    </r>
  </si>
  <si>
    <r>
      <rPr>
        <color rgb="FF1155CC"/>
        <u/>
      </rPr>
      <t>Humberto Sousa Medeiros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</si>
  <si>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</si>
  <si>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</si>
  <si>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Boston</t>
    </r>
  </si>
  <si>
    <r>
      <rPr>
        <color rgb="FF1155CC"/>
        <u/>
      </rPr>
      <t>Paulo Evaristo Arns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</si>
  <si>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</si>
  <si>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</si>
  <si>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São Paulo</t>
    </r>
  </si>
  <si>
    <r>
      <rPr>
        <color rgb="FF1155CC"/>
        <u/>
      </rPr>
      <t>James Darcy Freeman</t>
    </r>
  </si>
  <si>
    <r>
      <rPr>
        <color rgb="FF1155CC"/>
        <u/>
      </rPr>
      <t>Australia</t>
    </r>
  </si>
  <si>
    <r>
      <rPr>
        <color rgb="FF1155CC"/>
        <u/>
      </rPr>
      <t>CP</t>
    </r>
  </si>
  <si>
    <r>
      <rPr>
        <color rgb="FF1155CC"/>
        <u/>
      </rPr>
      <t>Archbishop of Sydney</t>
    </r>
  </si>
  <si>
    <r>
      <rPr>
        <color rgb="FF1155CC"/>
        <u/>
      </rPr>
      <t>Narciso Jubany Arnau</t>
    </r>
  </si>
  <si>
    <r>
      <rPr>
        <color rgb="FF1155CC"/>
        <u/>
      </rPr>
      <t>Spain</t>
    </r>
  </si>
  <si>
    <r>
      <rPr>
        <color rgb="FF1155CC"/>
        <u/>
      </rPr>
      <t>CP</t>
    </r>
  </si>
  <si>
    <r>
      <rPr>
        <color rgb="FF1155CC"/>
        <u/>
      </rPr>
      <t>Archbishop of Barcelona</t>
    </r>
  </si>
  <si>
    <r>
      <rPr>
        <color rgb="FF1155CC"/>
        <u/>
      </rPr>
      <t>Hermann Volk</t>
    </r>
  </si>
  <si>
    <r>
      <rPr>
        <color rgb="FF1155CC"/>
        <u/>
      </rPr>
      <t>West Germany</t>
    </r>
  </si>
  <si>
    <r>
      <rPr>
        <color rgb="FF1155CC"/>
        <u/>
      </rPr>
      <t>CP</t>
    </r>
  </si>
  <si>
    <r>
      <rPr>
        <color rgb="FF1155CC"/>
        <u/>
      </rPr>
      <t>Bishop of Mainz</t>
    </r>
  </si>
  <si>
    <r>
      <rPr>
        <color rgb="FF1155CC"/>
        <u/>
      </rPr>
      <t>Pio Taofinuʻu</t>
    </r>
    <r>
      <rPr/>
      <t xml:space="preserve"> </t>
    </r>
  </si>
  <si>
    <r>
      <rPr>
        <color rgb="FF1155CC"/>
        <u/>
      </rPr>
      <t>Western Samoa</t>
    </r>
  </si>
  <si>
    <r>
      <rPr>
        <color rgb="FF1155CC"/>
        <u/>
      </rPr>
      <t>CP</t>
    </r>
  </si>
  <si>
    <r>
      <rPr>
        <color rgb="FF1155CC"/>
        <u/>
      </rPr>
      <t>Bishop of Samoa and Tokelau</t>
    </r>
  </si>
  <si>
    <r>
      <rPr>
        <color rgb="FF1155CC"/>
        <u/>
      </rPr>
      <t>Octavio Antonio Beras Rojas</t>
    </r>
  </si>
  <si>
    <r>
      <rPr>
        <color rgb="FF1155CC"/>
        <u/>
      </rPr>
      <t>Dominican Republic</t>
    </r>
  </si>
  <si>
    <r>
      <rPr>
        <color rgb="FF1155CC"/>
        <u/>
      </rPr>
      <t>CP</t>
    </r>
  </si>
  <si>
    <r>
      <rPr>
        <color rgb="FF1155CC"/>
        <u/>
      </rPr>
      <t>Archbishop of Santo Domingo</t>
    </r>
  </si>
  <si>
    <r>
      <rPr>
        <color rgb="FF1155CC"/>
        <u/>
      </rPr>
      <t>Juan Carlos Aramburu</t>
    </r>
  </si>
  <si>
    <r>
      <rPr>
        <color rgb="FF1155CC"/>
        <u/>
      </rPr>
      <t>Argentina</t>
    </r>
  </si>
  <si>
    <r>
      <rPr>
        <color rgb="FF1155CC"/>
        <u/>
      </rPr>
      <t>CP</t>
    </r>
  </si>
  <si>
    <r>
      <rPr>
        <color rgb="FF1155CC"/>
        <u/>
      </rPr>
      <t>Archbishop of Buenos Aires</t>
    </r>
  </si>
  <si>
    <r>
      <rPr>
        <color rgb="FF1155CC"/>
        <u/>
      </rPr>
      <t>Joseph-Marie Trịnh Như Khuê</t>
    </r>
  </si>
  <si>
    <r>
      <rPr>
        <color rgb="FF1155CC"/>
        <u/>
      </rPr>
      <t>Vietnam</t>
    </r>
  </si>
  <si>
    <r>
      <rPr>
        <color rgb="FF1155CC"/>
        <u/>
      </rPr>
      <t>CP</t>
    </r>
  </si>
  <si>
    <r>
      <rPr>
        <color rgb="FF1155CC"/>
        <u/>
      </rPr>
      <t>Archbishop of Hanoi</t>
    </r>
  </si>
  <si>
    <r>
      <rPr>
        <color rgb="FF1155CC"/>
        <u/>
      </rPr>
      <t>Hyacinthe Thiandoum</t>
    </r>
  </si>
  <si>
    <r>
      <rPr>
        <color rgb="FF1155CC"/>
        <u/>
      </rPr>
      <t>Senegal</t>
    </r>
  </si>
  <si>
    <r>
      <rPr>
        <color rgb="FF1155CC"/>
        <u/>
      </rPr>
      <t>CP</t>
    </r>
  </si>
  <si>
    <r>
      <rPr>
        <color rgb="FF1155CC"/>
        <u/>
      </rPr>
      <t>Archbishop of Dakar</t>
    </r>
  </si>
  <si>
    <r>
      <rPr>
        <color rgb="FF1155CC"/>
        <u/>
      </rPr>
      <t>Emmanuel Nsubuga</t>
    </r>
  </si>
  <si>
    <r>
      <rPr>
        <color rgb="FF1155CC"/>
        <u/>
      </rPr>
      <t>Uganda</t>
    </r>
  </si>
  <si>
    <r>
      <rPr>
        <color rgb="FF1155CC"/>
        <u/>
      </rPr>
      <t>CP</t>
    </r>
  </si>
  <si>
    <r>
      <rPr>
        <color rgb="FF1155CC"/>
        <u/>
      </rPr>
      <t>Archbishop of Kampala</t>
    </r>
  </si>
  <si>
    <r>
      <rPr>
        <color rgb="FF1155CC"/>
        <u/>
      </rPr>
      <t>Lawrence Trevor Picachy</t>
    </r>
    <r>
      <rPr/>
      <t xml:space="preserve"> </t>
    </r>
  </si>
  <si>
    <r>
      <rPr>
        <color rgb="FF1155CC"/>
        <u/>
      </rPr>
      <t>India</t>
    </r>
  </si>
  <si>
    <r>
      <rPr>
        <color rgb="FF1155CC"/>
        <u/>
      </rPr>
      <t>CP</t>
    </r>
  </si>
  <si>
    <r>
      <rPr>
        <color rgb="FF1155CC"/>
        <u/>
      </rPr>
      <t>Archbishop of Calcutta</t>
    </r>
  </si>
  <si>
    <r>
      <rPr>
        <color rgb="FF1155CC"/>
        <u/>
      </rPr>
      <t>Jaime Lachica Sin</t>
    </r>
  </si>
  <si>
    <r>
      <rPr>
        <color rgb="FF1155CC"/>
        <u/>
      </rPr>
      <t>Philippines</t>
    </r>
  </si>
  <si>
    <r>
      <rPr>
        <color rgb="FF1155CC"/>
        <u/>
      </rPr>
      <t>CP</t>
    </r>
  </si>
  <si>
    <r>
      <rPr>
        <color rgb="FF1155CC"/>
        <u/>
      </rPr>
      <t>Archbishop of Manila</t>
    </r>
  </si>
  <si>
    <r>
      <rPr>
        <color rgb="FF1155CC"/>
        <u/>
      </rPr>
      <t>William Wakefield Baum</t>
    </r>
  </si>
  <si>
    <r>
      <rPr>
        <color rgb="FF1155CC"/>
        <u/>
      </rPr>
      <t>United States</t>
    </r>
  </si>
  <si>
    <r>
      <rPr>
        <color rgb="FF1155CC"/>
        <u/>
      </rPr>
      <t>CP</t>
    </r>
  </si>
  <si>
    <r>
      <rPr>
        <color rgb="FF1155CC"/>
        <u/>
      </rPr>
      <t>Archbishop of Washington</t>
    </r>
  </si>
  <si>
    <r>
      <rPr>
        <color rgb="FF1155CC"/>
        <u/>
      </rPr>
      <t>Aloísio Lorscheider</t>
    </r>
    <r>
      <rPr/>
      <t xml:space="preserve"> </t>
    </r>
  </si>
  <si>
    <r>
      <rPr>
        <color rgb="FF1155CC"/>
        <u/>
      </rPr>
      <t>Brazil</t>
    </r>
  </si>
  <si>
    <r>
      <rPr>
        <color rgb="FF1155CC"/>
        <u/>
      </rPr>
      <t>CP</t>
    </r>
  </si>
  <si>
    <r>
      <rPr>
        <color rgb="FF1155CC"/>
        <u/>
      </rPr>
      <t>Archbishop of Fortaleza</t>
    </r>
  </si>
  <si>
    <r>
      <rPr>
        <color rgb="FF1155CC"/>
        <u/>
      </rPr>
      <t>Reginald Delargey</t>
    </r>
  </si>
  <si>
    <r>
      <rPr>
        <color rgb="FF1155CC"/>
        <u/>
      </rPr>
      <t>New Zealand</t>
    </r>
  </si>
  <si>
    <r>
      <rPr>
        <color rgb="FF1155CC"/>
        <u/>
      </rPr>
      <t>CP</t>
    </r>
  </si>
  <si>
    <r>
      <rPr>
        <color rgb="FF1155CC"/>
        <u/>
      </rPr>
      <t>Archbishop of Wellington</t>
    </r>
  </si>
  <si>
    <r>
      <rPr>
        <color rgb="FF1155CC"/>
        <u/>
      </rPr>
      <t>László Lékai</t>
    </r>
  </si>
  <si>
    <r>
      <rPr>
        <color rgb="FF1155CC"/>
        <u/>
      </rPr>
      <t>Hungary</t>
    </r>
  </si>
  <si>
    <r>
      <rPr>
        <color rgb="FF1155CC"/>
        <u/>
      </rPr>
      <t>CP</t>
    </r>
  </si>
  <si>
    <r>
      <rPr>
        <color rgb="FF1155CC"/>
        <u/>
      </rPr>
      <t>Archbishop of Esztergom</t>
    </r>
  </si>
  <si>
    <r>
      <rPr>
        <color rgb="FF1155CC"/>
        <u/>
      </rPr>
      <t>George Basil Hume</t>
    </r>
    <r>
      <rPr/>
      <t xml:space="preserve"> </t>
    </r>
  </si>
  <si>
    <r>
      <rPr>
        <color rgb="FF1155CC"/>
        <u/>
      </rPr>
      <t>United Kingdom</t>
    </r>
  </si>
  <si>
    <r>
      <rPr>
        <color rgb="FF1155CC"/>
        <u/>
      </rPr>
      <t>CP</t>
    </r>
  </si>
  <si>
    <r>
      <rPr>
        <color rgb="FF1155CC"/>
        <u/>
      </rPr>
      <t>Archbishop of Westminster</t>
    </r>
  </si>
  <si>
    <r>
      <rPr>
        <color rgb="FF1155CC"/>
        <u/>
      </rPr>
      <t>Victor Razafimahatratra</t>
    </r>
    <r>
      <rPr/>
      <t xml:space="preserve"> </t>
    </r>
  </si>
  <si>
    <r>
      <rPr>
        <color rgb="FF1155CC"/>
        <u/>
      </rPr>
      <t>Madagascar</t>
    </r>
  </si>
  <si>
    <r>
      <rPr>
        <color rgb="FF1155CC"/>
        <u/>
      </rPr>
      <t>CP</t>
    </r>
  </si>
  <si>
    <r>
      <rPr>
        <color rgb="FF1155CC"/>
        <u/>
      </rPr>
      <t>Archbishop of Tananarive</t>
    </r>
  </si>
  <si>
    <r>
      <rPr>
        <color rgb="FF1155CC"/>
        <u/>
      </rPr>
      <t>František Tomášek</t>
    </r>
  </si>
  <si>
    <r>
      <rPr>
        <color rgb="FF1155CC"/>
        <u/>
      </rPr>
      <t>Czechoslovakia</t>
    </r>
  </si>
  <si>
    <r>
      <rPr>
        <color rgb="FF1155CC"/>
        <u/>
      </rPr>
      <t>CP</t>
    </r>
  </si>
  <si>
    <r>
      <rPr>
        <color rgb="FF1155CC"/>
        <u/>
      </rPr>
      <t>Archbishop of Prague</t>
    </r>
  </si>
  <si>
    <r>
      <rPr>
        <color rgb="FF1155CC"/>
        <u/>
      </rPr>
      <t>Dominic Ignatius Ekandem</t>
    </r>
  </si>
  <si>
    <r>
      <rPr>
        <color rgb="FF1155CC"/>
        <u/>
      </rPr>
      <t>Nigeria</t>
    </r>
  </si>
  <si>
    <r>
      <rPr>
        <color rgb="FF1155CC"/>
        <u/>
      </rPr>
      <t>CP</t>
    </r>
  </si>
  <si>
    <r>
      <rPr>
        <color rgb="FF1155CC"/>
        <u/>
      </rPr>
      <t>Bishop of Ikot Ekpene</t>
    </r>
  </si>
  <si>
    <r>
      <rPr>
        <color rgb="FF1155CC"/>
        <u/>
      </rPr>
      <t>Giovanni Benelli</t>
    </r>
  </si>
  <si>
    <r>
      <rPr>
        <color rgb="FF1155CC"/>
        <u/>
      </rPr>
      <t>Italy</t>
    </r>
  </si>
  <si>
    <r>
      <rPr>
        <color rgb="FF1155CC"/>
        <u/>
      </rPr>
      <t>CP</t>
    </r>
  </si>
  <si>
    <r>
      <rPr>
        <color rgb="FF1155CC"/>
        <u/>
      </rPr>
      <t>Archbishop of Florence</t>
    </r>
  </si>
  <si>
    <r>
      <rPr>
        <color rgb="FF1155CC"/>
        <u/>
      </rPr>
      <t>Joseph Ratzinger</t>
    </r>
  </si>
  <si>
    <r>
      <rPr>
        <color rgb="FF1155CC"/>
        <u/>
      </rPr>
      <t>West Germany</t>
    </r>
  </si>
  <si>
    <r>
      <rPr>
        <color rgb="FF1155CC"/>
        <u/>
      </rPr>
      <t>CP</t>
    </r>
  </si>
  <si>
    <r>
      <rPr>
        <color rgb="FF1155CC"/>
        <u/>
      </rPr>
      <t>Archbishop of Munich and Freising</t>
    </r>
  </si>
  <si>
    <r>
      <rPr>
        <color rgb="FF1155CC"/>
        <u/>
      </rPr>
      <t>Pericle Felici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</si>
  <si>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</si>
  <si>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</si>
  <si>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Supreme Tribunal of the Apostolic Signatura</t>
    </r>
    <r>
      <rPr/>
      <t xml:space="preserve"> and President of the </t>
    </r>
    <r>
      <rPr>
        <color rgb="FF1155CC"/>
        <u/>
      </rPr>
      <t>Pontifical Commissions for the Revision of the Code of Canon Law</t>
    </r>
    <r>
      <rPr/>
      <t xml:space="preserve"> and for the Interpretation of the Decrees of the Second Vatican Council (</t>
    </r>
    <r>
      <rPr>
        <color rgb="FF1155CC"/>
        <u/>
      </rPr>
      <t>Protodeacon</t>
    </r>
    <r>
      <rPr/>
      <t>)</t>
    </r>
  </si>
  <si>
    <r>
      <rPr>
        <color rgb="FF1155CC"/>
        <u/>
      </rPr>
      <t>Silvio Oddi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</si>
  <si>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</si>
  <si>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</si>
  <si>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Pontifical Legate for the Basilica of Saint Francis of Assisi</t>
    </r>
  </si>
  <si>
    <r>
      <rPr>
        <color rgb="FF1155CC"/>
        <u/>
      </rPr>
      <t>Giuseppe Paupini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</si>
  <si>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</si>
  <si>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</si>
  <si>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Major Penitentiary</t>
    </r>
  </si>
  <si>
    <r>
      <rPr>
        <color rgb="FF1155CC"/>
        <u/>
      </rPr>
      <t>Mario Nasalli Rocca di Corneliano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</si>
  <si>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</si>
  <si>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</si>
  <si>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Prefect emeritus of the Apostolic Palaces</t>
    </r>
  </si>
  <si>
    <r>
      <rPr>
        <color rgb="FF1155CC"/>
        <u/>
      </rPr>
      <t>Sergio Guerri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</si>
  <si>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</si>
  <si>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</si>
  <si>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Pro-President of the </t>
    </r>
    <r>
      <rPr>
        <color rgb="FF1155CC"/>
        <u/>
      </rPr>
      <t>Pontifical Commission for Vatican City State</t>
    </r>
  </si>
  <si>
    <r>
      <rPr>
        <color rgb="FF1155CC"/>
        <u/>
      </rPr>
      <t>Sergio Pignedoli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</si>
  <si>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</si>
  <si>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</si>
  <si>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Secretariat for Non-Christians</t>
    </r>
  </si>
  <si>
    <r>
      <rPr>
        <color rgb="FF1155CC"/>
        <u/>
      </rPr>
      <t>Umberto Mozzoni</t>
    </r>
  </si>
  <si>
    <r>
      <rPr>
        <color rgb="FF1155CC"/>
        <u/>
      </rPr>
      <t>Argentina</t>
    </r>
  </si>
  <si>
    <r>
      <rPr>
        <color rgb="FF1155CC"/>
        <u/>
      </rPr>
      <t>CD</t>
    </r>
  </si>
  <si>
    <r>
      <rPr>
        <color rgb="FF1155CC"/>
        <u/>
      </rPr>
      <t>Paul-Pierre Philippe</t>
    </r>
    <r>
      <rPr/>
      <t xml:space="preserve"> </t>
    </r>
  </si>
  <si>
    <r>
      <rPr>
        <color rgb="FF1155CC"/>
        <u/>
      </rPr>
      <t>France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</si>
  <si>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</si>
  <si>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Sacred Congregation for the Oriental Churches</t>
    </r>
  </si>
  <si>
    <r>
      <rPr>
        <color rgb="FF1155CC"/>
        <u/>
      </rPr>
      <t>Pietro Palazzini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</si>
  <si>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</si>
  <si>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</si>
  <si>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Secretary emeritus of the </t>
    </r>
    <r>
      <rPr>
        <color rgb="FF1155CC"/>
        <u/>
      </rPr>
      <t>Sacred Congregation for the Clergy</t>
    </r>
    <r>
      <rPr/>
      <t xml:space="preserve"> and of the Commission of Cardinals for the Pontifical Shrines of Pompeii and Loreto</t>
    </r>
  </si>
  <si>
    <r>
      <rPr>
        <color rgb="FF1155CC"/>
        <u/>
      </rPr>
      <t>Opilio Rossi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</si>
  <si>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</si>
  <si>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</si>
  <si>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Councils for the Laity</t>
    </r>
    <r>
      <rPr/>
      <t xml:space="preserve"> and </t>
    </r>
    <r>
      <rPr>
        <color rgb="FF1155CC"/>
        <u/>
      </rPr>
      <t>for the Family</t>
    </r>
  </si>
  <si>
    <r>
      <rPr>
        <color rgb="FF1155CC"/>
        <u/>
      </rPr>
      <t>Giuseppe Maria Sensi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</si>
  <si>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</si>
  <si>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</si>
  <si>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Apostolic Nuncio emeritus to Portugal</t>
    </r>
  </si>
  <si>
    <r>
      <rPr>
        <color rgb="FF1155CC"/>
        <u/>
      </rPr>
      <t>Corrado Bafile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</si>
  <si>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</si>
  <si>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</si>
  <si>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Sacred Congregation for the Causes of Saints</t>
    </r>
  </si>
  <si>
    <r>
      <rPr>
        <color rgb="FF1155CC"/>
        <u/>
      </rPr>
      <t>Joseph Schröffer</t>
    </r>
  </si>
  <si>
    <r>
      <rPr>
        <color rgb="FF1155CC"/>
        <u/>
      </rPr>
      <t>West Germany</t>
    </r>
  </si>
  <si>
    <r>
      <rPr>
        <color rgb="FF1155CC"/>
        <u/>
      </rPr>
      <t>CD</t>
    </r>
  </si>
  <si>
    <r>
      <t xml:space="preserve">Secretary emeritus of the </t>
    </r>
    <r>
      <rPr>
        <color rgb="FF1155CC"/>
        <u/>
      </rPr>
      <t>Sacred Congregation for Catholic Education</t>
    </r>
  </si>
  <si>
    <r>
      <rPr>
        <color rgb="FF1155CC"/>
        <u/>
      </rPr>
      <t>Eduardo Francisco Pironio</t>
    </r>
  </si>
  <si>
    <r>
      <rPr>
        <color rgb="FF1155CC"/>
        <u/>
      </rPr>
      <t>Argentina</t>
    </r>
  </si>
  <si>
    <r>
      <rPr>
        <color rgb="FF1155CC"/>
        <u/>
      </rPr>
      <t>CD</t>
    </r>
  </si>
  <si>
    <r>
      <t xml:space="preserve">Prefect of the </t>
    </r>
    <r>
      <rPr>
        <color rgb="FF1155CC"/>
        <u/>
      </rPr>
      <t>Sacred Congregation for the Religious and Secular Institutes</t>
    </r>
  </si>
  <si>
    <r>
      <rPr>
        <color rgb="FF1155CC"/>
        <u/>
      </rPr>
      <t>Bernardin Gantin</t>
    </r>
  </si>
  <si>
    <r>
      <rPr>
        <color rgb="FF1155CC"/>
        <u/>
      </rPr>
      <t>Benin</t>
    </r>
  </si>
  <si>
    <r>
      <rPr>
        <color rgb="FF1155CC"/>
        <u/>
      </rPr>
      <t>CD</t>
    </r>
  </si>
  <si>
    <r>
      <t xml:space="preserve">President of the </t>
    </r>
    <r>
      <rPr>
        <color rgb="FF1155CC"/>
        <u/>
      </rPr>
      <t>Pontifical Commission for Justice and Peace</t>
    </r>
    <r>
      <rPr/>
      <t xml:space="preserve"> and of the </t>
    </r>
    <r>
      <rPr>
        <color rgb="FF1155CC"/>
        <u/>
      </rPr>
      <t xml:space="preserve">Pontifical Council </t>
    </r>
    <r>
      <rPr/>
      <t>Cor Unum</t>
    </r>
    <r>
      <rPr>
        <color rgb="FF1155CC"/>
        <u/>
      </rPr>
      <t>[</t>
    </r>
    <r>
      <rPr>
        <color rgb="FF1155CC"/>
        <u/>
      </rPr>
      <t>j</t>
    </r>
    <r>
      <rPr/>
      <t>]</t>
    </r>
  </si>
  <si>
    <r>
      <rPr>
        <color rgb="FF1155CC"/>
        <u/>
      </rPr>
      <t>Mario Luigi Ciappi</t>
    </r>
    <r>
      <rPr/>
      <t xml:space="preserve"> </t>
    </r>
  </si>
  <si>
    <r>
      <rPr>
        <color rgb="FF1155CC"/>
        <u/>
      </rPr>
      <t>Italy</t>
    </r>
  </si>
  <si>
    <r>
      <rPr>
        <color rgb="FF1155CC"/>
        <u/>
      </rPr>
      <t>CD</t>
    </r>
  </si>
  <si>
    <r>
      <rPr>
        <color rgb="FF1155CC"/>
        <u/>
      </rPr>
      <t>Pro-Theologian of the Pontifical Household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</si>
</sst>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0.0000"/>
    <numFmt numFmtId="166" formatCode="d mmmm yyyy"/>
    <numFmt numFmtId="167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165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center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2" fontId="1" numFmtId="0" xfId="0" applyAlignment="1" applyFill="1" applyFont="1">
      <alignment horizontal="center" readingOrder="0"/>
    </xf>
    <xf borderId="0" fillId="2" fontId="1" numFmtId="3" xfId="0" applyAlignment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 shrinkToFit="0" wrapText="0"/>
    </xf>
    <xf borderId="0" fillId="0" fontId="1" numFmtId="166" xfId="0" applyAlignment="1" applyFont="1" applyNumberFormat="1">
      <alignment horizontal="center" readingOrder="0" shrinkToFit="0" wrapText="0"/>
    </xf>
    <xf borderId="0" fillId="0" fontId="1" numFmtId="164" xfId="0" applyFont="1" applyNumberFormat="1"/>
    <xf borderId="0" fillId="0" fontId="1" numFmtId="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 shrinkToFit="0" wrapText="0"/>
    </xf>
    <xf borderId="0" fillId="0" fontId="6" numFmtId="0" xfId="0" applyAlignment="1" applyFont="1">
      <alignment horizontal="center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7" numFmtId="0" xfId="0" applyAlignment="1" applyFont="1">
      <alignment horizontal="center" readingOrder="0" shrinkToFit="0" wrapText="0"/>
    </xf>
    <xf borderId="0" fillId="0" fontId="1" numFmtId="166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2" xfId="0" applyAlignment="1" applyFont="1" applyNumberFormat="1">
      <alignment horizontal="center" readingOrder="0" shrinkToFit="0" wrapText="0"/>
    </xf>
    <xf borderId="0" fillId="0" fontId="8" numFmtId="164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Roman_Catholic_Archdiocese_of_Sydney" TargetMode="External"/><Relationship Id="rId194" Type="http://schemas.openxmlformats.org/officeDocument/2006/relationships/hyperlink" Target="https://en.wikipedia.org/wiki/Roman_Catholic_Archdiocese_of_Zagreb" TargetMode="External"/><Relationship Id="rId193" Type="http://schemas.openxmlformats.org/officeDocument/2006/relationships/hyperlink" Target="https://en.wikipedia.org/wiki/Cardinal_priest" TargetMode="External"/><Relationship Id="rId192" Type="http://schemas.openxmlformats.org/officeDocument/2006/relationships/hyperlink" Target="https://en.wikipedia.org/wiki/Croatia" TargetMode="External"/><Relationship Id="rId191" Type="http://schemas.openxmlformats.org/officeDocument/2006/relationships/hyperlink" Target="https://en.wikipedia.org/wiki/Josip_Bozani%C4%87" TargetMode="External"/><Relationship Id="rId187" Type="http://schemas.openxmlformats.org/officeDocument/2006/relationships/hyperlink" Target="https://en.wikipedia.org/wiki/George_Pell" TargetMode="External"/><Relationship Id="rId186" Type="http://schemas.openxmlformats.org/officeDocument/2006/relationships/hyperlink" Target="https://en.wikipedia.org/wiki/Roman_Catholic_Archdiocese_of_Ranchi" TargetMode="External"/><Relationship Id="rId185" Type="http://schemas.openxmlformats.org/officeDocument/2006/relationships/hyperlink" Target="https://en.wikipedia.org/wiki/Cardinal_priest" TargetMode="External"/><Relationship Id="rId184" Type="http://schemas.openxmlformats.org/officeDocument/2006/relationships/hyperlink" Target="https://en.wikipedia.org/wiki/India" TargetMode="External"/><Relationship Id="rId189" Type="http://schemas.openxmlformats.org/officeDocument/2006/relationships/hyperlink" Target="https://en.wikipedia.org/wiki/Cardinal_priest" TargetMode="External"/><Relationship Id="rId188" Type="http://schemas.openxmlformats.org/officeDocument/2006/relationships/hyperlink" Target="https://en.wikipedia.org/wiki/Australia" TargetMode="External"/><Relationship Id="rId183" Type="http://schemas.openxmlformats.org/officeDocument/2006/relationships/hyperlink" Target="https://en.wikipedia.org/wiki/Telesphore_Placidus_Toppo" TargetMode="External"/><Relationship Id="rId182" Type="http://schemas.openxmlformats.org/officeDocument/2006/relationships/hyperlink" Target="https://en.wikipedia.org/wiki/Pontifical_Council_for_Justice_and_Peace" TargetMode="External"/><Relationship Id="rId181" Type="http://schemas.openxmlformats.org/officeDocument/2006/relationships/hyperlink" Target="https://en.wikipedia.org/wiki/Cardinal_priest" TargetMode="External"/><Relationship Id="rId180" Type="http://schemas.openxmlformats.org/officeDocument/2006/relationships/hyperlink" Target="https://en.wikipedia.org/wiki/Ghana" TargetMode="External"/><Relationship Id="rId176" Type="http://schemas.openxmlformats.org/officeDocument/2006/relationships/hyperlink" Target="https://en.wikipedia.org/wiki/Italy" TargetMode="External"/><Relationship Id="rId175" Type="http://schemas.openxmlformats.org/officeDocument/2006/relationships/hyperlink" Target="https://en.wikipedia.org/wiki/Ennio_Antonelli" TargetMode="External"/><Relationship Id="rId174" Type="http://schemas.openxmlformats.org/officeDocument/2006/relationships/hyperlink" Target="https://en.wikipedia.org/wiki/Roman_Catholic_Archdiocese_of_Philadelphia" TargetMode="External"/><Relationship Id="rId173" Type="http://schemas.openxmlformats.org/officeDocument/2006/relationships/hyperlink" Target="https://en.wikipedia.org/wiki/Cardinal_priest" TargetMode="External"/><Relationship Id="rId179" Type="http://schemas.openxmlformats.org/officeDocument/2006/relationships/hyperlink" Target="https://en.wikipedia.org/wiki/Peter_Kodwo_Appiah_Turkson" TargetMode="External"/><Relationship Id="rId178" Type="http://schemas.openxmlformats.org/officeDocument/2006/relationships/hyperlink" Target="https://en.wikipedia.org/wiki/Pontifical_Council_for_the_Family" TargetMode="External"/><Relationship Id="rId177" Type="http://schemas.openxmlformats.org/officeDocument/2006/relationships/hyperlink" Target="https://en.wikipedia.org/wiki/Cardinal_priest" TargetMode="External"/><Relationship Id="rId198" Type="http://schemas.openxmlformats.org/officeDocument/2006/relationships/hyperlink" Target="https://en.wikipedia.org/wiki/Roman_Catholic_Archdiocese_of_Ho_Chi_Minh_City" TargetMode="External"/><Relationship Id="rId197" Type="http://schemas.openxmlformats.org/officeDocument/2006/relationships/hyperlink" Target="https://en.wikipedia.org/wiki/Cardinal_priest" TargetMode="External"/><Relationship Id="rId196" Type="http://schemas.openxmlformats.org/officeDocument/2006/relationships/hyperlink" Target="https://en.wikipedia.org/wiki/Vietnam" TargetMode="External"/><Relationship Id="rId195" Type="http://schemas.openxmlformats.org/officeDocument/2006/relationships/hyperlink" Target="https://en.wikipedia.org/wiki/Jean-Baptiste_Ph%E1%BA%A1m_Minh_M%E1%BA%ABn" TargetMode="External"/><Relationship Id="rId199" Type="http://schemas.openxmlformats.org/officeDocument/2006/relationships/hyperlink" Target="https://en.wikipedia.org/wiki/Philippe_Barbarin" TargetMode="External"/><Relationship Id="rId150" Type="http://schemas.openxmlformats.org/officeDocument/2006/relationships/hyperlink" Target="https://en.wikipedia.org/wiki/Roman_Catholic_Archdiocese_of_Turin" TargetMode="External"/><Relationship Id="rId392" Type="http://schemas.openxmlformats.org/officeDocument/2006/relationships/hyperlink" Target="https://en.wikipedia.org/wiki/Poland" TargetMode="External"/><Relationship Id="rId391" Type="http://schemas.openxmlformats.org/officeDocument/2006/relationships/hyperlink" Target="https://en.wikipedia.org/wiki/Stanis%C5%82aw_Ry%C5%82ko" TargetMode="External"/><Relationship Id="rId390" Type="http://schemas.openxmlformats.org/officeDocument/2006/relationships/hyperlink" Target="https://en.wikipedia.org/wiki/Vicar_General_for_Vatican_City" TargetMode="External"/><Relationship Id="rId1" Type="http://schemas.openxmlformats.org/officeDocument/2006/relationships/hyperlink" Target="https://en.wikipedia.org/wiki/Italy" TargetMode="External"/><Relationship Id="rId2" Type="http://schemas.openxmlformats.org/officeDocument/2006/relationships/hyperlink" Target="https://en.wikipedia.org/wiki/Italy" TargetMode="External"/><Relationship Id="rId3" Type="http://schemas.openxmlformats.org/officeDocument/2006/relationships/hyperlink" Target="https://en.wikipedia.org/wiki/Italy" TargetMode="External"/><Relationship Id="rId149" Type="http://schemas.openxmlformats.org/officeDocument/2006/relationships/hyperlink" Target="https://en.wikipedia.org/wiki/Cardinal_priest" TargetMode="External"/><Relationship Id="rId4" Type="http://schemas.openxmlformats.org/officeDocument/2006/relationships/hyperlink" Target="https://en.wikipedia.org/wiki/Italy" TargetMode="External"/><Relationship Id="rId148" Type="http://schemas.openxmlformats.org/officeDocument/2006/relationships/hyperlink" Target="https://en.wikipedia.org/wiki/Italy" TargetMode="External"/><Relationship Id="rId1090" Type="http://schemas.openxmlformats.org/officeDocument/2006/relationships/hyperlink" Target="https://en.wikipedia.org/wiki/Julio_Rosales_y_Ras" TargetMode="External"/><Relationship Id="rId1091" Type="http://schemas.openxmlformats.org/officeDocument/2006/relationships/hyperlink" Target="https://en.wikipedia.org/wiki/Philippines" TargetMode="External"/><Relationship Id="rId1092" Type="http://schemas.openxmlformats.org/officeDocument/2006/relationships/hyperlink" Target="https://en.wikipedia.org/wiki/Cardinal_priest" TargetMode="External"/><Relationship Id="rId1093" Type="http://schemas.openxmlformats.org/officeDocument/2006/relationships/hyperlink" Target="https://en.wikipedia.org/wiki/Roman_Catholic_Archdiocese_of_Cebu" TargetMode="External"/><Relationship Id="rId1094" Type="http://schemas.openxmlformats.org/officeDocument/2006/relationships/hyperlink" Target="https://en.wikipedia.org/wiki/Gordon_Joseph_Gray" TargetMode="External"/><Relationship Id="rId9" Type="http://schemas.openxmlformats.org/officeDocument/2006/relationships/hyperlink" Target="https://en.wikipedia.org/wiki/Italy" TargetMode="External"/><Relationship Id="rId143" Type="http://schemas.openxmlformats.org/officeDocument/2006/relationships/hyperlink" Target="https://en.wikipedia.org/wiki/Jos%C3%A9_da_Cruz_Policarpo" TargetMode="External"/><Relationship Id="rId385" Type="http://schemas.openxmlformats.org/officeDocument/2006/relationships/hyperlink" Target="https://en.wikipedia.org/wiki/Cardinal_deacon" TargetMode="External"/><Relationship Id="rId1095" Type="http://schemas.openxmlformats.org/officeDocument/2006/relationships/hyperlink" Target="https://en.wikipedia.org/wiki/United_Kingdom" TargetMode="External"/><Relationship Id="rId142" Type="http://schemas.openxmlformats.org/officeDocument/2006/relationships/hyperlink" Target="https://en.wikipedia.org/wiki/Roman_Catholic_Archdiocese_of_Buenos_Aires" TargetMode="External"/><Relationship Id="rId384" Type="http://schemas.openxmlformats.org/officeDocument/2006/relationships/hyperlink" Target="https://en.wikipedia.org/wiki/Germany" TargetMode="External"/><Relationship Id="rId1096" Type="http://schemas.openxmlformats.org/officeDocument/2006/relationships/hyperlink" Target="https://en.wikipedia.org/wiki/Cardinal_priest" TargetMode="External"/><Relationship Id="rId141" Type="http://schemas.openxmlformats.org/officeDocument/2006/relationships/hyperlink" Target="https://en.wikipedia.org/wiki/Cardinal_priest" TargetMode="External"/><Relationship Id="rId383" Type="http://schemas.openxmlformats.org/officeDocument/2006/relationships/hyperlink" Target="https://en.wikipedia.org/wiki/Paul_Josef_Cordes" TargetMode="External"/><Relationship Id="rId1097" Type="http://schemas.openxmlformats.org/officeDocument/2006/relationships/hyperlink" Target="https://en.wikipedia.org/wiki/Roman_Catholic_Archdiocese_of_Saint_Andrews_and_Edinburgh" TargetMode="External"/><Relationship Id="rId140" Type="http://schemas.openxmlformats.org/officeDocument/2006/relationships/hyperlink" Target="https://en.wikipedia.org/wiki/Argentina" TargetMode="External"/><Relationship Id="rId382" Type="http://schemas.openxmlformats.org/officeDocument/2006/relationships/hyperlink" Target="https://en.wikipedia.org/wiki/Pontifical_Commission_for_Vatican_City_State" TargetMode="External"/><Relationship Id="rId1098" Type="http://schemas.openxmlformats.org/officeDocument/2006/relationships/hyperlink" Target="https://en.wikipedia.org/wiki/Paolo_Bertoli" TargetMode="External"/><Relationship Id="rId5" Type="http://schemas.openxmlformats.org/officeDocument/2006/relationships/hyperlink" Target="https://en.wikipedia.org/wiki/Italy" TargetMode="External"/><Relationship Id="rId147" Type="http://schemas.openxmlformats.org/officeDocument/2006/relationships/hyperlink" Target="https://en.wikipedia.org/wiki/Severino_Poletto" TargetMode="External"/><Relationship Id="rId389" Type="http://schemas.openxmlformats.org/officeDocument/2006/relationships/hyperlink" Target="https://en.wikipedia.org/wiki/Cardinal_deacon" TargetMode="External"/><Relationship Id="rId1099" Type="http://schemas.openxmlformats.org/officeDocument/2006/relationships/hyperlink" Target="https://en.wikipedia.org/wiki/Italy" TargetMode="External"/><Relationship Id="rId6" Type="http://schemas.openxmlformats.org/officeDocument/2006/relationships/hyperlink" Target="https://en.wikipedia.org/wiki/Italy" TargetMode="External"/><Relationship Id="rId146" Type="http://schemas.openxmlformats.org/officeDocument/2006/relationships/hyperlink" Target="https://en.wikipedia.org/wiki/Patriarchate_of_Lisbon" TargetMode="External"/><Relationship Id="rId388" Type="http://schemas.openxmlformats.org/officeDocument/2006/relationships/hyperlink" Target="https://en.wikipedia.org/wiki/Italy" TargetMode="External"/><Relationship Id="rId7" Type="http://schemas.openxmlformats.org/officeDocument/2006/relationships/hyperlink" Target="https://en.wikipedia.org/wiki/Italy" TargetMode="External"/><Relationship Id="rId145" Type="http://schemas.openxmlformats.org/officeDocument/2006/relationships/hyperlink" Target="https://en.wikipedia.org/wiki/Cardinal_priest" TargetMode="External"/><Relationship Id="rId387" Type="http://schemas.openxmlformats.org/officeDocument/2006/relationships/hyperlink" Target="https://en.wikipedia.org/wiki/Angelo_Comastri" TargetMode="External"/><Relationship Id="rId8" Type="http://schemas.openxmlformats.org/officeDocument/2006/relationships/hyperlink" Target="https://en.wikipedia.org/wiki/Italy" TargetMode="External"/><Relationship Id="rId144" Type="http://schemas.openxmlformats.org/officeDocument/2006/relationships/hyperlink" Target="https://en.wikipedia.org/wiki/Portugal" TargetMode="External"/><Relationship Id="rId386" Type="http://schemas.openxmlformats.org/officeDocument/2006/relationships/hyperlink" Target="https://en.wikipedia.org/wiki/Pontifical_Council_Cor_Unum" TargetMode="External"/><Relationship Id="rId381" Type="http://schemas.openxmlformats.org/officeDocument/2006/relationships/hyperlink" Target="https://en.wikipedia.org/wiki/Cardinal_deacon" TargetMode="External"/><Relationship Id="rId380" Type="http://schemas.openxmlformats.org/officeDocument/2006/relationships/hyperlink" Target="https://en.wikipedia.org/wiki/Italy" TargetMode="External"/><Relationship Id="rId139" Type="http://schemas.openxmlformats.org/officeDocument/2006/relationships/hyperlink" Target="https://en.wikipedia.org/wiki/Jorge_Mario_Bergoglio" TargetMode="External"/><Relationship Id="rId138" Type="http://schemas.openxmlformats.org/officeDocument/2006/relationships/hyperlink" Target="https://en.wikipedia.org/wiki/Congregation_for_the_Clergy" TargetMode="External"/><Relationship Id="rId137" Type="http://schemas.openxmlformats.org/officeDocument/2006/relationships/hyperlink" Target="https://en.wikipedia.org/wiki/Cardinal_priest" TargetMode="External"/><Relationship Id="rId379" Type="http://schemas.openxmlformats.org/officeDocument/2006/relationships/hyperlink" Target="https://en.wikipedia.org/wiki/Giovanni_Lajolo" TargetMode="External"/><Relationship Id="rId1080" Type="http://schemas.openxmlformats.org/officeDocument/2006/relationships/hyperlink" Target="https://en.wikipedia.org/wiki/Cardinal_priest" TargetMode="External"/><Relationship Id="rId1081" Type="http://schemas.openxmlformats.org/officeDocument/2006/relationships/hyperlink" Target="https://en.wikipedia.org/wiki/Roman_Catholic_Archdiocese_of_Turin" TargetMode="External"/><Relationship Id="rId1082" Type="http://schemas.openxmlformats.org/officeDocument/2006/relationships/hyperlink" Target="https://en.wikipedia.org/wiki/Alexandre-Charles_Renard" TargetMode="External"/><Relationship Id="rId1083" Type="http://schemas.openxmlformats.org/officeDocument/2006/relationships/hyperlink" Target="https://en.wikipedia.org/wiki/France" TargetMode="External"/><Relationship Id="rId132" Type="http://schemas.openxmlformats.org/officeDocument/2006/relationships/hyperlink" Target="https://en.wikipedia.org/wiki/Peru" TargetMode="External"/><Relationship Id="rId374" Type="http://schemas.openxmlformats.org/officeDocument/2006/relationships/hyperlink" Target="https://en.wikipedia.org/wiki/Congregation_for_Institutes_of_Consecrated_Life_and_Societies_of_Apostolic_Life" TargetMode="External"/><Relationship Id="rId1084" Type="http://schemas.openxmlformats.org/officeDocument/2006/relationships/hyperlink" Target="https://en.wikipedia.org/wiki/Cardinal_priest" TargetMode="External"/><Relationship Id="rId131" Type="http://schemas.openxmlformats.org/officeDocument/2006/relationships/hyperlink" Target="https://en.wikipedia.org/wiki/Juan_Luis_Cipriani_Thorne" TargetMode="External"/><Relationship Id="rId373" Type="http://schemas.openxmlformats.org/officeDocument/2006/relationships/hyperlink" Target="https://en.wikipedia.org/wiki/Cardinal_deacon" TargetMode="External"/><Relationship Id="rId1085" Type="http://schemas.openxmlformats.org/officeDocument/2006/relationships/hyperlink" Target="https://en.wikipedia.org/wiki/Roman_Catholic_Archdiocese_of_Lyon" TargetMode="External"/><Relationship Id="rId130" Type="http://schemas.openxmlformats.org/officeDocument/2006/relationships/hyperlink" Target="https://en.wikipedia.org/wiki/Roman_Catholic_Archdiocese_of_Tegucigalpa" TargetMode="External"/><Relationship Id="rId372" Type="http://schemas.openxmlformats.org/officeDocument/2006/relationships/hyperlink" Target="https://en.wikipedia.org/wiki/Slovenia" TargetMode="External"/><Relationship Id="rId1086" Type="http://schemas.openxmlformats.org/officeDocument/2006/relationships/hyperlink" Target="https://en.wikipedia.org/wiki/Alfredo_Vicente_Scherer" TargetMode="External"/><Relationship Id="rId371" Type="http://schemas.openxmlformats.org/officeDocument/2006/relationships/hyperlink" Target="https://en.wikipedia.org/wiki/Franc_Rod%C3%A9" TargetMode="External"/><Relationship Id="rId1087" Type="http://schemas.openxmlformats.org/officeDocument/2006/relationships/hyperlink" Target="https://en.wikipedia.org/wiki/Brazil" TargetMode="External"/><Relationship Id="rId136" Type="http://schemas.openxmlformats.org/officeDocument/2006/relationships/hyperlink" Target="https://en.wikipedia.org/wiki/Brazil" TargetMode="External"/><Relationship Id="rId378" Type="http://schemas.openxmlformats.org/officeDocument/2006/relationships/hyperlink" Target="https://en.wikipedia.org/wiki/Congregation_for_the_Oriental_Churches" TargetMode="External"/><Relationship Id="rId1088" Type="http://schemas.openxmlformats.org/officeDocument/2006/relationships/hyperlink" Target="https://en.wikipedia.org/wiki/Cardinal_priest" TargetMode="External"/><Relationship Id="rId135" Type="http://schemas.openxmlformats.org/officeDocument/2006/relationships/hyperlink" Target="https://en.wikipedia.org/wiki/Cl%C3%A1udio_Hummes" TargetMode="External"/><Relationship Id="rId377" Type="http://schemas.openxmlformats.org/officeDocument/2006/relationships/hyperlink" Target="https://en.wikipedia.org/wiki/Cardinal_deacon" TargetMode="External"/><Relationship Id="rId1089" Type="http://schemas.openxmlformats.org/officeDocument/2006/relationships/hyperlink" Target="https://en.wikipedia.org/wiki/Roman_Catholic_Archdiocese_of_Porto_Alegre" TargetMode="External"/><Relationship Id="rId134" Type="http://schemas.openxmlformats.org/officeDocument/2006/relationships/hyperlink" Target="https://en.wikipedia.org/wiki/Roman_Catholic_Archdiocese_of_Lima" TargetMode="External"/><Relationship Id="rId376" Type="http://schemas.openxmlformats.org/officeDocument/2006/relationships/hyperlink" Target="https://en.wikipedia.org/wiki/Argentina" TargetMode="External"/><Relationship Id="rId133" Type="http://schemas.openxmlformats.org/officeDocument/2006/relationships/hyperlink" Target="https://en.wikipedia.org/wiki/Cardinal_priest" TargetMode="External"/><Relationship Id="rId375" Type="http://schemas.openxmlformats.org/officeDocument/2006/relationships/hyperlink" Target="https://en.wikipedia.org/wiki/Leonardo_Sandri" TargetMode="External"/><Relationship Id="rId172" Type="http://schemas.openxmlformats.org/officeDocument/2006/relationships/hyperlink" Target="https://en.wikipedia.org/wiki/United_States" TargetMode="External"/><Relationship Id="rId171" Type="http://schemas.openxmlformats.org/officeDocument/2006/relationships/hyperlink" Target="https://en.wikipedia.org/wiki/Justin_Francis_Rigali" TargetMode="External"/><Relationship Id="rId170" Type="http://schemas.openxmlformats.org/officeDocument/2006/relationships/hyperlink" Target="https://en.wikipedia.org/wiki/Roman_Catholic_Archdiocese_of_Seville" TargetMode="External"/><Relationship Id="rId165" Type="http://schemas.openxmlformats.org/officeDocument/2006/relationships/hyperlink" Target="https://en.wikipedia.org/wiki/Cardinal_priest" TargetMode="External"/><Relationship Id="rId164" Type="http://schemas.openxmlformats.org/officeDocument/2006/relationships/hyperlink" Target="https://en.wikipedia.org/wiki/Sudan" TargetMode="External"/><Relationship Id="rId163" Type="http://schemas.openxmlformats.org/officeDocument/2006/relationships/hyperlink" Target="https://en.wikipedia.org/wiki/Gabriel_Zubeir_Wako" TargetMode="External"/><Relationship Id="rId162" Type="http://schemas.openxmlformats.org/officeDocument/2006/relationships/hyperlink" Target="https://en.wikipedia.org/wiki/Roman_Catholic_Archdiocese_of_Lagos" TargetMode="External"/><Relationship Id="rId169" Type="http://schemas.openxmlformats.org/officeDocument/2006/relationships/hyperlink" Target="https://en.wikipedia.org/wiki/Cardinal_priest" TargetMode="External"/><Relationship Id="rId168" Type="http://schemas.openxmlformats.org/officeDocument/2006/relationships/hyperlink" Target="https://en.wikipedia.org/wiki/Spain" TargetMode="External"/><Relationship Id="rId167" Type="http://schemas.openxmlformats.org/officeDocument/2006/relationships/hyperlink" Target="https://en.wikipedia.org/wiki/Carlos_Amigo_Vallejo" TargetMode="External"/><Relationship Id="rId166" Type="http://schemas.openxmlformats.org/officeDocument/2006/relationships/hyperlink" Target="https://en.wikipedia.org/wiki/Roman_Catholic_Archdiocese_of_Khartoum" TargetMode="External"/><Relationship Id="rId161" Type="http://schemas.openxmlformats.org/officeDocument/2006/relationships/hyperlink" Target="https://en.wikipedia.org/wiki/Cardinal_priest" TargetMode="External"/><Relationship Id="rId160" Type="http://schemas.openxmlformats.org/officeDocument/2006/relationships/hyperlink" Target="https://en.wikipedia.org/wiki/Nigeria" TargetMode="External"/><Relationship Id="rId159" Type="http://schemas.openxmlformats.org/officeDocument/2006/relationships/hyperlink" Target="https://en.wikipedia.org/wiki/Anthony_Olubunmi_Okogie" TargetMode="External"/><Relationship Id="rId154" Type="http://schemas.openxmlformats.org/officeDocument/2006/relationships/hyperlink" Target="https://en.wikipedia.org/wiki/Roman_Catholic_Diocese_of_Mainz" TargetMode="External"/><Relationship Id="rId396" Type="http://schemas.openxmlformats.org/officeDocument/2006/relationships/hyperlink" Target="https://en.wikipedia.org/wiki/Italy" TargetMode="External"/><Relationship Id="rId153" Type="http://schemas.openxmlformats.org/officeDocument/2006/relationships/hyperlink" Target="https://en.wikipedia.org/wiki/Cardinal_priest" TargetMode="External"/><Relationship Id="rId395" Type="http://schemas.openxmlformats.org/officeDocument/2006/relationships/hyperlink" Target="https://en.wikipedia.org/wiki/Raffaele_Farina" TargetMode="External"/><Relationship Id="rId152" Type="http://schemas.openxmlformats.org/officeDocument/2006/relationships/hyperlink" Target="https://en.wikipedia.org/wiki/Germany" TargetMode="External"/><Relationship Id="rId394" Type="http://schemas.openxmlformats.org/officeDocument/2006/relationships/hyperlink" Target="https://en.wikipedia.org/wiki/Pontifical_Council_for_the_Laity" TargetMode="External"/><Relationship Id="rId151" Type="http://schemas.openxmlformats.org/officeDocument/2006/relationships/hyperlink" Target="https://en.wikipedia.org/wiki/Karl_Lehmann" TargetMode="External"/><Relationship Id="rId393" Type="http://schemas.openxmlformats.org/officeDocument/2006/relationships/hyperlink" Target="https://en.wikipedia.org/wiki/Cardinal_deacon" TargetMode="External"/><Relationship Id="rId158" Type="http://schemas.openxmlformats.org/officeDocument/2006/relationships/hyperlink" Target="https://en.wikipedia.org/wiki/Roman_Catholic_Archdiocese_of_Milan" TargetMode="External"/><Relationship Id="rId157" Type="http://schemas.openxmlformats.org/officeDocument/2006/relationships/hyperlink" Target="https://en.wikipedia.org/wiki/Cardinal_priest" TargetMode="External"/><Relationship Id="rId399" Type="http://schemas.openxmlformats.org/officeDocument/2006/relationships/hyperlink" Target="https://en.wikipedia.org/wiki/Angelo_Amato" TargetMode="External"/><Relationship Id="rId156" Type="http://schemas.openxmlformats.org/officeDocument/2006/relationships/hyperlink" Target="https://en.wikipedia.org/wiki/Italy" TargetMode="External"/><Relationship Id="rId398" Type="http://schemas.openxmlformats.org/officeDocument/2006/relationships/hyperlink" Target="https://en.wikipedia.org/wiki/Archivist_and_Librarian_of_the_Holy_Roman_Church" TargetMode="External"/><Relationship Id="rId155" Type="http://schemas.openxmlformats.org/officeDocument/2006/relationships/hyperlink" Target="https://en.wikipedia.org/wiki/Angelo_Scola" TargetMode="External"/><Relationship Id="rId397" Type="http://schemas.openxmlformats.org/officeDocument/2006/relationships/hyperlink" Target="https://en.wikipedia.org/wiki/Cardinal_deacon" TargetMode="External"/><Relationship Id="rId808" Type="http://schemas.openxmlformats.org/officeDocument/2006/relationships/hyperlink" Target="https://en.wikipedia.org/wiki/Cardinal_priest" TargetMode="External"/><Relationship Id="rId807" Type="http://schemas.openxmlformats.org/officeDocument/2006/relationships/hyperlink" Target="https://en.wikipedia.org/wiki/Republic_of_Sudan_(1985%E2%80%932019)" TargetMode="External"/><Relationship Id="rId806" Type="http://schemas.openxmlformats.org/officeDocument/2006/relationships/hyperlink" Target="https://en.wikipedia.org/wiki/Gabriel_Zubeir_Wako" TargetMode="External"/><Relationship Id="rId805" Type="http://schemas.openxmlformats.org/officeDocument/2006/relationships/hyperlink" Target="https://en.wikipedia.org/wiki/Roman_Catholic_Archdiocese_of_Marseille" TargetMode="External"/><Relationship Id="rId809" Type="http://schemas.openxmlformats.org/officeDocument/2006/relationships/hyperlink" Target="https://en.wikipedia.org/wiki/Roman_Catholic_Archdiocese_of_Khartoum" TargetMode="External"/><Relationship Id="rId800" Type="http://schemas.openxmlformats.org/officeDocument/2006/relationships/hyperlink" Target="https://en.wikipedia.org/wiki/Cardinal_priest" TargetMode="External"/><Relationship Id="rId804" Type="http://schemas.openxmlformats.org/officeDocument/2006/relationships/hyperlink" Target="https://en.wikipedia.org/wiki/Cardinal_priest" TargetMode="External"/><Relationship Id="rId803" Type="http://schemas.openxmlformats.org/officeDocument/2006/relationships/hyperlink" Target="https://en.wikipedia.org/wiki/France" TargetMode="External"/><Relationship Id="rId802" Type="http://schemas.openxmlformats.org/officeDocument/2006/relationships/hyperlink" Target="https://en.wikipedia.org/wiki/Bernard_Panafieu" TargetMode="External"/><Relationship Id="rId801" Type="http://schemas.openxmlformats.org/officeDocument/2006/relationships/hyperlink" Target="https://en.wikipedia.org/wiki/Roman_Catholic_Archdiocese_of_Lagos" TargetMode="External"/><Relationship Id="rId40" Type="http://schemas.openxmlformats.org/officeDocument/2006/relationships/hyperlink" Target="https://en.wikipedia.org/wiki/Germany" TargetMode="External"/><Relationship Id="rId1334" Type="http://schemas.openxmlformats.org/officeDocument/2006/relationships/hyperlink" Target="https://en.wikipedia.org/wiki/Mario_Nasalli_Rocca_di_Corneliano" TargetMode="External"/><Relationship Id="rId1335" Type="http://schemas.openxmlformats.org/officeDocument/2006/relationships/hyperlink" Target="https://en.wikipedia.org/wiki/Italy" TargetMode="External"/><Relationship Id="rId42" Type="http://schemas.openxmlformats.org/officeDocument/2006/relationships/hyperlink" Target="https://en.wikipedia.org/wiki/Roman_Catholic_Archdiocese_of_Cologne" TargetMode="External"/><Relationship Id="rId1336" Type="http://schemas.openxmlformats.org/officeDocument/2006/relationships/hyperlink" Target="https://en.wikipedia.org/wiki/Cardinal_deacon" TargetMode="External"/><Relationship Id="rId41" Type="http://schemas.openxmlformats.org/officeDocument/2006/relationships/hyperlink" Target="https://en.wikipedia.org/wiki/Cardinal_priest" TargetMode="External"/><Relationship Id="rId1337" Type="http://schemas.openxmlformats.org/officeDocument/2006/relationships/hyperlink" Target="https://en.wikipedia.org/wiki/Prefecture_of_the_Apostolic_Palaces" TargetMode="External"/><Relationship Id="rId44" Type="http://schemas.openxmlformats.org/officeDocument/2006/relationships/hyperlink" Target="https://en.wikipedia.org/wiki/Dominican_Republic" TargetMode="External"/><Relationship Id="rId1338" Type="http://schemas.openxmlformats.org/officeDocument/2006/relationships/hyperlink" Target="https://en.wikipedia.org/wiki/Sergio_Guerri" TargetMode="External"/><Relationship Id="rId43" Type="http://schemas.openxmlformats.org/officeDocument/2006/relationships/hyperlink" Target="https://en.wikipedia.org/wiki/Nicol%C3%A1s_de_Jes%C3%BAs_L%C3%B3pez_Rodr%C3%ADguez" TargetMode="External"/><Relationship Id="rId1339" Type="http://schemas.openxmlformats.org/officeDocument/2006/relationships/hyperlink" Target="https://en.wikipedia.org/wiki/Italy" TargetMode="External"/><Relationship Id="rId46" Type="http://schemas.openxmlformats.org/officeDocument/2006/relationships/hyperlink" Target="https://en.wikipedia.org/wiki/Roman_Catholic_Archdiocese_of_Santo_Domingo" TargetMode="External"/><Relationship Id="rId45" Type="http://schemas.openxmlformats.org/officeDocument/2006/relationships/hyperlink" Target="https://en.wikipedia.org/wiki/Cardinal_priest" TargetMode="External"/><Relationship Id="rId509" Type="http://schemas.openxmlformats.org/officeDocument/2006/relationships/hyperlink" Target="https://en.wikipedia.org/wiki/Roman_Catholic_Archdiocese_of_Krak%C3%B3w" TargetMode="External"/><Relationship Id="rId508" Type="http://schemas.openxmlformats.org/officeDocument/2006/relationships/hyperlink" Target="https://en.wikipedia.org/wiki/Cardinal_priest" TargetMode="External"/><Relationship Id="rId503" Type="http://schemas.openxmlformats.org/officeDocument/2006/relationships/hyperlink" Target="https://en.wikipedia.org/wiki/Italy" TargetMode="External"/><Relationship Id="rId745" Type="http://schemas.openxmlformats.org/officeDocument/2006/relationships/hyperlink" Target="https://en.wikipedia.org/wiki/Roman_Catholic_Archdiocese_of_Tegucigalpa" TargetMode="External"/><Relationship Id="rId987" Type="http://schemas.openxmlformats.org/officeDocument/2006/relationships/hyperlink" Target="https://en.wikipedia.org/wiki/Venezuela" TargetMode="External"/><Relationship Id="rId502" Type="http://schemas.openxmlformats.org/officeDocument/2006/relationships/hyperlink" Target="https://en.wikipedia.org/wiki/Marco_C%C3%A9" TargetMode="External"/><Relationship Id="rId744" Type="http://schemas.openxmlformats.org/officeDocument/2006/relationships/hyperlink" Target="https://en.wikipedia.org/wiki/Cardinal_priest" TargetMode="External"/><Relationship Id="rId986" Type="http://schemas.openxmlformats.org/officeDocument/2006/relationships/hyperlink" Target="https://en.wikipedia.org/wiki/Jos%C3%A9_Humberto_Quintero_Parra" TargetMode="External"/><Relationship Id="rId501" Type="http://schemas.openxmlformats.org/officeDocument/2006/relationships/hyperlink" Target="https://en.wikipedia.org/wiki/Apostolic_Penitentiary" TargetMode="External"/><Relationship Id="rId743" Type="http://schemas.openxmlformats.org/officeDocument/2006/relationships/hyperlink" Target="https://en.wikipedia.org/wiki/Honduras" TargetMode="External"/><Relationship Id="rId985" Type="http://schemas.openxmlformats.org/officeDocument/2006/relationships/hyperlink" Target="https://en.wikipedia.org/wiki/Roman_Catholic_Archdiocese_of_Dar-es-Salaam" TargetMode="External"/><Relationship Id="rId500" Type="http://schemas.openxmlformats.org/officeDocument/2006/relationships/hyperlink" Target="https://en.wikipedia.org/wiki/Cardinal_priest" TargetMode="External"/><Relationship Id="rId742" Type="http://schemas.openxmlformats.org/officeDocument/2006/relationships/hyperlink" Target="https://en.wikipedia.org/wiki/%C3%93scar_Andr%C3%A9s_Rodr%C3%ADguez_Maradiaga" TargetMode="External"/><Relationship Id="rId984" Type="http://schemas.openxmlformats.org/officeDocument/2006/relationships/hyperlink" Target="https://en.wikipedia.org/wiki/Cardinal_priest" TargetMode="External"/><Relationship Id="rId507" Type="http://schemas.openxmlformats.org/officeDocument/2006/relationships/hyperlink" Target="https://en.wikipedia.org/wiki/Poland" TargetMode="External"/><Relationship Id="rId749" Type="http://schemas.openxmlformats.org/officeDocument/2006/relationships/hyperlink" Target="https://en.wikipedia.org/wiki/Roman_Catholic_Archdiocese_of_Abidjan" TargetMode="External"/><Relationship Id="rId506" Type="http://schemas.openxmlformats.org/officeDocument/2006/relationships/hyperlink" Target="https://en.wikipedia.org/wiki/Franciszek_Macharski" TargetMode="External"/><Relationship Id="rId748" Type="http://schemas.openxmlformats.org/officeDocument/2006/relationships/hyperlink" Target="https://en.wikipedia.org/wiki/Cardinal_priest" TargetMode="External"/><Relationship Id="rId505" Type="http://schemas.openxmlformats.org/officeDocument/2006/relationships/hyperlink" Target="https://en.wikipedia.org/wiki/Patriarchate_of_Venice" TargetMode="External"/><Relationship Id="rId747" Type="http://schemas.openxmlformats.org/officeDocument/2006/relationships/hyperlink" Target="https://en.wikipedia.org/wiki/Ivory_Coast" TargetMode="External"/><Relationship Id="rId989" Type="http://schemas.openxmlformats.org/officeDocument/2006/relationships/hyperlink" Target="https://en.wikipedia.org/wiki/Roman_Catholic_Archdiocese_of_Caracas" TargetMode="External"/><Relationship Id="rId504" Type="http://schemas.openxmlformats.org/officeDocument/2006/relationships/hyperlink" Target="https://en.wikipedia.org/wiki/Cardinal_priest" TargetMode="External"/><Relationship Id="rId746" Type="http://schemas.openxmlformats.org/officeDocument/2006/relationships/hyperlink" Target="https://en.wikipedia.org/wiki/Bernard_Agr%C3%A9" TargetMode="External"/><Relationship Id="rId988" Type="http://schemas.openxmlformats.org/officeDocument/2006/relationships/hyperlink" Target="https://en.wikipedia.org/wiki/Cardinal_priest" TargetMode="External"/><Relationship Id="rId48" Type="http://schemas.openxmlformats.org/officeDocument/2006/relationships/hyperlink" Target="https://en.wikipedia.org/wiki/United_States" TargetMode="External"/><Relationship Id="rId47" Type="http://schemas.openxmlformats.org/officeDocument/2006/relationships/hyperlink" Target="https://en.wikipedia.org/wiki/Roger_Michael_Mahony" TargetMode="External"/><Relationship Id="rId49" Type="http://schemas.openxmlformats.org/officeDocument/2006/relationships/hyperlink" Target="https://en.wikipedia.org/wiki/Cardinal_priest" TargetMode="External"/><Relationship Id="rId741" Type="http://schemas.openxmlformats.org/officeDocument/2006/relationships/hyperlink" Target="https://en.wikipedia.org/wiki/Roman_Catholic_Archdiocese_of_Durban" TargetMode="External"/><Relationship Id="rId983" Type="http://schemas.openxmlformats.org/officeDocument/2006/relationships/hyperlink" Target="https://en.wikipedia.org/wiki/Tanzania" TargetMode="External"/><Relationship Id="rId1330" Type="http://schemas.openxmlformats.org/officeDocument/2006/relationships/hyperlink" Target="https://en.wikipedia.org/wiki/Giuseppe_Paupini" TargetMode="External"/><Relationship Id="rId740" Type="http://schemas.openxmlformats.org/officeDocument/2006/relationships/hyperlink" Target="https://en.wikipedia.org/wiki/Cardinal_priest" TargetMode="External"/><Relationship Id="rId982" Type="http://schemas.openxmlformats.org/officeDocument/2006/relationships/hyperlink" Target="https://en.wikipedia.org/wiki/Laurean_Rugambwa" TargetMode="External"/><Relationship Id="rId1331" Type="http://schemas.openxmlformats.org/officeDocument/2006/relationships/hyperlink" Target="https://en.wikipedia.org/wiki/Italy" TargetMode="External"/><Relationship Id="rId981" Type="http://schemas.openxmlformats.org/officeDocument/2006/relationships/hyperlink" Target="https://en.wikipedia.org/wiki/Roman_Catholic_Archdiocese_of_Utrecht" TargetMode="External"/><Relationship Id="rId1332" Type="http://schemas.openxmlformats.org/officeDocument/2006/relationships/hyperlink" Target="https://en.wikipedia.org/wiki/Cardinal_deacon" TargetMode="External"/><Relationship Id="rId980" Type="http://schemas.openxmlformats.org/officeDocument/2006/relationships/hyperlink" Target="https://en.wikipedia.org/wiki/Cardinal_priest" TargetMode="External"/><Relationship Id="rId1333" Type="http://schemas.openxmlformats.org/officeDocument/2006/relationships/hyperlink" Target="https://en.wikipedia.org/wiki/Apostolic_Penitentiary" TargetMode="External"/><Relationship Id="rId1323" Type="http://schemas.openxmlformats.org/officeDocument/2006/relationships/hyperlink" Target="https://en.wikipedia.org/wiki/Italy" TargetMode="External"/><Relationship Id="rId1324" Type="http://schemas.openxmlformats.org/officeDocument/2006/relationships/hyperlink" Target="https://en.wikipedia.org/wiki/Cardinal_deacon" TargetMode="External"/><Relationship Id="rId31" Type="http://schemas.openxmlformats.org/officeDocument/2006/relationships/hyperlink" Target="https://en.wikipedia.org/wiki/B%C3%A9chara_Boutros_Ra%C3%AF" TargetMode="External"/><Relationship Id="rId1325" Type="http://schemas.openxmlformats.org/officeDocument/2006/relationships/hyperlink" Target="https://en.wikipedia.org/wiki/Supreme_Tribunal_of_the_Apostolic_Signatura" TargetMode="External"/><Relationship Id="rId30" Type="http://schemas.openxmlformats.org/officeDocument/2006/relationships/hyperlink" Target="https://en.wikipedia.org/wiki/Coptic_Catholic_Patriarchate_of_Alexandria" TargetMode="External"/><Relationship Id="rId1326" Type="http://schemas.openxmlformats.org/officeDocument/2006/relationships/hyperlink" Target="https://en.wikipedia.org/wiki/Silvio_Oddi" TargetMode="External"/><Relationship Id="rId33" Type="http://schemas.openxmlformats.org/officeDocument/2006/relationships/hyperlink" Target="https://en.wikipedia.org/wiki/Cardinal_bishop" TargetMode="External"/><Relationship Id="rId1327" Type="http://schemas.openxmlformats.org/officeDocument/2006/relationships/hyperlink" Target="https://en.wikipedia.org/wiki/Italy" TargetMode="External"/><Relationship Id="rId32" Type="http://schemas.openxmlformats.org/officeDocument/2006/relationships/hyperlink" Target="https://en.wikipedia.org/wiki/Lebanon" TargetMode="External"/><Relationship Id="rId1328" Type="http://schemas.openxmlformats.org/officeDocument/2006/relationships/hyperlink" Target="https://en.wikipedia.org/wiki/Cardinal_deacon" TargetMode="External"/><Relationship Id="rId35" Type="http://schemas.openxmlformats.org/officeDocument/2006/relationships/hyperlink" Target="https://en.wikipedia.org/wiki/Godfried_Danneels" TargetMode="External"/><Relationship Id="rId1329" Type="http://schemas.openxmlformats.org/officeDocument/2006/relationships/hyperlink" Target="https://en.wikipedia.org/wiki/Pontifical_Legation_for_the_Basilica_of_Saint_Francis_of_Assisi" TargetMode="External"/><Relationship Id="rId34" Type="http://schemas.openxmlformats.org/officeDocument/2006/relationships/hyperlink" Target="https://en.wikipedia.org/wiki/Maronite_Catholic_Patriarchate_of_Antioch" TargetMode="External"/><Relationship Id="rId739" Type="http://schemas.openxmlformats.org/officeDocument/2006/relationships/hyperlink" Target="https://en.wikipedia.org/wiki/South_Africa" TargetMode="External"/><Relationship Id="rId734" Type="http://schemas.openxmlformats.org/officeDocument/2006/relationships/hyperlink" Target="https://en.wikipedia.org/wiki/Julio_Terrazas_Sandoval" TargetMode="External"/><Relationship Id="rId976" Type="http://schemas.openxmlformats.org/officeDocument/2006/relationships/hyperlink" Target="https://en.wikipedia.org/wiki/Cardinal_priest" TargetMode="External"/><Relationship Id="rId733" Type="http://schemas.openxmlformats.org/officeDocument/2006/relationships/hyperlink" Target="https://en.wikipedia.org/wiki/Roman_Catholic_Archdiocese_of_Santiago_de_Chile" TargetMode="External"/><Relationship Id="rId975" Type="http://schemas.openxmlformats.org/officeDocument/2006/relationships/hyperlink" Target="https://en.wikipedia.org/wiki/Austria" TargetMode="External"/><Relationship Id="rId732" Type="http://schemas.openxmlformats.org/officeDocument/2006/relationships/hyperlink" Target="https://en.wikipedia.org/wiki/Cardinal_priest" TargetMode="External"/><Relationship Id="rId974" Type="http://schemas.openxmlformats.org/officeDocument/2006/relationships/hyperlink" Target="https://en.wikipedia.org/wiki/Franz_K%C3%B6nig" TargetMode="External"/><Relationship Id="rId731" Type="http://schemas.openxmlformats.org/officeDocument/2006/relationships/hyperlink" Target="https://en.wikipedia.org/wiki/Chile" TargetMode="External"/><Relationship Id="rId973" Type="http://schemas.openxmlformats.org/officeDocument/2006/relationships/hyperlink" Target="https://en.wikipedia.org/wiki/Roman_Catholic_Archdiocese_of_Seville" TargetMode="External"/><Relationship Id="rId738" Type="http://schemas.openxmlformats.org/officeDocument/2006/relationships/hyperlink" Target="https://en.wikipedia.org/wiki/Wilfrid_Fox_Napier" TargetMode="External"/><Relationship Id="rId737" Type="http://schemas.openxmlformats.org/officeDocument/2006/relationships/hyperlink" Target="https://en.wikipedia.org/wiki/Roman_Catholic_Archdiocese_of_Santa_Cruz_de_la_Sierra" TargetMode="External"/><Relationship Id="rId979" Type="http://schemas.openxmlformats.org/officeDocument/2006/relationships/hyperlink" Target="https://en.wikipedia.org/wiki/Netherlands" TargetMode="External"/><Relationship Id="rId736" Type="http://schemas.openxmlformats.org/officeDocument/2006/relationships/hyperlink" Target="https://en.wikipedia.org/wiki/Cardinal_priest" TargetMode="External"/><Relationship Id="rId978" Type="http://schemas.openxmlformats.org/officeDocument/2006/relationships/hyperlink" Target="https://en.wikipedia.org/wiki/Bernardus_Johannes_Alfrink" TargetMode="External"/><Relationship Id="rId735" Type="http://schemas.openxmlformats.org/officeDocument/2006/relationships/hyperlink" Target="https://en.wikipedia.org/wiki/Bolivia" TargetMode="External"/><Relationship Id="rId977" Type="http://schemas.openxmlformats.org/officeDocument/2006/relationships/hyperlink" Target="https://en.wikipedia.org/wiki/Roman_Catholic_Archdiocese_of_Vienna" TargetMode="External"/><Relationship Id="rId37" Type="http://schemas.openxmlformats.org/officeDocument/2006/relationships/hyperlink" Target="https://en.wikipedia.org/wiki/Cardinal_priest" TargetMode="External"/><Relationship Id="rId36" Type="http://schemas.openxmlformats.org/officeDocument/2006/relationships/hyperlink" Target="https://en.wikipedia.org/wiki/Belgium" TargetMode="External"/><Relationship Id="rId39" Type="http://schemas.openxmlformats.org/officeDocument/2006/relationships/hyperlink" Target="https://en.wikipedia.org/wiki/Joachim_Meisner" TargetMode="External"/><Relationship Id="rId38" Type="http://schemas.openxmlformats.org/officeDocument/2006/relationships/hyperlink" Target="https://en.wikipedia.org/wiki/Roman_Catholic_Archdiocese_of_Mechelen%E2%80%93Brussels" TargetMode="External"/><Relationship Id="rId730" Type="http://schemas.openxmlformats.org/officeDocument/2006/relationships/hyperlink" Target="https://en.wikipedia.org/wiki/Francisco_Javier_Err%C3%A1zuriz_Ossa" TargetMode="External"/><Relationship Id="rId972" Type="http://schemas.openxmlformats.org/officeDocument/2006/relationships/hyperlink" Target="https://en.wikipedia.org/wiki/Cardinal_priest" TargetMode="External"/><Relationship Id="rId971" Type="http://schemas.openxmlformats.org/officeDocument/2006/relationships/hyperlink" Target="https://en.wikipedia.org/wiki/Spanish_transition_to_democracy" TargetMode="External"/><Relationship Id="rId1320" Type="http://schemas.openxmlformats.org/officeDocument/2006/relationships/hyperlink" Target="https://en.wikipedia.org/wiki/Cardinal_priest" TargetMode="External"/><Relationship Id="rId970" Type="http://schemas.openxmlformats.org/officeDocument/2006/relationships/hyperlink" Target="https://en.wikipedia.org/wiki/Jos%C3%A9_Mar%C3%ADa_Bueno_y_Monreal" TargetMode="External"/><Relationship Id="rId1321" Type="http://schemas.openxmlformats.org/officeDocument/2006/relationships/hyperlink" Target="https://en.wikipedia.org/wiki/Roman_Catholic_Archdiocese_of_Munich_and_Freising" TargetMode="External"/><Relationship Id="rId1322" Type="http://schemas.openxmlformats.org/officeDocument/2006/relationships/hyperlink" Target="https://en.wikipedia.org/wiki/Pericle_Felici" TargetMode="External"/><Relationship Id="rId1114" Type="http://schemas.openxmlformats.org/officeDocument/2006/relationships/hyperlink" Target="https://en.wikipedia.org/wiki/George_Bernard_Flahiff" TargetMode="External"/><Relationship Id="rId1356" Type="http://schemas.openxmlformats.org/officeDocument/2006/relationships/hyperlink" Target="https://en.wikipedia.org/wiki/Sacred_Congregation_for_the_Clergy" TargetMode="External"/><Relationship Id="rId1115" Type="http://schemas.openxmlformats.org/officeDocument/2006/relationships/hyperlink" Target="https://en.wikipedia.org/wiki/Canada" TargetMode="External"/><Relationship Id="rId1357" Type="http://schemas.openxmlformats.org/officeDocument/2006/relationships/hyperlink" Target="https://en.wikipedia.org/wiki/Opilio_Rossi" TargetMode="External"/><Relationship Id="rId20" Type="http://schemas.openxmlformats.org/officeDocument/2006/relationships/hyperlink" Target="https://en.wikipedia.org/wiki/Italy" TargetMode="External"/><Relationship Id="rId1116" Type="http://schemas.openxmlformats.org/officeDocument/2006/relationships/hyperlink" Target="https://en.wikipedia.org/wiki/Cardinal_priest" TargetMode="External"/><Relationship Id="rId1358" Type="http://schemas.openxmlformats.org/officeDocument/2006/relationships/hyperlink" Target="https://en.wikipedia.org/wiki/Italy" TargetMode="External"/><Relationship Id="rId1117" Type="http://schemas.openxmlformats.org/officeDocument/2006/relationships/hyperlink" Target="https://en.wikipedia.org/wiki/Roman_Catholic_Archdiocese_of_Winnipeg" TargetMode="External"/><Relationship Id="rId1359" Type="http://schemas.openxmlformats.org/officeDocument/2006/relationships/hyperlink" Target="https://en.wikipedia.org/wiki/Cardinal_deacon" TargetMode="External"/><Relationship Id="rId22" Type="http://schemas.openxmlformats.org/officeDocument/2006/relationships/hyperlink" Target="https://en.wikipedia.org/wiki/Congregation_for_Bishops" TargetMode="External"/><Relationship Id="rId1118" Type="http://schemas.openxmlformats.org/officeDocument/2006/relationships/hyperlink" Target="https://en.wikipedia.org/wiki/Paul_Gouyon" TargetMode="External"/><Relationship Id="rId21" Type="http://schemas.openxmlformats.org/officeDocument/2006/relationships/hyperlink" Target="https://en.wikipedia.org/wiki/Cardinal_bishop" TargetMode="External"/><Relationship Id="rId1119" Type="http://schemas.openxmlformats.org/officeDocument/2006/relationships/hyperlink" Target="https://en.wikipedia.org/wiki/France" TargetMode="External"/><Relationship Id="rId24" Type="http://schemas.openxmlformats.org/officeDocument/2006/relationships/hyperlink" Target="https://en.wikipedia.org/wiki/Italy" TargetMode="External"/><Relationship Id="rId23" Type="http://schemas.openxmlformats.org/officeDocument/2006/relationships/hyperlink" Target="https://en.wikipedia.org/wiki/Tarcisio_Bertone" TargetMode="External"/><Relationship Id="rId525" Type="http://schemas.openxmlformats.org/officeDocument/2006/relationships/hyperlink" Target="https://en.wikipedia.org/wiki/Roman_Catholic_Archdiocese_of_Milan" TargetMode="External"/><Relationship Id="rId767" Type="http://schemas.openxmlformats.org/officeDocument/2006/relationships/hyperlink" Target="https://en.wikipedia.org/wiki/Argentina" TargetMode="External"/><Relationship Id="rId524" Type="http://schemas.openxmlformats.org/officeDocument/2006/relationships/hyperlink" Target="https://en.wikipedia.org/wiki/Cardinal_priest" TargetMode="External"/><Relationship Id="rId766" Type="http://schemas.openxmlformats.org/officeDocument/2006/relationships/hyperlink" Target="https://en.wikipedia.org/wiki/Jorge_Mario_Bergoglio" TargetMode="External"/><Relationship Id="rId523" Type="http://schemas.openxmlformats.org/officeDocument/2006/relationships/hyperlink" Target="https://en.wikipedia.org/wiki/Italy" TargetMode="External"/><Relationship Id="rId765" Type="http://schemas.openxmlformats.org/officeDocument/2006/relationships/hyperlink" Target="https://en.wikipedia.org/wiki/Syro-Malabar_Catholic_Major_Archeparchy_of_Ernakulam%E2%80%93Angamaly" TargetMode="External"/><Relationship Id="rId522" Type="http://schemas.openxmlformats.org/officeDocument/2006/relationships/hyperlink" Target="https://en.wikipedia.org/wiki/Carlo_Maria_Martini" TargetMode="External"/><Relationship Id="rId764" Type="http://schemas.openxmlformats.org/officeDocument/2006/relationships/hyperlink" Target="https://en.wikipedia.org/wiki/Cardinal_priest" TargetMode="External"/><Relationship Id="rId529" Type="http://schemas.openxmlformats.org/officeDocument/2006/relationships/hyperlink" Target="https://en.wikipedia.org/wiki/Roman_Catholic_Archdiocese_of_Paris" TargetMode="External"/><Relationship Id="rId528" Type="http://schemas.openxmlformats.org/officeDocument/2006/relationships/hyperlink" Target="https://en.wikipedia.org/wiki/Cardinal_priest" TargetMode="External"/><Relationship Id="rId527" Type="http://schemas.openxmlformats.org/officeDocument/2006/relationships/hyperlink" Target="https://en.wikipedia.org/wiki/France" TargetMode="External"/><Relationship Id="rId769" Type="http://schemas.openxmlformats.org/officeDocument/2006/relationships/hyperlink" Target="https://en.wikipedia.org/wiki/Roman_Catholic_Archdiocese_of_Buenos_Aires" TargetMode="External"/><Relationship Id="rId526" Type="http://schemas.openxmlformats.org/officeDocument/2006/relationships/hyperlink" Target="https://en.wikipedia.org/wiki/Jean-Marie_Lustiger" TargetMode="External"/><Relationship Id="rId768" Type="http://schemas.openxmlformats.org/officeDocument/2006/relationships/hyperlink" Target="https://en.wikipedia.org/wiki/Cardinal_priest" TargetMode="External"/><Relationship Id="rId26" Type="http://schemas.openxmlformats.org/officeDocument/2006/relationships/hyperlink" Target="https://en.wikipedia.org/wiki/Cardinal_Secretary_of_State" TargetMode="External"/><Relationship Id="rId25" Type="http://schemas.openxmlformats.org/officeDocument/2006/relationships/hyperlink" Target="https://en.wikipedia.org/wiki/Cardinal_bishop" TargetMode="External"/><Relationship Id="rId28" Type="http://schemas.openxmlformats.org/officeDocument/2006/relationships/hyperlink" Target="https://en.wikipedia.org/wiki/Egypt" TargetMode="External"/><Relationship Id="rId1350" Type="http://schemas.openxmlformats.org/officeDocument/2006/relationships/hyperlink" Target="https://en.wikipedia.org/wiki/France" TargetMode="External"/><Relationship Id="rId27" Type="http://schemas.openxmlformats.org/officeDocument/2006/relationships/hyperlink" Target="https://en.wikipedia.org/wiki/Antonios_Naguib" TargetMode="External"/><Relationship Id="rId1351" Type="http://schemas.openxmlformats.org/officeDocument/2006/relationships/hyperlink" Target="https://en.wikipedia.org/wiki/Cardinal_deacon" TargetMode="External"/><Relationship Id="rId521" Type="http://schemas.openxmlformats.org/officeDocument/2006/relationships/hyperlink" Target="https://en.wikipedia.org/wiki/Roman_Catholic_Archdiocese_of_Wellington" TargetMode="External"/><Relationship Id="rId763" Type="http://schemas.openxmlformats.org/officeDocument/2006/relationships/hyperlink" Target="https://en.wikipedia.org/wiki/India" TargetMode="External"/><Relationship Id="rId1110" Type="http://schemas.openxmlformats.org/officeDocument/2006/relationships/hyperlink" Target="https://en.wikipedia.org/wiki/Fran%C3%A7ois_Marty" TargetMode="External"/><Relationship Id="rId1352" Type="http://schemas.openxmlformats.org/officeDocument/2006/relationships/hyperlink" Target="https://en.wikipedia.org/wiki/Sacred_Congregation_for_the_Oriental_Churches" TargetMode="External"/><Relationship Id="rId29" Type="http://schemas.openxmlformats.org/officeDocument/2006/relationships/hyperlink" Target="https://en.wikipedia.org/wiki/Cardinal_bishop" TargetMode="External"/><Relationship Id="rId520" Type="http://schemas.openxmlformats.org/officeDocument/2006/relationships/hyperlink" Target="https://en.wikipedia.org/wiki/Cardinal_priest" TargetMode="External"/><Relationship Id="rId762" Type="http://schemas.openxmlformats.org/officeDocument/2006/relationships/hyperlink" Target="https://en.wikipedia.org/wiki/Varkey_Vithayathil" TargetMode="External"/><Relationship Id="rId1111" Type="http://schemas.openxmlformats.org/officeDocument/2006/relationships/hyperlink" Target="https://en.wikipedia.org/wiki/France" TargetMode="External"/><Relationship Id="rId1353" Type="http://schemas.openxmlformats.org/officeDocument/2006/relationships/hyperlink" Target="https://en.wikipedia.org/wiki/Pietro_Palazzini" TargetMode="External"/><Relationship Id="rId761" Type="http://schemas.openxmlformats.org/officeDocument/2006/relationships/hyperlink" Target="https://en.wikipedia.org/wiki/Roman_Catholic_Archdiocese_of_S%C3%A3o_Paulo" TargetMode="External"/><Relationship Id="rId1112" Type="http://schemas.openxmlformats.org/officeDocument/2006/relationships/hyperlink" Target="https://en.wikipedia.org/wiki/Cardinal_priest" TargetMode="External"/><Relationship Id="rId1354" Type="http://schemas.openxmlformats.org/officeDocument/2006/relationships/hyperlink" Target="https://en.wikipedia.org/wiki/Italy" TargetMode="External"/><Relationship Id="rId760" Type="http://schemas.openxmlformats.org/officeDocument/2006/relationships/hyperlink" Target="https://en.wikipedia.org/wiki/Cardinal_priest" TargetMode="External"/><Relationship Id="rId1113" Type="http://schemas.openxmlformats.org/officeDocument/2006/relationships/hyperlink" Target="https://en.wikipedia.org/wiki/Roman_Catholic_Archdiocese_of_Paris" TargetMode="External"/><Relationship Id="rId1355" Type="http://schemas.openxmlformats.org/officeDocument/2006/relationships/hyperlink" Target="https://en.wikipedia.org/wiki/Cardinal_deacon" TargetMode="External"/><Relationship Id="rId1103" Type="http://schemas.openxmlformats.org/officeDocument/2006/relationships/hyperlink" Target="https://en.wikipedia.org/wiki/India" TargetMode="External"/><Relationship Id="rId1345" Type="http://schemas.openxmlformats.org/officeDocument/2006/relationships/hyperlink" Target="https://en.wikipedia.org/wiki/Secretariat_for_Non-Christians" TargetMode="External"/><Relationship Id="rId1104" Type="http://schemas.openxmlformats.org/officeDocument/2006/relationships/hyperlink" Target="https://en.wikipedia.org/wiki/Cardinal_priest" TargetMode="External"/><Relationship Id="rId1346" Type="http://schemas.openxmlformats.org/officeDocument/2006/relationships/hyperlink" Target="https://en.wikipedia.org/wiki/Umberto_Mozzoni" TargetMode="External"/><Relationship Id="rId1105" Type="http://schemas.openxmlformats.org/officeDocument/2006/relationships/hyperlink" Target="https://en.wikipedia.org/wiki/Syro-Malabar_Catholic_Archeparchy_of_Ernakulam" TargetMode="External"/><Relationship Id="rId1347" Type="http://schemas.openxmlformats.org/officeDocument/2006/relationships/hyperlink" Target="https://en.wikipedia.org/wiki/Argentina" TargetMode="External"/><Relationship Id="rId1106" Type="http://schemas.openxmlformats.org/officeDocument/2006/relationships/hyperlink" Target="https://en.wikipedia.org/wiki/John_Francis_Dearden" TargetMode="External"/><Relationship Id="rId1348" Type="http://schemas.openxmlformats.org/officeDocument/2006/relationships/hyperlink" Target="https://en.wikipedia.org/wiki/Cardinal_deacon" TargetMode="External"/><Relationship Id="rId11" Type="http://schemas.openxmlformats.org/officeDocument/2006/relationships/hyperlink" Target="https://en.wikipedia.org/wiki/Italy" TargetMode="External"/><Relationship Id="rId1107" Type="http://schemas.openxmlformats.org/officeDocument/2006/relationships/hyperlink" Target="https://en.wikipedia.org/wiki/United_States" TargetMode="External"/><Relationship Id="rId1349" Type="http://schemas.openxmlformats.org/officeDocument/2006/relationships/hyperlink" Target="https://en.wikipedia.org/wiki/Paul-Pierre_Philippe" TargetMode="External"/><Relationship Id="rId10" Type="http://schemas.openxmlformats.org/officeDocument/2006/relationships/hyperlink" Target="https://en.wikipedia.org/wiki/Italy" TargetMode="External"/><Relationship Id="rId1108" Type="http://schemas.openxmlformats.org/officeDocument/2006/relationships/hyperlink" Target="https://en.wikipedia.org/wiki/Cardinal_priest" TargetMode="External"/><Relationship Id="rId13" Type="http://schemas.openxmlformats.org/officeDocument/2006/relationships/hyperlink" Target="https://en.wikipedia.org/wiki/Italy" TargetMode="External"/><Relationship Id="rId1109" Type="http://schemas.openxmlformats.org/officeDocument/2006/relationships/hyperlink" Target="https://en.wikipedia.org/wiki/Roman_Catholic_Archdiocese_of_Detroit" TargetMode="External"/><Relationship Id="rId12" Type="http://schemas.openxmlformats.org/officeDocument/2006/relationships/hyperlink" Target="https://en.wikipedia.org/wiki/Italy" TargetMode="External"/><Relationship Id="rId519" Type="http://schemas.openxmlformats.org/officeDocument/2006/relationships/hyperlink" Target="https://en.wikipedia.org/wiki/New_Zealand" TargetMode="External"/><Relationship Id="rId514" Type="http://schemas.openxmlformats.org/officeDocument/2006/relationships/hyperlink" Target="https://en.wikipedia.org/wiki/Godfried_Danneels" TargetMode="External"/><Relationship Id="rId756" Type="http://schemas.openxmlformats.org/officeDocument/2006/relationships/hyperlink" Target="https://en.wikipedia.org/wiki/Cardinal_priest" TargetMode="External"/><Relationship Id="rId998" Type="http://schemas.openxmlformats.org/officeDocument/2006/relationships/hyperlink" Target="https://en.wikipedia.org/wiki/Leo-Jozef_Suenens" TargetMode="External"/><Relationship Id="rId513" Type="http://schemas.openxmlformats.org/officeDocument/2006/relationships/hyperlink" Target="https://en.wikipedia.org/wiki/Roman_Catholic_Archdiocese_of_Bangkok" TargetMode="External"/><Relationship Id="rId755" Type="http://schemas.openxmlformats.org/officeDocument/2006/relationships/hyperlink" Target="https://en.wikipedia.org/wiki/Spain" TargetMode="External"/><Relationship Id="rId997" Type="http://schemas.openxmlformats.org/officeDocument/2006/relationships/hyperlink" Target="https://en.wikipedia.org/wiki/Roman_Catholic_Archdiocese_of_Santiago_de_Chile" TargetMode="External"/><Relationship Id="rId512" Type="http://schemas.openxmlformats.org/officeDocument/2006/relationships/hyperlink" Target="https://en.wikipedia.org/wiki/Cardinal_priest" TargetMode="External"/><Relationship Id="rId754" Type="http://schemas.openxmlformats.org/officeDocument/2006/relationships/hyperlink" Target="https://en.wikipedia.org/wiki/Francisco_%C3%81lvarez_Mart%C3%ADnez" TargetMode="External"/><Relationship Id="rId996" Type="http://schemas.openxmlformats.org/officeDocument/2006/relationships/hyperlink" Target="https://en.wikipedia.org/wiki/Cardinal_priest" TargetMode="External"/><Relationship Id="rId511" Type="http://schemas.openxmlformats.org/officeDocument/2006/relationships/hyperlink" Target="https://en.wikipedia.org/wiki/Thailand" TargetMode="External"/><Relationship Id="rId753" Type="http://schemas.openxmlformats.org/officeDocument/2006/relationships/hyperlink" Target="https://en.wikipedia.org/wiki/Roman_Catholic_Archdiocese_of_Lima" TargetMode="External"/><Relationship Id="rId995" Type="http://schemas.openxmlformats.org/officeDocument/2006/relationships/hyperlink" Target="https://en.wikipedia.org/wiki/Chile" TargetMode="External"/><Relationship Id="rId518" Type="http://schemas.openxmlformats.org/officeDocument/2006/relationships/hyperlink" Target="https://en.wikipedia.org/wiki/Thomas_Stafford_Williams" TargetMode="External"/><Relationship Id="rId517" Type="http://schemas.openxmlformats.org/officeDocument/2006/relationships/hyperlink" Target="https://en.wikipedia.org/wiki/Roman_Catholic_Archdiocese_of_Mechelen%E2%80%93Brussels" TargetMode="External"/><Relationship Id="rId759" Type="http://schemas.openxmlformats.org/officeDocument/2006/relationships/hyperlink" Target="https://en.wikipedia.org/wiki/Brazil" TargetMode="External"/><Relationship Id="rId516" Type="http://schemas.openxmlformats.org/officeDocument/2006/relationships/hyperlink" Target="https://en.wikipedia.org/wiki/Cardinal_priest" TargetMode="External"/><Relationship Id="rId758" Type="http://schemas.openxmlformats.org/officeDocument/2006/relationships/hyperlink" Target="https://en.wikipedia.org/wiki/Cl%C3%A1udio_Hummes" TargetMode="External"/><Relationship Id="rId515" Type="http://schemas.openxmlformats.org/officeDocument/2006/relationships/hyperlink" Target="https://en.wikipedia.org/wiki/Belgium" TargetMode="External"/><Relationship Id="rId757" Type="http://schemas.openxmlformats.org/officeDocument/2006/relationships/hyperlink" Target="https://en.wikipedia.org/wiki/Roman_Catholic_Archdiocese_of_Toledo" TargetMode="External"/><Relationship Id="rId999" Type="http://schemas.openxmlformats.org/officeDocument/2006/relationships/hyperlink" Target="https://en.wikipedia.org/wiki/Belgium" TargetMode="External"/><Relationship Id="rId15" Type="http://schemas.openxmlformats.org/officeDocument/2006/relationships/hyperlink" Target="https://en.wikipedia.org/wiki/Italy" TargetMode="External"/><Relationship Id="rId990" Type="http://schemas.openxmlformats.org/officeDocument/2006/relationships/hyperlink" Target="https://en.wikipedia.org/wiki/Juan_Land%C3%A1zuri_Ricketts" TargetMode="External"/><Relationship Id="rId14" Type="http://schemas.openxmlformats.org/officeDocument/2006/relationships/hyperlink" Target="https://en.wikipedia.org/wiki/Italy" TargetMode="External"/><Relationship Id="rId17" Type="http://schemas.openxmlformats.org/officeDocument/2006/relationships/hyperlink" Target="https://en.wikipedia.org/wiki/Italy" TargetMode="External"/><Relationship Id="rId16" Type="http://schemas.openxmlformats.org/officeDocument/2006/relationships/hyperlink" Target="https://en.wikipedia.org/wiki/Italy" TargetMode="External"/><Relationship Id="rId1340" Type="http://schemas.openxmlformats.org/officeDocument/2006/relationships/hyperlink" Target="https://en.wikipedia.org/wiki/Cardinal_deacon" TargetMode="External"/><Relationship Id="rId19" Type="http://schemas.openxmlformats.org/officeDocument/2006/relationships/hyperlink" Target="https://en.wikipedia.org/wiki/Giovanni_Battista_Re" TargetMode="External"/><Relationship Id="rId510" Type="http://schemas.openxmlformats.org/officeDocument/2006/relationships/hyperlink" Target="https://en.wikipedia.org/wiki/Michael_Michai_Kitbunchu" TargetMode="External"/><Relationship Id="rId752" Type="http://schemas.openxmlformats.org/officeDocument/2006/relationships/hyperlink" Target="https://en.wikipedia.org/wiki/Cardinal_priest" TargetMode="External"/><Relationship Id="rId994" Type="http://schemas.openxmlformats.org/officeDocument/2006/relationships/hyperlink" Target="https://en.wikipedia.org/wiki/Ra%C3%BAl_Silva_Henr%C3%ADquez" TargetMode="External"/><Relationship Id="rId1341" Type="http://schemas.openxmlformats.org/officeDocument/2006/relationships/hyperlink" Target="https://en.wikipedia.org/wiki/Pontifical_Commission_for_Vatican_City_State" TargetMode="External"/><Relationship Id="rId18" Type="http://schemas.openxmlformats.org/officeDocument/2006/relationships/hyperlink" Target="https://en.wikipedia.org/wiki/Italy" TargetMode="External"/><Relationship Id="rId751" Type="http://schemas.openxmlformats.org/officeDocument/2006/relationships/hyperlink" Target="https://en.wikipedia.org/wiki/Peru" TargetMode="External"/><Relationship Id="rId993" Type="http://schemas.openxmlformats.org/officeDocument/2006/relationships/hyperlink" Target="https://en.wikipedia.org/wiki/Roman_Catholic_Archdiocese_of_Lima" TargetMode="External"/><Relationship Id="rId1100" Type="http://schemas.openxmlformats.org/officeDocument/2006/relationships/hyperlink" Target="https://en.wikipedia.org/wiki/Cardinal_priest" TargetMode="External"/><Relationship Id="rId1342" Type="http://schemas.openxmlformats.org/officeDocument/2006/relationships/hyperlink" Target="https://en.wikipedia.org/wiki/Sergio_Pignedoli" TargetMode="External"/><Relationship Id="rId750" Type="http://schemas.openxmlformats.org/officeDocument/2006/relationships/hyperlink" Target="https://en.wikipedia.org/wiki/Juan_Luis_Cipriani_Thorne" TargetMode="External"/><Relationship Id="rId992" Type="http://schemas.openxmlformats.org/officeDocument/2006/relationships/hyperlink" Target="https://en.wikipedia.org/wiki/Cardinal_priest" TargetMode="External"/><Relationship Id="rId1101" Type="http://schemas.openxmlformats.org/officeDocument/2006/relationships/hyperlink" Target="https://en.wikipedia.org/wiki/Sacred_Congregation_for_the_Causes_of_Saints" TargetMode="External"/><Relationship Id="rId1343" Type="http://schemas.openxmlformats.org/officeDocument/2006/relationships/hyperlink" Target="https://en.wikipedia.org/wiki/Italy" TargetMode="External"/><Relationship Id="rId991" Type="http://schemas.openxmlformats.org/officeDocument/2006/relationships/hyperlink" Target="https://en.wikipedia.org/wiki/Peru" TargetMode="External"/><Relationship Id="rId1102" Type="http://schemas.openxmlformats.org/officeDocument/2006/relationships/hyperlink" Target="https://en.wikipedia.org/wiki/Joseph_Parecattil" TargetMode="External"/><Relationship Id="rId1344" Type="http://schemas.openxmlformats.org/officeDocument/2006/relationships/hyperlink" Target="https://en.wikipedia.org/wiki/Cardinal_deacon" TargetMode="External"/><Relationship Id="rId84" Type="http://schemas.openxmlformats.org/officeDocument/2006/relationships/hyperlink" Target="https://en.wikipedia.org/wiki/Mexico" TargetMode="External"/><Relationship Id="rId83" Type="http://schemas.openxmlformats.org/officeDocument/2006/relationships/hyperlink" Target="https://en.wikipedia.org/wiki/Norberto_Rivera_Carrera" TargetMode="External"/><Relationship Id="rId86" Type="http://schemas.openxmlformats.org/officeDocument/2006/relationships/hyperlink" Target="https://en.wikipedia.org/wiki/Roman_Catholic_Archdiocese_of_Mexico" TargetMode="External"/><Relationship Id="rId85" Type="http://schemas.openxmlformats.org/officeDocument/2006/relationships/hyperlink" Target="https://en.wikipedia.org/wiki/Cardinal_priest" TargetMode="External"/><Relationship Id="rId88" Type="http://schemas.openxmlformats.org/officeDocument/2006/relationships/hyperlink" Target="https://en.wikipedia.org/wiki/United_States" TargetMode="External"/><Relationship Id="rId87" Type="http://schemas.openxmlformats.org/officeDocument/2006/relationships/hyperlink" Target="https://en.wikipedia.org/wiki/Francis_Eugene_George" TargetMode="External"/><Relationship Id="rId89" Type="http://schemas.openxmlformats.org/officeDocument/2006/relationships/hyperlink" Target="https://en.wikipedia.org/wiki/Cardinal_priest" TargetMode="External"/><Relationship Id="rId709" Type="http://schemas.openxmlformats.org/officeDocument/2006/relationships/hyperlink" Target="https://en.wikipedia.org/wiki/Roman_Catholic_Archdiocese_of_Bombay" TargetMode="External"/><Relationship Id="rId708" Type="http://schemas.openxmlformats.org/officeDocument/2006/relationships/hyperlink" Target="https://en.wikipedia.org/wiki/Cardinal_priest" TargetMode="External"/><Relationship Id="rId707" Type="http://schemas.openxmlformats.org/officeDocument/2006/relationships/hyperlink" Target="https://en.wikipedia.org/wiki/India" TargetMode="External"/><Relationship Id="rId949" Type="http://schemas.openxmlformats.org/officeDocument/2006/relationships/hyperlink" Target="https://en.wikipedia.org/wiki/Roman_Catholic_Archdiocese_of_Palermo" TargetMode="External"/><Relationship Id="rId706" Type="http://schemas.openxmlformats.org/officeDocument/2006/relationships/hyperlink" Target="https://en.wikipedia.org/wiki/Ivan_Dias" TargetMode="External"/><Relationship Id="rId948" Type="http://schemas.openxmlformats.org/officeDocument/2006/relationships/hyperlink" Target="https://en.wikipedia.org/wiki/Cardinal_bishop" TargetMode="External"/><Relationship Id="rId80" Type="http://schemas.openxmlformats.org/officeDocument/2006/relationships/hyperlink" Target="https://en.wikipedia.org/wiki/Austria" TargetMode="External"/><Relationship Id="rId82" Type="http://schemas.openxmlformats.org/officeDocument/2006/relationships/hyperlink" Target="https://en.wikipedia.org/wiki/Roman_Catholic_Archdiocese_of_Vienna" TargetMode="External"/><Relationship Id="rId81" Type="http://schemas.openxmlformats.org/officeDocument/2006/relationships/hyperlink" Target="https://en.wikipedia.org/wiki/Cardinal_priest" TargetMode="External"/><Relationship Id="rId701" Type="http://schemas.openxmlformats.org/officeDocument/2006/relationships/hyperlink" Target="https://en.wikipedia.org/wiki/Roman_Catholic_Archdiocese_of_Lviv" TargetMode="External"/><Relationship Id="rId943" Type="http://schemas.openxmlformats.org/officeDocument/2006/relationships/hyperlink" Target="https://en.wikipedia.org/wiki/Italy" TargetMode="External"/><Relationship Id="rId700" Type="http://schemas.openxmlformats.org/officeDocument/2006/relationships/hyperlink" Target="https://en.wikipedia.org/wiki/Cardinal_priest" TargetMode="External"/><Relationship Id="rId942" Type="http://schemas.openxmlformats.org/officeDocument/2006/relationships/hyperlink" Target="https://en.wikipedia.org/wiki/Antonio_Samor%C3%A8" TargetMode="External"/><Relationship Id="rId941" Type="http://schemas.openxmlformats.org/officeDocument/2006/relationships/hyperlink" Target="https://en.wikipedia.org/wiki/Cardinal_Secretary_of_State" TargetMode="External"/><Relationship Id="rId940" Type="http://schemas.openxmlformats.org/officeDocument/2006/relationships/hyperlink" Target="https://en.wikipedia.org/wiki/Cardinal_bishop" TargetMode="External"/><Relationship Id="rId705" Type="http://schemas.openxmlformats.org/officeDocument/2006/relationships/hyperlink" Target="https://en.wikipedia.org/wiki/Roman_Catholic_Archdiocese_of_Riga" TargetMode="External"/><Relationship Id="rId947" Type="http://schemas.openxmlformats.org/officeDocument/2006/relationships/hyperlink" Target="https://en.wikipedia.org/wiki/Italy" TargetMode="External"/><Relationship Id="rId704" Type="http://schemas.openxmlformats.org/officeDocument/2006/relationships/hyperlink" Target="https://en.wikipedia.org/wiki/Cardinal_priest" TargetMode="External"/><Relationship Id="rId946" Type="http://schemas.openxmlformats.org/officeDocument/2006/relationships/hyperlink" Target="https://en.wikipedia.org/wiki/Francesco_Carpino" TargetMode="External"/><Relationship Id="rId703" Type="http://schemas.openxmlformats.org/officeDocument/2006/relationships/hyperlink" Target="https://en.wikipedia.org/wiki/Latvia" TargetMode="External"/><Relationship Id="rId945" Type="http://schemas.openxmlformats.org/officeDocument/2006/relationships/hyperlink" Target="https://en.wikipedia.org/wiki/Archivist_and_Librarian_of_the_Holy_Roman_Church" TargetMode="External"/><Relationship Id="rId702" Type="http://schemas.openxmlformats.org/officeDocument/2006/relationships/hyperlink" Target="https://en.wikipedia.org/wiki/J%C4%81nis_Pujats" TargetMode="External"/><Relationship Id="rId944" Type="http://schemas.openxmlformats.org/officeDocument/2006/relationships/hyperlink" Target="https://en.wikipedia.org/wiki/Cardinal_bishop" TargetMode="External"/><Relationship Id="rId73" Type="http://schemas.openxmlformats.org/officeDocument/2006/relationships/hyperlink" Target="https://en.wikipedia.org/wiki/Cardinal_priest" TargetMode="External"/><Relationship Id="rId72" Type="http://schemas.openxmlformats.org/officeDocument/2006/relationships/hyperlink" Target="https://en.wikipedia.org/wiki/Italy" TargetMode="External"/><Relationship Id="rId75" Type="http://schemas.openxmlformats.org/officeDocument/2006/relationships/hyperlink" Target="https://en.wikipedia.org/wiki/Polycarp_Pengo" TargetMode="External"/><Relationship Id="rId74" Type="http://schemas.openxmlformats.org/officeDocument/2006/relationships/hyperlink" Target="https://en.wikipedia.org/wiki/Roman_Catholic_Archdiocese_of_Milan" TargetMode="External"/><Relationship Id="rId77" Type="http://schemas.openxmlformats.org/officeDocument/2006/relationships/hyperlink" Target="https://en.wikipedia.org/wiki/Cardinal_priest" TargetMode="External"/><Relationship Id="rId76" Type="http://schemas.openxmlformats.org/officeDocument/2006/relationships/hyperlink" Target="https://en.wikipedia.org/wiki/Tanzania" TargetMode="External"/><Relationship Id="rId79" Type="http://schemas.openxmlformats.org/officeDocument/2006/relationships/hyperlink" Target="https://en.wikipedia.org/wiki/Christoph_Sch%C3%B6nborn" TargetMode="External"/><Relationship Id="rId78" Type="http://schemas.openxmlformats.org/officeDocument/2006/relationships/hyperlink" Target="https://en.wikipedia.org/wiki/Roman_Catholic_Archdiocese_of_Dar-es-Salaam" TargetMode="External"/><Relationship Id="rId939" Type="http://schemas.openxmlformats.org/officeDocument/2006/relationships/hyperlink" Target="https://en.wikipedia.org/wiki/France" TargetMode="External"/><Relationship Id="rId938" Type="http://schemas.openxmlformats.org/officeDocument/2006/relationships/hyperlink" Target="https://en.wikipedia.org/wiki/Jean-Marie_Villot" TargetMode="External"/><Relationship Id="rId937" Type="http://schemas.openxmlformats.org/officeDocument/2006/relationships/hyperlink" Target="https://en.wikipedia.org/wiki/Administration_of_the_Patrimony_of_the_Apostolic_See" TargetMode="External"/><Relationship Id="rId71" Type="http://schemas.openxmlformats.org/officeDocument/2006/relationships/hyperlink" Target="https://en.wikipedia.org/wiki/Dionigi_Tettamanzi" TargetMode="External"/><Relationship Id="rId70" Type="http://schemas.openxmlformats.org/officeDocument/2006/relationships/hyperlink" Target="https://en.wikipedia.org/wiki/Roman_Catholic_Archdiocese_of_Madrid" TargetMode="External"/><Relationship Id="rId932" Type="http://schemas.openxmlformats.org/officeDocument/2006/relationships/hyperlink" Target="https://en.wikipedia.org/wiki/Cardinal_deacon" TargetMode="External"/><Relationship Id="rId931" Type="http://schemas.openxmlformats.org/officeDocument/2006/relationships/hyperlink" Target="https://en.wikipedia.org/wiki/Japan" TargetMode="External"/><Relationship Id="rId930" Type="http://schemas.openxmlformats.org/officeDocument/2006/relationships/hyperlink" Target="https://en.wikipedia.org/wiki/Stephen_Fumio_Hamao" TargetMode="External"/><Relationship Id="rId936" Type="http://schemas.openxmlformats.org/officeDocument/2006/relationships/hyperlink" Target="https://en.wikipedia.org/wiki/Cardinal_deacon" TargetMode="External"/><Relationship Id="rId935" Type="http://schemas.openxmlformats.org/officeDocument/2006/relationships/hyperlink" Target="https://en.wikipedia.org/wiki/Italy" TargetMode="External"/><Relationship Id="rId934" Type="http://schemas.openxmlformats.org/officeDocument/2006/relationships/hyperlink" Target="https://en.wikipedia.org/wiki/Attilio_Nicora" TargetMode="External"/><Relationship Id="rId933" Type="http://schemas.openxmlformats.org/officeDocument/2006/relationships/hyperlink" Target="https://en.wikipedia.org/wiki/Pontifical_Council_for_the_Pastoral_Care_of_Migrants_and_Itinerant_People" TargetMode="External"/><Relationship Id="rId62" Type="http://schemas.openxmlformats.org/officeDocument/2006/relationships/hyperlink" Target="https://en.wikipedia.org/wiki/Roman_Catholic_Archdiocese_of_Vrhbosna" TargetMode="External"/><Relationship Id="rId1312" Type="http://schemas.openxmlformats.org/officeDocument/2006/relationships/hyperlink" Target="https://en.wikipedia.org/wiki/Cardinal_priest" TargetMode="External"/><Relationship Id="rId61" Type="http://schemas.openxmlformats.org/officeDocument/2006/relationships/hyperlink" Target="https://en.wikipedia.org/wiki/Cardinal_priest" TargetMode="External"/><Relationship Id="rId1313" Type="http://schemas.openxmlformats.org/officeDocument/2006/relationships/hyperlink" Target="https://en.wikipedia.org/wiki/Roman_Catholic_Diocese_of_Ikot_Ekpene" TargetMode="External"/><Relationship Id="rId64" Type="http://schemas.openxmlformats.org/officeDocument/2006/relationships/hyperlink" Target="https://en.wikipedia.org/wiki/Mexico" TargetMode="External"/><Relationship Id="rId1314" Type="http://schemas.openxmlformats.org/officeDocument/2006/relationships/hyperlink" Target="https://en.wikipedia.org/wiki/Giovanni_Benelli" TargetMode="External"/><Relationship Id="rId63" Type="http://schemas.openxmlformats.org/officeDocument/2006/relationships/hyperlink" Target="https://en.wikipedia.org/wiki/Juan_Sandoval_%C3%8D%C3%B1iguez" TargetMode="External"/><Relationship Id="rId1315" Type="http://schemas.openxmlformats.org/officeDocument/2006/relationships/hyperlink" Target="https://en.wikipedia.org/wiki/Italy" TargetMode="External"/><Relationship Id="rId66" Type="http://schemas.openxmlformats.org/officeDocument/2006/relationships/hyperlink" Target="https://en.wikipedia.org/wiki/Roman_Catholic_Archdiocese_of_Guadalajara" TargetMode="External"/><Relationship Id="rId1316" Type="http://schemas.openxmlformats.org/officeDocument/2006/relationships/hyperlink" Target="https://en.wikipedia.org/wiki/Cardinal_priest" TargetMode="External"/><Relationship Id="rId65" Type="http://schemas.openxmlformats.org/officeDocument/2006/relationships/hyperlink" Target="https://en.wikipedia.org/wiki/Cardinal_priest" TargetMode="External"/><Relationship Id="rId1317" Type="http://schemas.openxmlformats.org/officeDocument/2006/relationships/hyperlink" Target="https://en.wikipedia.org/wiki/Roman_Catholic_Archdiocese_of_Florence" TargetMode="External"/><Relationship Id="rId68" Type="http://schemas.openxmlformats.org/officeDocument/2006/relationships/hyperlink" Target="https://en.wikipedia.org/wiki/Spain" TargetMode="External"/><Relationship Id="rId1318" Type="http://schemas.openxmlformats.org/officeDocument/2006/relationships/hyperlink" Target="https://en.wikipedia.org/wiki/Joseph_Ratzinger" TargetMode="External"/><Relationship Id="rId67" Type="http://schemas.openxmlformats.org/officeDocument/2006/relationships/hyperlink" Target="https://en.wikipedia.org/wiki/Antonio_Mar%C3%ADa_Rouco_Varela" TargetMode="External"/><Relationship Id="rId1319" Type="http://schemas.openxmlformats.org/officeDocument/2006/relationships/hyperlink" Target="https://en.wikipedia.org/wiki/West_Germany" TargetMode="External"/><Relationship Id="rId729" Type="http://schemas.openxmlformats.org/officeDocument/2006/relationships/hyperlink" Target="https://en.wikipedia.org/wiki/Roman_Catholic_Archdiocese_of_Vilnius" TargetMode="External"/><Relationship Id="rId728" Type="http://schemas.openxmlformats.org/officeDocument/2006/relationships/hyperlink" Target="https://en.wikipedia.org/wiki/Cardinal_priest" TargetMode="External"/><Relationship Id="rId60" Type="http://schemas.openxmlformats.org/officeDocument/2006/relationships/hyperlink" Target="https://en.wikipedia.org/wiki/Bosnia_and_Herzegovina" TargetMode="External"/><Relationship Id="rId723" Type="http://schemas.openxmlformats.org/officeDocument/2006/relationships/hyperlink" Target="https://en.wikipedia.org/wiki/Ireland" TargetMode="External"/><Relationship Id="rId965" Type="http://schemas.openxmlformats.org/officeDocument/2006/relationships/hyperlink" Target="https://en.wikipedia.org/wiki/Roman_Catholic_Archdiocese_of_Gniezno" TargetMode="External"/><Relationship Id="rId722" Type="http://schemas.openxmlformats.org/officeDocument/2006/relationships/hyperlink" Target="https://en.wikipedia.org/wiki/Desmond_Connell" TargetMode="External"/><Relationship Id="rId964" Type="http://schemas.openxmlformats.org/officeDocument/2006/relationships/hyperlink" Target="https://en.wikipedia.org/wiki/Cardinal_priest" TargetMode="External"/><Relationship Id="rId721" Type="http://schemas.openxmlformats.org/officeDocument/2006/relationships/hyperlink" Target="https://en.wikipedia.org/wiki/Roman_Catholic_Archdiocese_of_Washington" TargetMode="External"/><Relationship Id="rId963" Type="http://schemas.openxmlformats.org/officeDocument/2006/relationships/hyperlink" Target="https://en.wikipedia.org/wiki/Polish_People%27s_Republic" TargetMode="External"/><Relationship Id="rId720" Type="http://schemas.openxmlformats.org/officeDocument/2006/relationships/hyperlink" Target="https://en.wikipedia.org/wiki/Cardinal_priest" TargetMode="External"/><Relationship Id="rId962" Type="http://schemas.openxmlformats.org/officeDocument/2006/relationships/hyperlink" Target="https://en.wikipedia.org/wiki/Stefan_Wyszy%C5%84ski" TargetMode="External"/><Relationship Id="rId727" Type="http://schemas.openxmlformats.org/officeDocument/2006/relationships/hyperlink" Target="https://en.wikipedia.org/wiki/Lithuania" TargetMode="External"/><Relationship Id="rId969" Type="http://schemas.openxmlformats.org/officeDocument/2006/relationships/hyperlink" Target="https://en.wikipedia.org/wiki/Roman_Catholic_Archdiocese_of_Montreal" TargetMode="External"/><Relationship Id="rId726" Type="http://schemas.openxmlformats.org/officeDocument/2006/relationships/hyperlink" Target="https://en.wikipedia.org/wiki/Audrys_Juozas_Ba%C4%8Dkis" TargetMode="External"/><Relationship Id="rId968" Type="http://schemas.openxmlformats.org/officeDocument/2006/relationships/hyperlink" Target="https://en.wikipedia.org/wiki/Cardinal_priest" TargetMode="External"/><Relationship Id="rId725" Type="http://schemas.openxmlformats.org/officeDocument/2006/relationships/hyperlink" Target="https://en.wikipedia.org/wiki/Roman_Catholic_Archdiocese_of_Dublin" TargetMode="External"/><Relationship Id="rId967" Type="http://schemas.openxmlformats.org/officeDocument/2006/relationships/hyperlink" Target="https://en.wikipedia.org/wiki/Canada" TargetMode="External"/><Relationship Id="rId724" Type="http://schemas.openxmlformats.org/officeDocument/2006/relationships/hyperlink" Target="https://en.wikipedia.org/wiki/Cardinal_priest" TargetMode="External"/><Relationship Id="rId966" Type="http://schemas.openxmlformats.org/officeDocument/2006/relationships/hyperlink" Target="https://en.wikipedia.org/wiki/Paul_%C3%89mile_L%C3%A9ger" TargetMode="External"/><Relationship Id="rId69" Type="http://schemas.openxmlformats.org/officeDocument/2006/relationships/hyperlink" Target="https://en.wikipedia.org/wiki/Cardinal_priest" TargetMode="External"/><Relationship Id="rId961" Type="http://schemas.openxmlformats.org/officeDocument/2006/relationships/hyperlink" Target="https://en.wikipedia.org/wiki/Roman_Catholic_Archdiocese_of_Genoa" TargetMode="External"/><Relationship Id="rId960" Type="http://schemas.openxmlformats.org/officeDocument/2006/relationships/hyperlink" Target="https://en.wikipedia.org/wiki/Cardinal_priest" TargetMode="External"/><Relationship Id="rId1310" Type="http://schemas.openxmlformats.org/officeDocument/2006/relationships/hyperlink" Target="https://en.wikipedia.org/wiki/Dominic_Ignatius_Ekandem" TargetMode="External"/><Relationship Id="rId1311" Type="http://schemas.openxmlformats.org/officeDocument/2006/relationships/hyperlink" Target="https://en.wikipedia.org/wiki/Nigeria" TargetMode="External"/><Relationship Id="rId51" Type="http://schemas.openxmlformats.org/officeDocument/2006/relationships/hyperlink" Target="https://en.wikipedia.org/wiki/Jaime_Lucas_Ortega_y_Alamino" TargetMode="External"/><Relationship Id="rId1301" Type="http://schemas.openxmlformats.org/officeDocument/2006/relationships/hyperlink" Target="https://en.wikipedia.org/wiki/Roman_Catholic_Diocese_of_Westminster" TargetMode="External"/><Relationship Id="rId50" Type="http://schemas.openxmlformats.org/officeDocument/2006/relationships/hyperlink" Target="https://en.wikipedia.org/wiki/Roman_Catholic_Archdiocese_of_Los_Angeles" TargetMode="External"/><Relationship Id="rId1302" Type="http://schemas.openxmlformats.org/officeDocument/2006/relationships/hyperlink" Target="https://en.wikipedia.org/wiki/Victor_Razafimahatratra" TargetMode="External"/><Relationship Id="rId53" Type="http://schemas.openxmlformats.org/officeDocument/2006/relationships/hyperlink" Target="https://en.wikipedia.org/wiki/Cardinal_priest" TargetMode="External"/><Relationship Id="rId1303" Type="http://schemas.openxmlformats.org/officeDocument/2006/relationships/hyperlink" Target="https://en.wikipedia.org/wiki/Madagascar" TargetMode="External"/><Relationship Id="rId52" Type="http://schemas.openxmlformats.org/officeDocument/2006/relationships/hyperlink" Target="https://en.wikipedia.org/wiki/Cuba" TargetMode="External"/><Relationship Id="rId1304" Type="http://schemas.openxmlformats.org/officeDocument/2006/relationships/hyperlink" Target="https://en.wikipedia.org/wiki/Cardinal_priest" TargetMode="External"/><Relationship Id="rId55" Type="http://schemas.openxmlformats.org/officeDocument/2006/relationships/hyperlink" Target="https://en.wikipedia.org/wiki/Jean-Claude_Turcotte" TargetMode="External"/><Relationship Id="rId1305" Type="http://schemas.openxmlformats.org/officeDocument/2006/relationships/hyperlink" Target="https://en.wikipedia.org/wiki/Roman_Catholic_Archdiocese_of_Tananarive" TargetMode="External"/><Relationship Id="rId54" Type="http://schemas.openxmlformats.org/officeDocument/2006/relationships/hyperlink" Target="https://en.wikipedia.org/wiki/Roman_Catholic_Archdiocese_of_San_Crist%C3%B3bal_de_la_Habana" TargetMode="External"/><Relationship Id="rId1306" Type="http://schemas.openxmlformats.org/officeDocument/2006/relationships/hyperlink" Target="https://en.wikipedia.org/wiki/Franti%C5%A1ek_Tom%C3%A1%C5%A1ek" TargetMode="External"/><Relationship Id="rId57" Type="http://schemas.openxmlformats.org/officeDocument/2006/relationships/hyperlink" Target="https://en.wikipedia.org/wiki/Cardinal_priest" TargetMode="External"/><Relationship Id="rId1307" Type="http://schemas.openxmlformats.org/officeDocument/2006/relationships/hyperlink" Target="https://en.wikipedia.org/wiki/Czechoslovakia" TargetMode="External"/><Relationship Id="rId56" Type="http://schemas.openxmlformats.org/officeDocument/2006/relationships/hyperlink" Target="https://en.wikipedia.org/wiki/Canada" TargetMode="External"/><Relationship Id="rId1308" Type="http://schemas.openxmlformats.org/officeDocument/2006/relationships/hyperlink" Target="https://en.wikipedia.org/wiki/Cardinal_priest" TargetMode="External"/><Relationship Id="rId1309" Type="http://schemas.openxmlformats.org/officeDocument/2006/relationships/hyperlink" Target="https://en.wikipedia.org/wiki/Roman_Catholic_Archdiocese_of_Prague" TargetMode="External"/><Relationship Id="rId719" Type="http://schemas.openxmlformats.org/officeDocument/2006/relationships/hyperlink" Target="https://en.wikipedia.org/wiki/United_States" TargetMode="External"/><Relationship Id="rId718" Type="http://schemas.openxmlformats.org/officeDocument/2006/relationships/hyperlink" Target="https://en.wikipedia.org/wiki/Theodore_Edgar_McCarrick" TargetMode="External"/><Relationship Id="rId717" Type="http://schemas.openxmlformats.org/officeDocument/2006/relationships/hyperlink" Target="https://en.wikipedia.org/wiki/Roman_Catholic_Archdiocese_of_Bogot%C3%A1" TargetMode="External"/><Relationship Id="rId959" Type="http://schemas.openxmlformats.org/officeDocument/2006/relationships/hyperlink" Target="https://en.wikipedia.org/wiki/Italy" TargetMode="External"/><Relationship Id="rId712" Type="http://schemas.openxmlformats.org/officeDocument/2006/relationships/hyperlink" Target="https://en.wikipedia.org/wiki/Cardinal_priest" TargetMode="External"/><Relationship Id="rId954" Type="http://schemas.openxmlformats.org/officeDocument/2006/relationships/hyperlink" Target="https://en.wikipedia.org/wiki/St%C3%A9phanos_I_Sidarouss" TargetMode="External"/><Relationship Id="rId711" Type="http://schemas.openxmlformats.org/officeDocument/2006/relationships/hyperlink" Target="https://en.wikipedia.org/wiki/Brazil" TargetMode="External"/><Relationship Id="rId953" Type="http://schemas.openxmlformats.org/officeDocument/2006/relationships/hyperlink" Target="https://en.wikipedia.org/wiki/Sacred_Congregation_for_Bishops" TargetMode="External"/><Relationship Id="rId710" Type="http://schemas.openxmlformats.org/officeDocument/2006/relationships/hyperlink" Target="https://en.wikipedia.org/wiki/Geraldo_Majella_Agnelo" TargetMode="External"/><Relationship Id="rId952" Type="http://schemas.openxmlformats.org/officeDocument/2006/relationships/hyperlink" Target="https://en.wikipedia.org/wiki/Cardinal_bishop" TargetMode="External"/><Relationship Id="rId951" Type="http://schemas.openxmlformats.org/officeDocument/2006/relationships/hyperlink" Target="https://en.wikipedia.org/wiki/Italy" TargetMode="External"/><Relationship Id="rId716" Type="http://schemas.openxmlformats.org/officeDocument/2006/relationships/hyperlink" Target="https://en.wikipedia.org/wiki/Cardinal_priest" TargetMode="External"/><Relationship Id="rId958" Type="http://schemas.openxmlformats.org/officeDocument/2006/relationships/hyperlink" Target="https://en.wikipedia.org/wiki/Giuseppe_Siri" TargetMode="External"/><Relationship Id="rId715" Type="http://schemas.openxmlformats.org/officeDocument/2006/relationships/hyperlink" Target="https://en.wikipedia.org/wiki/Colombia" TargetMode="External"/><Relationship Id="rId957" Type="http://schemas.openxmlformats.org/officeDocument/2006/relationships/hyperlink" Target="https://en.wikipedia.org/wiki/Coptic_Catholic_Patriarchate_of_Alexandria" TargetMode="External"/><Relationship Id="rId714" Type="http://schemas.openxmlformats.org/officeDocument/2006/relationships/hyperlink" Target="https://en.wikipedia.org/wiki/Pedro_Rubiano_S%C3%A1enz" TargetMode="External"/><Relationship Id="rId956" Type="http://schemas.openxmlformats.org/officeDocument/2006/relationships/hyperlink" Target="https://en.wikipedia.org/wiki/Cardinal_bishop" TargetMode="External"/><Relationship Id="rId713" Type="http://schemas.openxmlformats.org/officeDocument/2006/relationships/hyperlink" Target="https://en.wikipedia.org/wiki/Roman_Catholic_Archdiocese_of_S%C3%A3o_Salvador_da_Bahia" TargetMode="External"/><Relationship Id="rId955" Type="http://schemas.openxmlformats.org/officeDocument/2006/relationships/hyperlink" Target="https://en.wikipedia.org/wiki/History_of_Egypt_under_Anwar_Sadat" TargetMode="External"/><Relationship Id="rId59" Type="http://schemas.openxmlformats.org/officeDocument/2006/relationships/hyperlink" Target="https://en.wikipedia.org/wiki/Vinko_Pulji%C4%87" TargetMode="External"/><Relationship Id="rId58" Type="http://schemas.openxmlformats.org/officeDocument/2006/relationships/hyperlink" Target="https://en.wikipedia.org/wiki/Roman_Catholic_Archdiocese_of_Montreal" TargetMode="External"/><Relationship Id="rId950" Type="http://schemas.openxmlformats.org/officeDocument/2006/relationships/hyperlink" Target="https://en.wikipedia.org/wiki/Sebastiano_Baggio" TargetMode="External"/><Relationship Id="rId1300" Type="http://schemas.openxmlformats.org/officeDocument/2006/relationships/hyperlink" Target="https://en.wikipedia.org/wiki/Cardinal_priest" TargetMode="External"/><Relationship Id="rId590" Type="http://schemas.openxmlformats.org/officeDocument/2006/relationships/hyperlink" Target="https://en.wikipedia.org/wiki/Christian_Wiyghan_Tumi" TargetMode="External"/><Relationship Id="rId107" Type="http://schemas.openxmlformats.org/officeDocument/2006/relationships/hyperlink" Target="https://en.wikipedia.org/wiki/Geraldo_Majella_Agnelo" TargetMode="External"/><Relationship Id="rId349" Type="http://schemas.openxmlformats.org/officeDocument/2006/relationships/hyperlink" Target="https://en.wikipedia.org/wiki/Cardinal_priest" TargetMode="External"/><Relationship Id="rId106" Type="http://schemas.openxmlformats.org/officeDocument/2006/relationships/hyperlink" Target="https://en.wikipedia.org/wiki/Congregation_for_the_Evangelization_of_Peoples" TargetMode="External"/><Relationship Id="rId348" Type="http://schemas.openxmlformats.org/officeDocument/2006/relationships/hyperlink" Target="https://en.wikipedia.org/wiki/Nigeria" TargetMode="External"/><Relationship Id="rId105" Type="http://schemas.openxmlformats.org/officeDocument/2006/relationships/hyperlink" Target="https://en.wikipedia.org/wiki/Cardinal_priest" TargetMode="External"/><Relationship Id="rId347" Type="http://schemas.openxmlformats.org/officeDocument/2006/relationships/hyperlink" Target="https://en.wikipedia.org/wiki/John_Olorunfemi_Onaiyekan" TargetMode="External"/><Relationship Id="rId589" Type="http://schemas.openxmlformats.org/officeDocument/2006/relationships/hyperlink" Target="https://en.wikipedia.org/wiki/Roman_Catholic_Archdiocese_of_Esztergom%E2%80%93Budapest" TargetMode="External"/><Relationship Id="rId104" Type="http://schemas.openxmlformats.org/officeDocument/2006/relationships/hyperlink" Target="https://en.wikipedia.org/wiki/India" TargetMode="External"/><Relationship Id="rId346" Type="http://schemas.openxmlformats.org/officeDocument/2006/relationships/hyperlink" Target="https://en.wikipedia.org/wiki/Syro-Malankara_Catholic_Major_Archeparchy_of_Trivandrum" TargetMode="External"/><Relationship Id="rId588" Type="http://schemas.openxmlformats.org/officeDocument/2006/relationships/hyperlink" Target="https://en.wikipedia.org/wiki/Cardinal_priest" TargetMode="External"/><Relationship Id="rId109" Type="http://schemas.openxmlformats.org/officeDocument/2006/relationships/hyperlink" Target="https://en.wikipedia.org/wiki/Cardinal_priest" TargetMode="External"/><Relationship Id="rId1170" Type="http://schemas.openxmlformats.org/officeDocument/2006/relationships/hyperlink" Target="https://en.wikipedia.org/wiki/Albino_Luciani" TargetMode="External"/><Relationship Id="rId108" Type="http://schemas.openxmlformats.org/officeDocument/2006/relationships/hyperlink" Target="https://en.wikipedia.org/wiki/Brazil" TargetMode="External"/><Relationship Id="rId1171" Type="http://schemas.openxmlformats.org/officeDocument/2006/relationships/hyperlink" Target="https://en.wikipedia.org/wiki/Italy" TargetMode="External"/><Relationship Id="rId341" Type="http://schemas.openxmlformats.org/officeDocument/2006/relationships/hyperlink" Target="https://en.wikipedia.org/wiki/Cardinal_priest" TargetMode="External"/><Relationship Id="rId583" Type="http://schemas.openxmlformats.org/officeDocument/2006/relationships/hyperlink" Target="https://en.wikipedia.org/wiki/United_States" TargetMode="External"/><Relationship Id="rId1172" Type="http://schemas.openxmlformats.org/officeDocument/2006/relationships/hyperlink" Target="https://en.wikipedia.org/wiki/Cardinal_priest" TargetMode="External"/><Relationship Id="rId340" Type="http://schemas.openxmlformats.org/officeDocument/2006/relationships/hyperlink" Target="https://en.wikipedia.org/wiki/China" TargetMode="External"/><Relationship Id="rId582" Type="http://schemas.openxmlformats.org/officeDocument/2006/relationships/hyperlink" Target="https://en.wikipedia.org/wiki/Edmund_Casimir_Szoka" TargetMode="External"/><Relationship Id="rId1173" Type="http://schemas.openxmlformats.org/officeDocument/2006/relationships/hyperlink" Target="https://en.wikipedia.org/wiki/Patriarchate_of_Venice" TargetMode="External"/><Relationship Id="rId581" Type="http://schemas.openxmlformats.org/officeDocument/2006/relationships/hyperlink" Target="https://en.wikipedia.org/wiki/Roman_Catholic_Archdiocese_of_Naples" TargetMode="External"/><Relationship Id="rId1174" Type="http://schemas.openxmlformats.org/officeDocument/2006/relationships/hyperlink" Target="https://en.wikipedia.org/wiki/Ant%C3%B3nio_Ribeiro" TargetMode="External"/><Relationship Id="rId580" Type="http://schemas.openxmlformats.org/officeDocument/2006/relationships/hyperlink" Target="https://en.wikipedia.org/wiki/Cardinal_priest" TargetMode="External"/><Relationship Id="rId1175" Type="http://schemas.openxmlformats.org/officeDocument/2006/relationships/hyperlink" Target="https://en.wikipedia.org/wiki/Portugal" TargetMode="External"/><Relationship Id="rId103" Type="http://schemas.openxmlformats.org/officeDocument/2006/relationships/hyperlink" Target="https://en.wikipedia.org/wiki/Ivan_Dias" TargetMode="External"/><Relationship Id="rId345" Type="http://schemas.openxmlformats.org/officeDocument/2006/relationships/hyperlink" Target="https://en.wikipedia.org/wiki/Cardinal_priest" TargetMode="External"/><Relationship Id="rId587" Type="http://schemas.openxmlformats.org/officeDocument/2006/relationships/hyperlink" Target="https://en.wikipedia.org/wiki/Hungary" TargetMode="External"/><Relationship Id="rId1176" Type="http://schemas.openxmlformats.org/officeDocument/2006/relationships/hyperlink" Target="https://en.wikipedia.org/wiki/Cardinal_priest" TargetMode="External"/><Relationship Id="rId102" Type="http://schemas.openxmlformats.org/officeDocument/2006/relationships/hyperlink" Target="https://en.wikipedia.org/wiki/Pontifical_Council_for_Promoting_Christian_Unity" TargetMode="External"/><Relationship Id="rId344" Type="http://schemas.openxmlformats.org/officeDocument/2006/relationships/hyperlink" Target="https://en.wikipedia.org/wiki/India" TargetMode="External"/><Relationship Id="rId586" Type="http://schemas.openxmlformats.org/officeDocument/2006/relationships/hyperlink" Target="https://en.wikipedia.org/wiki/L%C3%A1szl%C3%B3_Paskai" TargetMode="External"/><Relationship Id="rId1177" Type="http://schemas.openxmlformats.org/officeDocument/2006/relationships/hyperlink" Target="https://en.wikipedia.org/wiki/Patriarchate_of_Lisbon" TargetMode="External"/><Relationship Id="rId101" Type="http://schemas.openxmlformats.org/officeDocument/2006/relationships/hyperlink" Target="https://en.wikipedia.org/wiki/Cardinal_priest" TargetMode="External"/><Relationship Id="rId343" Type="http://schemas.openxmlformats.org/officeDocument/2006/relationships/hyperlink" Target="https://en.wikipedia.org/wiki/Baselios_Cleemis_Thottunkal" TargetMode="External"/><Relationship Id="rId585" Type="http://schemas.openxmlformats.org/officeDocument/2006/relationships/hyperlink" Target="https://en.wikipedia.org/wiki/Pontifical_Commission_for_Vatican_City_State" TargetMode="External"/><Relationship Id="rId1178" Type="http://schemas.openxmlformats.org/officeDocument/2006/relationships/hyperlink" Target="https://en.wikipedia.org/wiki/James_Robert_Knox" TargetMode="External"/><Relationship Id="rId100" Type="http://schemas.openxmlformats.org/officeDocument/2006/relationships/hyperlink" Target="https://en.wikipedia.org/wiki/Germany" TargetMode="External"/><Relationship Id="rId342" Type="http://schemas.openxmlformats.org/officeDocument/2006/relationships/hyperlink" Target="https://en.wikipedia.org/wiki/Roman_Catholic_Diocese_of_Hong_Kong" TargetMode="External"/><Relationship Id="rId584" Type="http://schemas.openxmlformats.org/officeDocument/2006/relationships/hyperlink" Target="https://en.wikipedia.org/wiki/Cardinal_priest" TargetMode="External"/><Relationship Id="rId1179" Type="http://schemas.openxmlformats.org/officeDocument/2006/relationships/hyperlink" Target="https://en.wikipedia.org/wiki/Australia" TargetMode="External"/><Relationship Id="rId1169" Type="http://schemas.openxmlformats.org/officeDocument/2006/relationships/hyperlink" Target="https://en.wikipedia.org/wiki/Roman_Catholic_Archdiocese_of_Utrecht" TargetMode="External"/><Relationship Id="rId338" Type="http://schemas.openxmlformats.org/officeDocument/2006/relationships/hyperlink" Target="https://en.wikipedia.org/wiki/Roman_Catholic_Archdiocese_of_Berlin" TargetMode="External"/><Relationship Id="rId337" Type="http://schemas.openxmlformats.org/officeDocument/2006/relationships/hyperlink" Target="https://en.wikipedia.org/wiki/Cardinal_priest" TargetMode="External"/><Relationship Id="rId579" Type="http://schemas.openxmlformats.org/officeDocument/2006/relationships/hyperlink" Target="https://en.wikipedia.org/wiki/Italy" TargetMode="External"/><Relationship Id="rId336" Type="http://schemas.openxmlformats.org/officeDocument/2006/relationships/hyperlink" Target="https://en.wikipedia.org/wiki/Germany" TargetMode="External"/><Relationship Id="rId578" Type="http://schemas.openxmlformats.org/officeDocument/2006/relationships/hyperlink" Target="https://en.wikipedia.org/wiki/Michele_Giordano" TargetMode="External"/><Relationship Id="rId335" Type="http://schemas.openxmlformats.org/officeDocument/2006/relationships/hyperlink" Target="https://en.wikipedia.org/wiki/Rainer_Maria_Woelki" TargetMode="External"/><Relationship Id="rId577" Type="http://schemas.openxmlformats.org/officeDocument/2006/relationships/hyperlink" Target="https://en.wikipedia.org/wiki/Roman_Catholic_Archdiocese_of_Bras%C3%ADlia" TargetMode="External"/><Relationship Id="rId339" Type="http://schemas.openxmlformats.org/officeDocument/2006/relationships/hyperlink" Target="https://en.wikipedia.org/wiki/John_Tong_Hon" TargetMode="External"/><Relationship Id="rId1160" Type="http://schemas.openxmlformats.org/officeDocument/2006/relationships/hyperlink" Target="https://en.wikipedia.org/wiki/Cardinal_priest" TargetMode="External"/><Relationship Id="rId330" Type="http://schemas.openxmlformats.org/officeDocument/2006/relationships/hyperlink" Target="https://en.wikipedia.org/wiki/Roman_Catholic_Archdiocese_of_Florence" TargetMode="External"/><Relationship Id="rId572" Type="http://schemas.openxmlformats.org/officeDocument/2006/relationships/hyperlink" Target="https://en.wikipedia.org/wiki/Cardinal_priest" TargetMode="External"/><Relationship Id="rId1161" Type="http://schemas.openxmlformats.org/officeDocument/2006/relationships/hyperlink" Target="https://en.wikipedia.org/wiki/Roman_Catholic_Archdiocese_of_Cologne" TargetMode="External"/><Relationship Id="rId571" Type="http://schemas.openxmlformats.org/officeDocument/2006/relationships/hyperlink" Target="https://en.wikipedia.org/wiki/Spain" TargetMode="External"/><Relationship Id="rId1162" Type="http://schemas.openxmlformats.org/officeDocument/2006/relationships/hyperlink" Target="https://en.wikipedia.org/wiki/John_Joseph_Wright" TargetMode="External"/><Relationship Id="rId570" Type="http://schemas.openxmlformats.org/officeDocument/2006/relationships/hyperlink" Target="https://en.wikipedia.org/wiki/Eduardo_Mart%C3%ADnez_Somalo" TargetMode="External"/><Relationship Id="rId1163" Type="http://schemas.openxmlformats.org/officeDocument/2006/relationships/hyperlink" Target="https://en.wikipedia.org/wiki/United_States" TargetMode="External"/><Relationship Id="rId1164" Type="http://schemas.openxmlformats.org/officeDocument/2006/relationships/hyperlink" Target="https://en.wikipedia.org/wiki/Cardinal_priest" TargetMode="External"/><Relationship Id="rId334" Type="http://schemas.openxmlformats.org/officeDocument/2006/relationships/hyperlink" Target="https://en.wikipedia.org/wiki/Roman_Catholic_Archdiocese_of_New_York" TargetMode="External"/><Relationship Id="rId576" Type="http://schemas.openxmlformats.org/officeDocument/2006/relationships/hyperlink" Target="https://en.wikipedia.org/wiki/Cardinal_priest" TargetMode="External"/><Relationship Id="rId1165" Type="http://schemas.openxmlformats.org/officeDocument/2006/relationships/hyperlink" Target="https://en.wikipedia.org/wiki/Sacred_Congregation_for_the_Clergy" TargetMode="External"/><Relationship Id="rId333" Type="http://schemas.openxmlformats.org/officeDocument/2006/relationships/hyperlink" Target="https://en.wikipedia.org/wiki/Cardinal_priest" TargetMode="External"/><Relationship Id="rId575" Type="http://schemas.openxmlformats.org/officeDocument/2006/relationships/hyperlink" Target="https://en.wikipedia.org/wiki/Brazil" TargetMode="External"/><Relationship Id="rId1166" Type="http://schemas.openxmlformats.org/officeDocument/2006/relationships/hyperlink" Target="https://en.wikipedia.org/wiki/Johannes_Willebrands" TargetMode="External"/><Relationship Id="rId332" Type="http://schemas.openxmlformats.org/officeDocument/2006/relationships/hyperlink" Target="https://en.wikipedia.org/wiki/United_States" TargetMode="External"/><Relationship Id="rId574" Type="http://schemas.openxmlformats.org/officeDocument/2006/relationships/hyperlink" Target="https://en.wikipedia.org/wiki/Jos%C3%A9_Freire_Falc%C3%A3o" TargetMode="External"/><Relationship Id="rId1167" Type="http://schemas.openxmlformats.org/officeDocument/2006/relationships/hyperlink" Target="https://en.wikipedia.org/wiki/Netherlands" TargetMode="External"/><Relationship Id="rId331" Type="http://schemas.openxmlformats.org/officeDocument/2006/relationships/hyperlink" Target="https://en.wikipedia.org/wiki/Timothy_Michael_Dolan" TargetMode="External"/><Relationship Id="rId573" Type="http://schemas.openxmlformats.org/officeDocument/2006/relationships/hyperlink" Target="https://en.wikipedia.org/wiki/Congregation_for_Institutes_of_Consecrated_Life_and_Societies_of_Apostolic_Life" TargetMode="External"/><Relationship Id="rId1168" Type="http://schemas.openxmlformats.org/officeDocument/2006/relationships/hyperlink" Target="https://en.wikipedia.org/wiki/Cardinal_priest" TargetMode="External"/><Relationship Id="rId370" Type="http://schemas.openxmlformats.org/officeDocument/2006/relationships/hyperlink" Target="https://en.wikipedia.org/wiki/Congregation_for_the_Doctrine_of_the_Faith" TargetMode="External"/><Relationship Id="rId129" Type="http://schemas.openxmlformats.org/officeDocument/2006/relationships/hyperlink" Target="https://en.wikipedia.org/wiki/Cardinal_priest" TargetMode="External"/><Relationship Id="rId128" Type="http://schemas.openxmlformats.org/officeDocument/2006/relationships/hyperlink" Target="https://en.wikipedia.org/wiki/Honduras" TargetMode="External"/><Relationship Id="rId127" Type="http://schemas.openxmlformats.org/officeDocument/2006/relationships/hyperlink" Target="https://en.wikipedia.org/wiki/%C3%93scar_Andr%C3%A9s_Rodr%C3%ADguez_Maradiaga" TargetMode="External"/><Relationship Id="rId369" Type="http://schemas.openxmlformats.org/officeDocument/2006/relationships/hyperlink" Target="https://en.wikipedia.org/wiki/Cardinal_deacon" TargetMode="External"/><Relationship Id="rId126" Type="http://schemas.openxmlformats.org/officeDocument/2006/relationships/hyperlink" Target="https://en.wikipedia.org/wiki/Roman_Catholic_Archdiocese_of_Durban" TargetMode="External"/><Relationship Id="rId368" Type="http://schemas.openxmlformats.org/officeDocument/2006/relationships/hyperlink" Target="https://en.wikipedia.org/wiki/United_States" TargetMode="External"/><Relationship Id="rId1190" Type="http://schemas.openxmlformats.org/officeDocument/2006/relationships/hyperlink" Target="https://en.wikipedia.org/wiki/An%C3%ADbal_Mu%C3%B1oz_Duque" TargetMode="External"/><Relationship Id="rId1191" Type="http://schemas.openxmlformats.org/officeDocument/2006/relationships/hyperlink" Target="https://en.wikipedia.org/wiki/Colombia" TargetMode="External"/><Relationship Id="rId1192" Type="http://schemas.openxmlformats.org/officeDocument/2006/relationships/hyperlink" Target="https://en.wikipedia.org/wiki/Cardinal_priest" TargetMode="External"/><Relationship Id="rId1193" Type="http://schemas.openxmlformats.org/officeDocument/2006/relationships/hyperlink" Target="https://en.wikipedia.org/wiki/Roman_Catholic_Archdiocese_of_Bogot%C3%A1" TargetMode="External"/><Relationship Id="rId121" Type="http://schemas.openxmlformats.org/officeDocument/2006/relationships/hyperlink" Target="https://en.wikipedia.org/wiki/Cardinal_priest" TargetMode="External"/><Relationship Id="rId363" Type="http://schemas.openxmlformats.org/officeDocument/2006/relationships/hyperlink" Target="https://en.wikipedia.org/wiki/Attilio_Nicora" TargetMode="External"/><Relationship Id="rId1194" Type="http://schemas.openxmlformats.org/officeDocument/2006/relationships/hyperlink" Target="https://en.wikipedia.org/wiki/Luis_Aponte_Mart%C3%ADnez" TargetMode="External"/><Relationship Id="rId120" Type="http://schemas.openxmlformats.org/officeDocument/2006/relationships/hyperlink" Target="https://en.wikipedia.org/wiki/Bolivia" TargetMode="External"/><Relationship Id="rId362" Type="http://schemas.openxmlformats.org/officeDocument/2006/relationships/hyperlink" Target="https://en.wikipedia.org/wiki/Pontifical_Council_for_Interreligious_Dialogue" TargetMode="External"/><Relationship Id="rId1195" Type="http://schemas.openxmlformats.org/officeDocument/2006/relationships/hyperlink" Target="https://en.wikipedia.org/wiki/Puerto_Rico" TargetMode="External"/><Relationship Id="rId361" Type="http://schemas.openxmlformats.org/officeDocument/2006/relationships/hyperlink" Target="https://en.wikipedia.org/wiki/Cardinal_deacon" TargetMode="External"/><Relationship Id="rId1196" Type="http://schemas.openxmlformats.org/officeDocument/2006/relationships/hyperlink" Target="https://en.wikipedia.org/wiki/Cardinal_priest" TargetMode="External"/><Relationship Id="rId360" Type="http://schemas.openxmlformats.org/officeDocument/2006/relationships/hyperlink" Target="https://en.wikipedia.org/wiki/France" TargetMode="External"/><Relationship Id="rId1197" Type="http://schemas.openxmlformats.org/officeDocument/2006/relationships/hyperlink" Target="https://en.wikipedia.org/wiki/Roman_Catholic_Archdiocese_of_San_Juan_de_Puerto_Rico" TargetMode="External"/><Relationship Id="rId125" Type="http://schemas.openxmlformats.org/officeDocument/2006/relationships/hyperlink" Target="https://en.wikipedia.org/wiki/Cardinal_priest" TargetMode="External"/><Relationship Id="rId367" Type="http://schemas.openxmlformats.org/officeDocument/2006/relationships/hyperlink" Target="https://en.wikipedia.org/wiki/William_Joseph_Levada" TargetMode="External"/><Relationship Id="rId1198" Type="http://schemas.openxmlformats.org/officeDocument/2006/relationships/hyperlink" Target="https://en.wikipedia.org/wiki/Ra%C3%BAl_Francisco_Primatesta" TargetMode="External"/><Relationship Id="rId124" Type="http://schemas.openxmlformats.org/officeDocument/2006/relationships/hyperlink" Target="https://en.wikipedia.org/wiki/South_Africa" TargetMode="External"/><Relationship Id="rId366" Type="http://schemas.openxmlformats.org/officeDocument/2006/relationships/hyperlink" Target="https://en.wikipedia.org/wiki/Pontifical_Legation_for_the_Basilicas_of_Saint_Francis_and_Saint_Mary_of_the_Angels_in_Assisi" TargetMode="External"/><Relationship Id="rId1199" Type="http://schemas.openxmlformats.org/officeDocument/2006/relationships/hyperlink" Target="https://en.wikipedia.org/wiki/Argentina" TargetMode="External"/><Relationship Id="rId123" Type="http://schemas.openxmlformats.org/officeDocument/2006/relationships/hyperlink" Target="https://en.wikipedia.org/wiki/Wilfrid_Fox_Napier" TargetMode="External"/><Relationship Id="rId365" Type="http://schemas.openxmlformats.org/officeDocument/2006/relationships/hyperlink" Target="https://en.wikipedia.org/wiki/Cardinal_deacon" TargetMode="External"/><Relationship Id="rId122" Type="http://schemas.openxmlformats.org/officeDocument/2006/relationships/hyperlink" Target="https://en.wikipedia.org/wiki/Roman_Catholic_Archdiocese_of_Santa_Cruz_de_la_Sierra" TargetMode="External"/><Relationship Id="rId364" Type="http://schemas.openxmlformats.org/officeDocument/2006/relationships/hyperlink" Target="https://en.wikipedia.org/wiki/Italy" TargetMode="External"/><Relationship Id="rId95" Type="http://schemas.openxmlformats.org/officeDocument/2006/relationships/hyperlink" Target="https://en.wikipedia.org/wiki/Crescenzio_Sepe" TargetMode="External"/><Relationship Id="rId94" Type="http://schemas.openxmlformats.org/officeDocument/2006/relationships/hyperlink" Target="https://en.wikipedia.org/wiki/Congregation_for_Catholic_Education" TargetMode="External"/><Relationship Id="rId97" Type="http://schemas.openxmlformats.org/officeDocument/2006/relationships/hyperlink" Target="https://en.wikipedia.org/wiki/Cardinal_priest" TargetMode="External"/><Relationship Id="rId96" Type="http://schemas.openxmlformats.org/officeDocument/2006/relationships/hyperlink" Target="https://en.wikipedia.org/wiki/Italy" TargetMode="External"/><Relationship Id="rId99" Type="http://schemas.openxmlformats.org/officeDocument/2006/relationships/hyperlink" Target="https://en.wikipedia.org/wiki/Walter_Kasper" TargetMode="External"/><Relationship Id="rId98" Type="http://schemas.openxmlformats.org/officeDocument/2006/relationships/hyperlink" Target="https://en.wikipedia.org/wiki/Roman_Catholic_Archdiocese_of_Naples" TargetMode="External"/><Relationship Id="rId91" Type="http://schemas.openxmlformats.org/officeDocument/2006/relationships/hyperlink" Target="https://en.wikipedia.org/wiki/Zenon_Grocholewski" TargetMode="External"/><Relationship Id="rId90" Type="http://schemas.openxmlformats.org/officeDocument/2006/relationships/hyperlink" Target="https://en.wikipedia.org/wiki/Roman_Catholic_Archdiocese_of_Chicago" TargetMode="External"/><Relationship Id="rId93" Type="http://schemas.openxmlformats.org/officeDocument/2006/relationships/hyperlink" Target="https://en.wikipedia.org/wiki/Cardinal_priest" TargetMode="External"/><Relationship Id="rId92" Type="http://schemas.openxmlformats.org/officeDocument/2006/relationships/hyperlink" Target="https://en.wikipedia.org/wiki/Poland" TargetMode="External"/><Relationship Id="rId118" Type="http://schemas.openxmlformats.org/officeDocument/2006/relationships/hyperlink" Target="https://en.wikipedia.org/wiki/Roman_Catholic_Archdiocese_of_Santiago_de_Chile" TargetMode="External"/><Relationship Id="rId117" Type="http://schemas.openxmlformats.org/officeDocument/2006/relationships/hyperlink" Target="https://en.wikipedia.org/wiki/Cardinal_priest" TargetMode="External"/><Relationship Id="rId359" Type="http://schemas.openxmlformats.org/officeDocument/2006/relationships/hyperlink" Target="https://en.wikipedia.org/wiki/Jean-Louis_Tauran" TargetMode="External"/><Relationship Id="rId116" Type="http://schemas.openxmlformats.org/officeDocument/2006/relationships/hyperlink" Target="https://en.wikipedia.org/wiki/Chile" TargetMode="External"/><Relationship Id="rId358" Type="http://schemas.openxmlformats.org/officeDocument/2006/relationships/hyperlink" Target="https://en.wikipedia.org/wiki/Roman_Catholic_Archdiocese_of_Manila" TargetMode="External"/><Relationship Id="rId115" Type="http://schemas.openxmlformats.org/officeDocument/2006/relationships/hyperlink" Target="https://en.wikipedia.org/wiki/Francisco_Javier_Err%C3%A1zuriz_Ossa" TargetMode="External"/><Relationship Id="rId357" Type="http://schemas.openxmlformats.org/officeDocument/2006/relationships/hyperlink" Target="https://en.wikipedia.org/wiki/Cardinal_priest" TargetMode="External"/><Relationship Id="rId599" Type="http://schemas.openxmlformats.org/officeDocument/2006/relationships/hyperlink" Target="https://en.wikipedia.org/wiki/Dominican_Republic" TargetMode="External"/><Relationship Id="rId1180" Type="http://schemas.openxmlformats.org/officeDocument/2006/relationships/hyperlink" Target="https://en.wikipedia.org/wiki/Cardinal_priest" TargetMode="External"/><Relationship Id="rId1181" Type="http://schemas.openxmlformats.org/officeDocument/2006/relationships/hyperlink" Target="https://en.wikipedia.org/wiki/Sacred_Congregation_for_the_Sacraments_and_Divine_Worship" TargetMode="External"/><Relationship Id="rId119" Type="http://schemas.openxmlformats.org/officeDocument/2006/relationships/hyperlink" Target="https://en.wikipedia.org/wiki/Julio_Terrazas_Sandoval" TargetMode="External"/><Relationship Id="rId1182" Type="http://schemas.openxmlformats.org/officeDocument/2006/relationships/hyperlink" Target="https://en.wikipedia.org/wiki/Avelar_Brand%C3%A3o_Vilela" TargetMode="External"/><Relationship Id="rId110" Type="http://schemas.openxmlformats.org/officeDocument/2006/relationships/hyperlink" Target="https://en.wikipedia.org/wiki/Roman_Catholic_Archdiocese_of_S%C3%A3o_Salvador_da_Bahia" TargetMode="External"/><Relationship Id="rId352" Type="http://schemas.openxmlformats.org/officeDocument/2006/relationships/hyperlink" Target="https://en.wikipedia.org/wiki/Colombia" TargetMode="External"/><Relationship Id="rId594" Type="http://schemas.openxmlformats.org/officeDocument/2006/relationships/hyperlink" Target="https://en.wikipedia.org/wiki/Fr%C3%A9d%C3%A9ric_Etsou-Nzabi-Bamungwabi" TargetMode="External"/><Relationship Id="rId1183" Type="http://schemas.openxmlformats.org/officeDocument/2006/relationships/hyperlink" Target="https://en.wikipedia.org/wiki/Brazil" TargetMode="External"/><Relationship Id="rId351" Type="http://schemas.openxmlformats.org/officeDocument/2006/relationships/hyperlink" Target="https://en.wikipedia.org/wiki/Rub%C3%A9n_Salazar_G%C3%B3mez" TargetMode="External"/><Relationship Id="rId593" Type="http://schemas.openxmlformats.org/officeDocument/2006/relationships/hyperlink" Target="https://en.wikipedia.org/wiki/Roman_Catholic_Archdiocese_of_Douala" TargetMode="External"/><Relationship Id="rId1184" Type="http://schemas.openxmlformats.org/officeDocument/2006/relationships/hyperlink" Target="https://en.wikipedia.org/wiki/Cardinal_priest" TargetMode="External"/><Relationship Id="rId350" Type="http://schemas.openxmlformats.org/officeDocument/2006/relationships/hyperlink" Target="https://en.wikipedia.org/wiki/Roman_Catholic_Archdiocese_of_Abuja" TargetMode="External"/><Relationship Id="rId592" Type="http://schemas.openxmlformats.org/officeDocument/2006/relationships/hyperlink" Target="https://en.wikipedia.org/wiki/Cardinal_priest" TargetMode="External"/><Relationship Id="rId1185" Type="http://schemas.openxmlformats.org/officeDocument/2006/relationships/hyperlink" Target="https://en.wikipedia.org/wiki/Roman_Catholic_Archdiocese_of_S%C3%A3o_Salvador_da_Bahia" TargetMode="External"/><Relationship Id="rId591" Type="http://schemas.openxmlformats.org/officeDocument/2006/relationships/hyperlink" Target="https://en.wikipedia.org/wiki/Cameroon" TargetMode="External"/><Relationship Id="rId1186" Type="http://schemas.openxmlformats.org/officeDocument/2006/relationships/hyperlink" Target="https://en.wikipedia.org/wiki/Joseph_Cordeiro" TargetMode="External"/><Relationship Id="rId114" Type="http://schemas.openxmlformats.org/officeDocument/2006/relationships/hyperlink" Target="https://en.wikipedia.org/wiki/Roman_Catholic_Archdiocese_of_Vilnius" TargetMode="External"/><Relationship Id="rId356" Type="http://schemas.openxmlformats.org/officeDocument/2006/relationships/hyperlink" Target="https://en.wikipedia.org/wiki/Philippines" TargetMode="External"/><Relationship Id="rId598" Type="http://schemas.openxmlformats.org/officeDocument/2006/relationships/hyperlink" Target="https://en.wikipedia.org/wiki/Nicol%C3%A1s_de_Jes%C3%BAs_L%C3%B3pez_Rodr%C3%ADguez" TargetMode="External"/><Relationship Id="rId1187" Type="http://schemas.openxmlformats.org/officeDocument/2006/relationships/hyperlink" Target="https://en.wikipedia.org/wiki/Pakistan" TargetMode="External"/><Relationship Id="rId113" Type="http://schemas.openxmlformats.org/officeDocument/2006/relationships/hyperlink" Target="https://en.wikipedia.org/wiki/Cardinal_priest" TargetMode="External"/><Relationship Id="rId355" Type="http://schemas.openxmlformats.org/officeDocument/2006/relationships/hyperlink" Target="https://en.wikipedia.org/wiki/Luis_Antonio_Gokim_Tagle" TargetMode="External"/><Relationship Id="rId597" Type="http://schemas.openxmlformats.org/officeDocument/2006/relationships/hyperlink" Target="https://en.wikipedia.org/wiki/Roman_Catholic_Archdiocese_of_Kinshasa" TargetMode="External"/><Relationship Id="rId1188" Type="http://schemas.openxmlformats.org/officeDocument/2006/relationships/hyperlink" Target="https://en.wikipedia.org/wiki/Cardinal_priest" TargetMode="External"/><Relationship Id="rId112" Type="http://schemas.openxmlformats.org/officeDocument/2006/relationships/hyperlink" Target="https://en.wikipedia.org/wiki/Lithuania" TargetMode="External"/><Relationship Id="rId354" Type="http://schemas.openxmlformats.org/officeDocument/2006/relationships/hyperlink" Target="https://en.wikipedia.org/wiki/Roman_Catholic_Archdiocese_of_Bogot%C3%A1" TargetMode="External"/><Relationship Id="rId596" Type="http://schemas.openxmlformats.org/officeDocument/2006/relationships/hyperlink" Target="https://en.wikipedia.org/wiki/Cardinal_priest" TargetMode="External"/><Relationship Id="rId1189" Type="http://schemas.openxmlformats.org/officeDocument/2006/relationships/hyperlink" Target="https://en.wikipedia.org/wiki/Roman_Catholic_Archdiocese_of_Karachi" TargetMode="External"/><Relationship Id="rId111" Type="http://schemas.openxmlformats.org/officeDocument/2006/relationships/hyperlink" Target="https://en.wikipedia.org/wiki/Audrys_Juozas_Ba%C4%8Dkis" TargetMode="External"/><Relationship Id="rId353" Type="http://schemas.openxmlformats.org/officeDocument/2006/relationships/hyperlink" Target="https://en.wikipedia.org/wiki/Cardinal_priest" TargetMode="External"/><Relationship Id="rId595" Type="http://schemas.openxmlformats.org/officeDocument/2006/relationships/hyperlink" Target="https://en.wikipedia.org/wiki/Democratic_Republic_of_the_Congo" TargetMode="External"/><Relationship Id="rId1136" Type="http://schemas.openxmlformats.org/officeDocument/2006/relationships/hyperlink" Target="https://en.wikipedia.org/wiki/Cardinal_priest" TargetMode="External"/><Relationship Id="rId1378" Type="http://schemas.openxmlformats.org/officeDocument/2006/relationships/hyperlink" Target="https://en.wikipedia.org/wiki/People%27s_Republic_of_Benin" TargetMode="External"/><Relationship Id="rId1137" Type="http://schemas.openxmlformats.org/officeDocument/2006/relationships/hyperlink" Target="https://en.wikipedia.org/wiki/Roman_Catholic_Archdiocese_of_Quito" TargetMode="External"/><Relationship Id="rId1379" Type="http://schemas.openxmlformats.org/officeDocument/2006/relationships/hyperlink" Target="https://en.wikipedia.org/wiki/Cardinal_deacon" TargetMode="External"/><Relationship Id="rId1138" Type="http://schemas.openxmlformats.org/officeDocument/2006/relationships/hyperlink" Target="https://en.wikipedia.org/wiki/Antonio_Poma" TargetMode="External"/><Relationship Id="rId1139" Type="http://schemas.openxmlformats.org/officeDocument/2006/relationships/hyperlink" Target="https://en.wikipedia.org/wiki/Italy" TargetMode="External"/><Relationship Id="rId305" Type="http://schemas.openxmlformats.org/officeDocument/2006/relationships/hyperlink" Target="https://en.wikipedia.org/wiki/Cardinal_priest" TargetMode="External"/><Relationship Id="rId547" Type="http://schemas.openxmlformats.org/officeDocument/2006/relationships/hyperlink" Target="https://en.wikipedia.org/wiki/Philippines" TargetMode="External"/><Relationship Id="rId789" Type="http://schemas.openxmlformats.org/officeDocument/2006/relationships/hyperlink" Target="https://en.wikipedia.org/wiki/Ukrainian_Catholic_Major_Archeparchy_of_Kyiv%E2%80%93Galicia" TargetMode="External"/><Relationship Id="rId304" Type="http://schemas.openxmlformats.org/officeDocument/2006/relationships/hyperlink" Target="https://en.wikipedia.org/wiki/Sri_Lanka" TargetMode="External"/><Relationship Id="rId546" Type="http://schemas.openxmlformats.org/officeDocument/2006/relationships/hyperlink" Target="https://en.wikipedia.org/wiki/Ricardo_Jamin_Vidal" TargetMode="External"/><Relationship Id="rId788" Type="http://schemas.openxmlformats.org/officeDocument/2006/relationships/hyperlink" Target="https://en.wikipedia.org/wiki/Cardinal_priest" TargetMode="External"/><Relationship Id="rId303" Type="http://schemas.openxmlformats.org/officeDocument/2006/relationships/hyperlink" Target="https://en.wikipedia.org/wiki/Albert_Malcolm_Ranjith_Patabendige_Don" TargetMode="External"/><Relationship Id="rId545" Type="http://schemas.openxmlformats.org/officeDocument/2006/relationships/hyperlink" Target="https://en.wikipedia.org/wiki/Roman_Catholic_Archdiocese_of_Managua" TargetMode="External"/><Relationship Id="rId787" Type="http://schemas.openxmlformats.org/officeDocument/2006/relationships/hyperlink" Target="https://en.wikipedia.org/wiki/Ukraine" TargetMode="External"/><Relationship Id="rId302" Type="http://schemas.openxmlformats.org/officeDocument/2006/relationships/hyperlink" Target="https://en.wikipedia.org/wiki/Roman_Catholic_Archdiocese_of_Warsaw" TargetMode="External"/><Relationship Id="rId544" Type="http://schemas.openxmlformats.org/officeDocument/2006/relationships/hyperlink" Target="https://en.wikipedia.org/wiki/Cardinal_priest" TargetMode="External"/><Relationship Id="rId786" Type="http://schemas.openxmlformats.org/officeDocument/2006/relationships/hyperlink" Target="https://en.wikipedia.org/wiki/Lubomyr_Husar" TargetMode="External"/><Relationship Id="rId309" Type="http://schemas.openxmlformats.org/officeDocument/2006/relationships/hyperlink" Target="https://en.wikipedia.org/wiki/Cardinal_priest" TargetMode="External"/><Relationship Id="rId308" Type="http://schemas.openxmlformats.org/officeDocument/2006/relationships/hyperlink" Target="https://en.wikipedia.org/wiki/Germany" TargetMode="External"/><Relationship Id="rId307" Type="http://schemas.openxmlformats.org/officeDocument/2006/relationships/hyperlink" Target="https://en.wikipedia.org/wiki/Reinhard_Marx" TargetMode="External"/><Relationship Id="rId549" Type="http://schemas.openxmlformats.org/officeDocument/2006/relationships/hyperlink" Target="https://en.wikipedia.org/wiki/Roman_Catholic_Archdiocese_of_Cebu" TargetMode="External"/><Relationship Id="rId306" Type="http://schemas.openxmlformats.org/officeDocument/2006/relationships/hyperlink" Target="https://en.wikipedia.org/wiki/Roman_Catholic_Archdiocese_of_Colombo" TargetMode="External"/><Relationship Id="rId548" Type="http://schemas.openxmlformats.org/officeDocument/2006/relationships/hyperlink" Target="https://en.wikipedia.org/wiki/Cardinal_priest" TargetMode="External"/><Relationship Id="rId781" Type="http://schemas.openxmlformats.org/officeDocument/2006/relationships/hyperlink" Target="https://en.wikipedia.org/wiki/Roman_Catholic_Diocese_of_Westminster" TargetMode="External"/><Relationship Id="rId1370" Type="http://schemas.openxmlformats.org/officeDocument/2006/relationships/hyperlink" Target="https://en.wikipedia.org/wiki/West_Germany" TargetMode="External"/><Relationship Id="rId780" Type="http://schemas.openxmlformats.org/officeDocument/2006/relationships/hyperlink" Target="https://en.wikipedia.org/wiki/Cardinal_priest" TargetMode="External"/><Relationship Id="rId1371" Type="http://schemas.openxmlformats.org/officeDocument/2006/relationships/hyperlink" Target="https://en.wikipedia.org/wiki/Cardinal_deacon" TargetMode="External"/><Relationship Id="rId1130" Type="http://schemas.openxmlformats.org/officeDocument/2006/relationships/hyperlink" Target="https://en.wikipedia.org/wiki/Joseph_Malula" TargetMode="External"/><Relationship Id="rId1372" Type="http://schemas.openxmlformats.org/officeDocument/2006/relationships/hyperlink" Target="https://en.wikipedia.org/wiki/Sacred_Congregation_for_Catholic_Education" TargetMode="External"/><Relationship Id="rId1131" Type="http://schemas.openxmlformats.org/officeDocument/2006/relationships/hyperlink" Target="https://en.wikipedia.org/wiki/Zaire" TargetMode="External"/><Relationship Id="rId1373" Type="http://schemas.openxmlformats.org/officeDocument/2006/relationships/hyperlink" Target="https://en.wikipedia.org/wiki/Eduardo_Francisco_Pironio" TargetMode="External"/><Relationship Id="rId301" Type="http://schemas.openxmlformats.org/officeDocument/2006/relationships/hyperlink" Target="https://en.wikipedia.org/wiki/Cardinal_priest" TargetMode="External"/><Relationship Id="rId543" Type="http://schemas.openxmlformats.org/officeDocument/2006/relationships/hyperlink" Target="https://en.wikipedia.org/wiki/Nicaragua" TargetMode="External"/><Relationship Id="rId785" Type="http://schemas.openxmlformats.org/officeDocument/2006/relationships/hyperlink" Target="https://en.wikipedia.org/wiki/Roman_Catholic_Archdiocese_of_New_York" TargetMode="External"/><Relationship Id="rId1132" Type="http://schemas.openxmlformats.org/officeDocument/2006/relationships/hyperlink" Target="https://en.wikipedia.org/wiki/Cardinal_priest" TargetMode="External"/><Relationship Id="rId1374" Type="http://schemas.openxmlformats.org/officeDocument/2006/relationships/hyperlink" Target="https://en.wikipedia.org/wiki/Argentina" TargetMode="External"/><Relationship Id="rId300" Type="http://schemas.openxmlformats.org/officeDocument/2006/relationships/hyperlink" Target="https://en.wikipedia.org/wiki/Poland" TargetMode="External"/><Relationship Id="rId542" Type="http://schemas.openxmlformats.org/officeDocument/2006/relationships/hyperlink" Target="https://en.wikipedia.org/wiki/Miguel_Obando_Bravo" TargetMode="External"/><Relationship Id="rId784" Type="http://schemas.openxmlformats.org/officeDocument/2006/relationships/hyperlink" Target="https://en.wikipedia.org/wiki/Cardinal_priest" TargetMode="External"/><Relationship Id="rId1133" Type="http://schemas.openxmlformats.org/officeDocument/2006/relationships/hyperlink" Target="https://en.wikipedia.org/wiki/Roman_Catholic_Archdiocese_of_Kinshasa" TargetMode="External"/><Relationship Id="rId1375" Type="http://schemas.openxmlformats.org/officeDocument/2006/relationships/hyperlink" Target="https://en.wikipedia.org/wiki/Cardinal_deacon" TargetMode="External"/><Relationship Id="rId541" Type="http://schemas.openxmlformats.org/officeDocument/2006/relationships/hyperlink" Target="https://en.wikipedia.org/wiki/Congregation_for_Divine_Worship_and_the_Discipline_of_the_Sacraments" TargetMode="External"/><Relationship Id="rId783" Type="http://schemas.openxmlformats.org/officeDocument/2006/relationships/hyperlink" Target="https://en.wikipedia.org/wiki/United_States" TargetMode="External"/><Relationship Id="rId1134" Type="http://schemas.openxmlformats.org/officeDocument/2006/relationships/hyperlink" Target="https://en.wikipedia.org/wiki/Pablo_Mu%C3%B1oz_Vega" TargetMode="External"/><Relationship Id="rId1376" Type="http://schemas.openxmlformats.org/officeDocument/2006/relationships/hyperlink" Target="https://en.wikipedia.org/wiki/Sacred_Congregation_for_the_Religious_and_Secular_Institutes" TargetMode="External"/><Relationship Id="rId540" Type="http://schemas.openxmlformats.org/officeDocument/2006/relationships/hyperlink" Target="https://en.wikipedia.org/wiki/Cardinal_priest" TargetMode="External"/><Relationship Id="rId782" Type="http://schemas.openxmlformats.org/officeDocument/2006/relationships/hyperlink" Target="https://en.wikipedia.org/wiki/Edward_Michael_Egan" TargetMode="External"/><Relationship Id="rId1135" Type="http://schemas.openxmlformats.org/officeDocument/2006/relationships/hyperlink" Target="https://en.wikipedia.org/wiki/Ecuador" TargetMode="External"/><Relationship Id="rId1377" Type="http://schemas.openxmlformats.org/officeDocument/2006/relationships/hyperlink" Target="https://en.wikipedia.org/wiki/Bernardin_Gantin" TargetMode="External"/><Relationship Id="rId1125" Type="http://schemas.openxmlformats.org/officeDocument/2006/relationships/hyperlink" Target="https://en.wikipedia.org/wiki/Roman_Catholic_Archdiocese_of_Guatemala" TargetMode="External"/><Relationship Id="rId1367" Type="http://schemas.openxmlformats.org/officeDocument/2006/relationships/hyperlink" Target="https://en.wikipedia.org/wiki/Cardinal_deacon" TargetMode="External"/><Relationship Id="rId1126" Type="http://schemas.openxmlformats.org/officeDocument/2006/relationships/hyperlink" Target="https://en.wikipedia.org/wiki/Vicente_Enrique_y_Taranc%C3%B3n" TargetMode="External"/><Relationship Id="rId1368" Type="http://schemas.openxmlformats.org/officeDocument/2006/relationships/hyperlink" Target="https://en.wikipedia.org/wiki/Sacred_Congregation_for_the_Causes_of_Saints" TargetMode="External"/><Relationship Id="rId1127" Type="http://schemas.openxmlformats.org/officeDocument/2006/relationships/hyperlink" Target="https://en.wikipedia.org/wiki/Spanish_transition_to_democracy" TargetMode="External"/><Relationship Id="rId1369" Type="http://schemas.openxmlformats.org/officeDocument/2006/relationships/hyperlink" Target="https://en.wikipedia.org/wiki/Joseph_Schr%C3%B6ffer" TargetMode="External"/><Relationship Id="rId1128" Type="http://schemas.openxmlformats.org/officeDocument/2006/relationships/hyperlink" Target="https://en.wikipedia.org/wiki/Cardinal_priest" TargetMode="External"/><Relationship Id="rId1129" Type="http://schemas.openxmlformats.org/officeDocument/2006/relationships/hyperlink" Target="https://en.wikipedia.org/wiki/Roman_Catholic_Archdiocese_of_Madrid" TargetMode="External"/><Relationship Id="rId536" Type="http://schemas.openxmlformats.org/officeDocument/2006/relationships/hyperlink" Target="https://en.wikipedia.org/wiki/Cardinal_priest" TargetMode="External"/><Relationship Id="rId778" Type="http://schemas.openxmlformats.org/officeDocument/2006/relationships/hyperlink" Target="https://en.wikipedia.org/wiki/Cormac_Murphy-O%27Connor" TargetMode="External"/><Relationship Id="rId535" Type="http://schemas.openxmlformats.org/officeDocument/2006/relationships/hyperlink" Target="https://en.wikipedia.org/wiki/Germany" TargetMode="External"/><Relationship Id="rId777" Type="http://schemas.openxmlformats.org/officeDocument/2006/relationships/hyperlink" Target="https://en.wikipedia.org/wiki/Roman_Catholic_Archdiocese_of_Turin" TargetMode="External"/><Relationship Id="rId534" Type="http://schemas.openxmlformats.org/officeDocument/2006/relationships/hyperlink" Target="https://en.wikipedia.org/wiki/Joachim_Meisner" TargetMode="External"/><Relationship Id="rId776" Type="http://schemas.openxmlformats.org/officeDocument/2006/relationships/hyperlink" Target="https://en.wikipedia.org/wiki/Cardinal_priest" TargetMode="External"/><Relationship Id="rId533" Type="http://schemas.openxmlformats.org/officeDocument/2006/relationships/hyperlink" Target="https://en.wikipedia.org/wiki/Roman_Catholic_Archdiocese_of_Warsaw" TargetMode="External"/><Relationship Id="rId775" Type="http://schemas.openxmlformats.org/officeDocument/2006/relationships/hyperlink" Target="https://en.wikipedia.org/wiki/Italy" TargetMode="External"/><Relationship Id="rId539" Type="http://schemas.openxmlformats.org/officeDocument/2006/relationships/hyperlink" Target="https://en.wikipedia.org/wiki/Nigeria" TargetMode="External"/><Relationship Id="rId538" Type="http://schemas.openxmlformats.org/officeDocument/2006/relationships/hyperlink" Target="https://en.wikipedia.org/wiki/Francis_Arinze" TargetMode="External"/><Relationship Id="rId537" Type="http://schemas.openxmlformats.org/officeDocument/2006/relationships/hyperlink" Target="https://en.wikipedia.org/wiki/Roman_Catholic_Archdiocese_of_Cologne" TargetMode="External"/><Relationship Id="rId779" Type="http://schemas.openxmlformats.org/officeDocument/2006/relationships/hyperlink" Target="https://en.wikipedia.org/wiki/United_Kingdom" TargetMode="External"/><Relationship Id="rId770" Type="http://schemas.openxmlformats.org/officeDocument/2006/relationships/hyperlink" Target="https://en.wikipedia.org/wiki/Jos%C3%A9_da_Cruz_Policarpo" TargetMode="External"/><Relationship Id="rId1360" Type="http://schemas.openxmlformats.org/officeDocument/2006/relationships/hyperlink" Target="https://en.wikipedia.org/wiki/Pontifical_Council_for_the_Laity" TargetMode="External"/><Relationship Id="rId1361" Type="http://schemas.openxmlformats.org/officeDocument/2006/relationships/hyperlink" Target="https://en.wikipedia.org/wiki/Giuseppe_Maria_Sensi" TargetMode="External"/><Relationship Id="rId1120" Type="http://schemas.openxmlformats.org/officeDocument/2006/relationships/hyperlink" Target="https://en.wikipedia.org/wiki/Cardinal_priest" TargetMode="External"/><Relationship Id="rId1362" Type="http://schemas.openxmlformats.org/officeDocument/2006/relationships/hyperlink" Target="https://en.wikipedia.org/wiki/Italy" TargetMode="External"/><Relationship Id="rId532" Type="http://schemas.openxmlformats.org/officeDocument/2006/relationships/hyperlink" Target="https://en.wikipedia.org/wiki/Cardinal_priest" TargetMode="External"/><Relationship Id="rId774" Type="http://schemas.openxmlformats.org/officeDocument/2006/relationships/hyperlink" Target="https://en.wikipedia.org/wiki/Severino_Poletto" TargetMode="External"/><Relationship Id="rId1121" Type="http://schemas.openxmlformats.org/officeDocument/2006/relationships/hyperlink" Target="https://en.wikipedia.org/wiki/Roman_Catholic_Archdiocese_of_Rennes" TargetMode="External"/><Relationship Id="rId1363" Type="http://schemas.openxmlformats.org/officeDocument/2006/relationships/hyperlink" Target="https://en.wikipedia.org/wiki/Cardinal_deacon" TargetMode="External"/><Relationship Id="rId531" Type="http://schemas.openxmlformats.org/officeDocument/2006/relationships/hyperlink" Target="https://en.wikipedia.org/wiki/Poland" TargetMode="External"/><Relationship Id="rId773" Type="http://schemas.openxmlformats.org/officeDocument/2006/relationships/hyperlink" Target="https://en.wikipedia.org/wiki/Patriarchate_of_Lisbon" TargetMode="External"/><Relationship Id="rId1122" Type="http://schemas.openxmlformats.org/officeDocument/2006/relationships/hyperlink" Target="https://en.wikipedia.org/wiki/Mario_Casariego_y_Acevedo" TargetMode="External"/><Relationship Id="rId1364" Type="http://schemas.openxmlformats.org/officeDocument/2006/relationships/hyperlink" Target="https://en.wikipedia.org/wiki/Apostolic_Nunciature_to_Portugal" TargetMode="External"/><Relationship Id="rId530" Type="http://schemas.openxmlformats.org/officeDocument/2006/relationships/hyperlink" Target="https://en.wikipedia.org/wiki/J%C3%B3zef_Glemp" TargetMode="External"/><Relationship Id="rId772" Type="http://schemas.openxmlformats.org/officeDocument/2006/relationships/hyperlink" Target="https://en.wikipedia.org/wiki/Cardinal_priest" TargetMode="External"/><Relationship Id="rId1123" Type="http://schemas.openxmlformats.org/officeDocument/2006/relationships/hyperlink" Target="https://en.wikipedia.org/wiki/Guatemala" TargetMode="External"/><Relationship Id="rId1365" Type="http://schemas.openxmlformats.org/officeDocument/2006/relationships/hyperlink" Target="https://en.wikipedia.org/wiki/Corrado_Bafile" TargetMode="External"/><Relationship Id="rId771" Type="http://schemas.openxmlformats.org/officeDocument/2006/relationships/hyperlink" Target="https://en.wikipedia.org/wiki/Portugal" TargetMode="External"/><Relationship Id="rId1124" Type="http://schemas.openxmlformats.org/officeDocument/2006/relationships/hyperlink" Target="https://en.wikipedia.org/wiki/Cardinal_priest" TargetMode="External"/><Relationship Id="rId1366" Type="http://schemas.openxmlformats.org/officeDocument/2006/relationships/hyperlink" Target="https://en.wikipedia.org/wiki/Italy" TargetMode="External"/><Relationship Id="rId1158" Type="http://schemas.openxmlformats.org/officeDocument/2006/relationships/hyperlink" Target="https://en.wikipedia.org/wiki/Joseph_H%C3%B6ffner" TargetMode="External"/><Relationship Id="rId1159" Type="http://schemas.openxmlformats.org/officeDocument/2006/relationships/hyperlink" Target="https://en.wikipedia.org/wiki/West_Germany" TargetMode="External"/><Relationship Id="rId327" Type="http://schemas.openxmlformats.org/officeDocument/2006/relationships/hyperlink" Target="https://en.wikipedia.org/wiki/Giuseppe_Betori" TargetMode="External"/><Relationship Id="rId569" Type="http://schemas.openxmlformats.org/officeDocument/2006/relationships/hyperlink" Target="https://en.wikipedia.org/wiki/Roman_Catholic_Archdiocese_of_Bologna" TargetMode="External"/><Relationship Id="rId326" Type="http://schemas.openxmlformats.org/officeDocument/2006/relationships/hyperlink" Target="https://en.wikipedia.org/wiki/Roman_Catholic_Archdiocese_of_Utrecht" TargetMode="External"/><Relationship Id="rId568" Type="http://schemas.openxmlformats.org/officeDocument/2006/relationships/hyperlink" Target="https://en.wikipedia.org/wiki/Cardinal_priest" TargetMode="External"/><Relationship Id="rId325" Type="http://schemas.openxmlformats.org/officeDocument/2006/relationships/hyperlink" Target="https://en.wikipedia.org/wiki/Cardinal_priest" TargetMode="External"/><Relationship Id="rId567" Type="http://schemas.openxmlformats.org/officeDocument/2006/relationships/hyperlink" Target="https://en.wikipedia.org/wiki/Italy" TargetMode="External"/><Relationship Id="rId324" Type="http://schemas.openxmlformats.org/officeDocument/2006/relationships/hyperlink" Target="https://en.wikipedia.org/wiki/Netherlands" TargetMode="External"/><Relationship Id="rId566" Type="http://schemas.openxmlformats.org/officeDocument/2006/relationships/hyperlink" Target="https://en.wikipedia.org/wiki/Giacomo_Biffi" TargetMode="External"/><Relationship Id="rId329" Type="http://schemas.openxmlformats.org/officeDocument/2006/relationships/hyperlink" Target="https://en.wikipedia.org/wiki/Cardinal_priest" TargetMode="External"/><Relationship Id="rId328" Type="http://schemas.openxmlformats.org/officeDocument/2006/relationships/hyperlink" Target="https://en.wikipedia.org/wiki/Italy" TargetMode="External"/><Relationship Id="rId561" Type="http://schemas.openxmlformats.org/officeDocument/2006/relationships/hyperlink" Target="https://en.wikipedia.org/wiki/Roman_Catholic_Archdiocese_of_Utrecht" TargetMode="External"/><Relationship Id="rId1150" Type="http://schemas.openxmlformats.org/officeDocument/2006/relationships/hyperlink" Target="https://en.wikipedia.org/wiki/Stephen_Kim_Sou-hwan" TargetMode="External"/><Relationship Id="rId560" Type="http://schemas.openxmlformats.org/officeDocument/2006/relationships/hyperlink" Target="https://en.wikipedia.org/wiki/Cardinal_priest" TargetMode="External"/><Relationship Id="rId1151" Type="http://schemas.openxmlformats.org/officeDocument/2006/relationships/hyperlink" Target="https://en.wikipedia.org/wiki/South_Korea" TargetMode="External"/><Relationship Id="rId1152" Type="http://schemas.openxmlformats.org/officeDocument/2006/relationships/hyperlink" Target="https://en.wikipedia.org/wiki/Cardinal_priest" TargetMode="External"/><Relationship Id="rId1153" Type="http://schemas.openxmlformats.org/officeDocument/2006/relationships/hyperlink" Target="https://en.wikipedia.org/wiki/Roman_Catholic_Archdiocese_of_Seoul" TargetMode="External"/><Relationship Id="rId323" Type="http://schemas.openxmlformats.org/officeDocument/2006/relationships/hyperlink" Target="https://en.wikipedia.org/wiki/Willem_Jacobus_Eijk" TargetMode="External"/><Relationship Id="rId565" Type="http://schemas.openxmlformats.org/officeDocument/2006/relationships/hyperlink" Target="https://en.wikipedia.org/wiki/Papal_Basilica_of_Saint_Mary_Major" TargetMode="External"/><Relationship Id="rId1154" Type="http://schemas.openxmlformats.org/officeDocument/2006/relationships/hyperlink" Target="https://en.wikipedia.org/wiki/Eug%C3%AAnio_de_Ara%C3%BAjo_Sales" TargetMode="External"/><Relationship Id="rId322" Type="http://schemas.openxmlformats.org/officeDocument/2006/relationships/hyperlink" Target="https://en.wikipedia.org/wiki/Roman_Catholic_Archdiocese_of_Prague" TargetMode="External"/><Relationship Id="rId564" Type="http://schemas.openxmlformats.org/officeDocument/2006/relationships/hyperlink" Target="https://en.wikipedia.org/wiki/Cardinal_priest" TargetMode="External"/><Relationship Id="rId1155" Type="http://schemas.openxmlformats.org/officeDocument/2006/relationships/hyperlink" Target="https://en.wikipedia.org/wiki/Brazil" TargetMode="External"/><Relationship Id="rId321" Type="http://schemas.openxmlformats.org/officeDocument/2006/relationships/hyperlink" Target="https://en.wikipedia.org/wiki/Cardinal_priest" TargetMode="External"/><Relationship Id="rId563" Type="http://schemas.openxmlformats.org/officeDocument/2006/relationships/hyperlink" Target="https://en.wikipedia.org/wiki/United_States" TargetMode="External"/><Relationship Id="rId1156" Type="http://schemas.openxmlformats.org/officeDocument/2006/relationships/hyperlink" Target="https://en.wikipedia.org/wiki/Cardinal_priest" TargetMode="External"/><Relationship Id="rId320" Type="http://schemas.openxmlformats.org/officeDocument/2006/relationships/hyperlink" Target="https://en.wikipedia.org/wiki/Czech_Republic" TargetMode="External"/><Relationship Id="rId562" Type="http://schemas.openxmlformats.org/officeDocument/2006/relationships/hyperlink" Target="https://en.wikipedia.org/wiki/Bernard_Francis_Law" TargetMode="External"/><Relationship Id="rId1157" Type="http://schemas.openxmlformats.org/officeDocument/2006/relationships/hyperlink" Target="https://en.wikipedia.org/wiki/Roman_Catholic_Archdiocese_of_S%C3%A3o_Sebasti%C3%A3o_do_Rio_de_Janeiro" TargetMode="External"/><Relationship Id="rId1147" Type="http://schemas.openxmlformats.org/officeDocument/2006/relationships/hyperlink" Target="https://en.wikipedia.org/wiki/United_States" TargetMode="External"/><Relationship Id="rId1148" Type="http://schemas.openxmlformats.org/officeDocument/2006/relationships/hyperlink" Target="https://en.wikipedia.org/wiki/Cardinal_priest" TargetMode="External"/><Relationship Id="rId1149" Type="http://schemas.openxmlformats.org/officeDocument/2006/relationships/hyperlink" Target="https://en.wikipedia.org/wiki/Roman_Catholic_Archdiocese_of_New_York" TargetMode="External"/><Relationship Id="rId316" Type="http://schemas.openxmlformats.org/officeDocument/2006/relationships/hyperlink" Target="https://en.wikipedia.org/wiki/Canada" TargetMode="External"/><Relationship Id="rId558" Type="http://schemas.openxmlformats.org/officeDocument/2006/relationships/hyperlink" Target="https://en.wikipedia.org/wiki/Adrianus_Johannes_Simonis" TargetMode="External"/><Relationship Id="rId315" Type="http://schemas.openxmlformats.org/officeDocument/2006/relationships/hyperlink" Target="https://en.wikipedia.org/wiki/Thomas_Christopher_Collins" TargetMode="External"/><Relationship Id="rId557" Type="http://schemas.openxmlformats.org/officeDocument/2006/relationships/hyperlink" Target="https://en.wikipedia.org/wiki/Roman_Catholic_Archdiocese_of_Munich_and_Freising" TargetMode="External"/><Relationship Id="rId799" Type="http://schemas.openxmlformats.org/officeDocument/2006/relationships/hyperlink" Target="https://en.wikipedia.org/wiki/Nigeria" TargetMode="External"/><Relationship Id="rId314" Type="http://schemas.openxmlformats.org/officeDocument/2006/relationships/hyperlink" Target="https://en.wikipedia.org/wiki/Syro-Malabar_Catholic_Major_Archeparchy_of_Ernakulam%E2%80%93Angamaly" TargetMode="External"/><Relationship Id="rId556" Type="http://schemas.openxmlformats.org/officeDocument/2006/relationships/hyperlink" Target="https://en.wikipedia.org/wiki/Cardinal_priest" TargetMode="External"/><Relationship Id="rId798" Type="http://schemas.openxmlformats.org/officeDocument/2006/relationships/hyperlink" Target="https://en.wikipedia.org/wiki/Anthony_Olubunmi_Okogie" TargetMode="External"/><Relationship Id="rId313" Type="http://schemas.openxmlformats.org/officeDocument/2006/relationships/hyperlink" Target="https://en.wikipedia.org/wiki/Cardinal_priest" TargetMode="External"/><Relationship Id="rId555" Type="http://schemas.openxmlformats.org/officeDocument/2006/relationships/hyperlink" Target="https://en.wikipedia.org/wiki/Germany" TargetMode="External"/><Relationship Id="rId797" Type="http://schemas.openxmlformats.org/officeDocument/2006/relationships/hyperlink" Target="https://en.wikipedia.org/wiki/Patriarchate_of_Venice" TargetMode="External"/><Relationship Id="rId319" Type="http://schemas.openxmlformats.org/officeDocument/2006/relationships/hyperlink" Target="https://en.wikipedia.org/wiki/Dominik_Duka" TargetMode="External"/><Relationship Id="rId318" Type="http://schemas.openxmlformats.org/officeDocument/2006/relationships/hyperlink" Target="https://en.wikipedia.org/wiki/Roman_Catholic_Archdiocese_of_Toronto" TargetMode="External"/><Relationship Id="rId317" Type="http://schemas.openxmlformats.org/officeDocument/2006/relationships/hyperlink" Target="https://en.wikipedia.org/wiki/Cardinal_priest" TargetMode="External"/><Relationship Id="rId559" Type="http://schemas.openxmlformats.org/officeDocument/2006/relationships/hyperlink" Target="https://en.wikipedia.org/wiki/Netherlands" TargetMode="External"/><Relationship Id="rId1380" Type="http://schemas.openxmlformats.org/officeDocument/2006/relationships/hyperlink" Target="https://en.wikipedia.org/wiki/Pontifical_Commission_for_Justice_and_Peace" TargetMode="External"/><Relationship Id="rId550" Type="http://schemas.openxmlformats.org/officeDocument/2006/relationships/hyperlink" Target="https://en.wikipedia.org/wiki/Paul_Poupard" TargetMode="External"/><Relationship Id="rId792" Type="http://schemas.openxmlformats.org/officeDocument/2006/relationships/hyperlink" Target="https://en.wikipedia.org/wiki/Cardinal_priest" TargetMode="External"/><Relationship Id="rId1381" Type="http://schemas.openxmlformats.org/officeDocument/2006/relationships/hyperlink" Target="https://en.wikipedia.org/wiki/Mario_Luigi_Ciappi" TargetMode="External"/><Relationship Id="rId791" Type="http://schemas.openxmlformats.org/officeDocument/2006/relationships/hyperlink" Target="https://en.wikipedia.org/wiki/Germany" TargetMode="External"/><Relationship Id="rId1140" Type="http://schemas.openxmlformats.org/officeDocument/2006/relationships/hyperlink" Target="https://en.wikipedia.org/wiki/Cardinal_priest" TargetMode="External"/><Relationship Id="rId1382" Type="http://schemas.openxmlformats.org/officeDocument/2006/relationships/hyperlink" Target="https://en.wikipedia.org/wiki/Italy" TargetMode="External"/><Relationship Id="rId790" Type="http://schemas.openxmlformats.org/officeDocument/2006/relationships/hyperlink" Target="https://en.wikipedia.org/wiki/Karl_Lehmann" TargetMode="External"/><Relationship Id="rId1141" Type="http://schemas.openxmlformats.org/officeDocument/2006/relationships/hyperlink" Target="https://en.wikipedia.org/wiki/Roman_Catholic_Archdiocese_of_Bologna" TargetMode="External"/><Relationship Id="rId1383" Type="http://schemas.openxmlformats.org/officeDocument/2006/relationships/hyperlink" Target="https://en.wikipedia.org/wiki/Cardinal_deacon" TargetMode="External"/><Relationship Id="rId1142" Type="http://schemas.openxmlformats.org/officeDocument/2006/relationships/hyperlink" Target="https://en.wikipedia.org/wiki/John_Joseph_Carberry" TargetMode="External"/><Relationship Id="rId1384" Type="http://schemas.openxmlformats.org/officeDocument/2006/relationships/hyperlink" Target="https://en.wikipedia.org/wiki/Theologian_of_the_Pontifical_Household" TargetMode="External"/><Relationship Id="rId312" Type="http://schemas.openxmlformats.org/officeDocument/2006/relationships/hyperlink" Target="https://en.wikipedia.org/wiki/India" TargetMode="External"/><Relationship Id="rId554" Type="http://schemas.openxmlformats.org/officeDocument/2006/relationships/hyperlink" Target="https://en.wikipedia.org/wiki/Friedrich_Wetter" TargetMode="External"/><Relationship Id="rId796" Type="http://schemas.openxmlformats.org/officeDocument/2006/relationships/hyperlink" Target="https://en.wikipedia.org/wiki/Cardinal_priest" TargetMode="External"/><Relationship Id="rId1143" Type="http://schemas.openxmlformats.org/officeDocument/2006/relationships/hyperlink" Target="https://en.wikipedia.org/wiki/United_States" TargetMode="External"/><Relationship Id="rId1385" Type="http://schemas.openxmlformats.org/officeDocument/2006/relationships/drawing" Target="../drawings/drawing1.xml"/><Relationship Id="rId311" Type="http://schemas.openxmlformats.org/officeDocument/2006/relationships/hyperlink" Target="https://en.wikipedia.org/wiki/George_Alencherry" TargetMode="External"/><Relationship Id="rId553" Type="http://schemas.openxmlformats.org/officeDocument/2006/relationships/hyperlink" Target="https://en.wikipedia.org/wiki/Pontifical_Council_for_Culture" TargetMode="External"/><Relationship Id="rId795" Type="http://schemas.openxmlformats.org/officeDocument/2006/relationships/hyperlink" Target="https://en.wikipedia.org/wiki/Italy" TargetMode="External"/><Relationship Id="rId1144" Type="http://schemas.openxmlformats.org/officeDocument/2006/relationships/hyperlink" Target="https://en.wikipedia.org/wiki/Cardinal_priest" TargetMode="External"/><Relationship Id="rId310" Type="http://schemas.openxmlformats.org/officeDocument/2006/relationships/hyperlink" Target="https://en.wikipedia.org/wiki/Roman_Catholic_Archdiocese_of_Munich_and_Freising" TargetMode="External"/><Relationship Id="rId552" Type="http://schemas.openxmlformats.org/officeDocument/2006/relationships/hyperlink" Target="https://en.wikipedia.org/wiki/Cardinal_priest" TargetMode="External"/><Relationship Id="rId794" Type="http://schemas.openxmlformats.org/officeDocument/2006/relationships/hyperlink" Target="https://en.wikipedia.org/wiki/Angelo_Scola" TargetMode="External"/><Relationship Id="rId1145" Type="http://schemas.openxmlformats.org/officeDocument/2006/relationships/hyperlink" Target="https://en.wikipedia.org/wiki/Roman_Catholic_Archdiocese_of_St._Louis" TargetMode="External"/><Relationship Id="rId551" Type="http://schemas.openxmlformats.org/officeDocument/2006/relationships/hyperlink" Target="https://en.wikipedia.org/wiki/France" TargetMode="External"/><Relationship Id="rId793" Type="http://schemas.openxmlformats.org/officeDocument/2006/relationships/hyperlink" Target="https://en.wikipedia.org/wiki/Roman_Catholic_Diocese_of_Mainz" TargetMode="External"/><Relationship Id="rId1146" Type="http://schemas.openxmlformats.org/officeDocument/2006/relationships/hyperlink" Target="https://en.wikipedia.org/wiki/Terence_James_Cooke" TargetMode="External"/><Relationship Id="rId297" Type="http://schemas.openxmlformats.org/officeDocument/2006/relationships/hyperlink" Target="https://en.wikipedia.org/wiki/Cardinal_priest" TargetMode="External"/><Relationship Id="rId296" Type="http://schemas.openxmlformats.org/officeDocument/2006/relationships/hyperlink" Target="https://en.wikipedia.org/wiki/Brazil" TargetMode="External"/><Relationship Id="rId295" Type="http://schemas.openxmlformats.org/officeDocument/2006/relationships/hyperlink" Target="https://en.wikipedia.org/wiki/Raymundo_Damasceno_Assis" TargetMode="External"/><Relationship Id="rId294" Type="http://schemas.openxmlformats.org/officeDocument/2006/relationships/hyperlink" Target="https://en.wikipedia.org/wiki/Roman_Catholic_Archdiocese_of_Washington" TargetMode="External"/><Relationship Id="rId299" Type="http://schemas.openxmlformats.org/officeDocument/2006/relationships/hyperlink" Target="https://en.wikipedia.org/wiki/Kazimierz_Nycz" TargetMode="External"/><Relationship Id="rId298" Type="http://schemas.openxmlformats.org/officeDocument/2006/relationships/hyperlink" Target="https://en.wikipedia.org/wiki/Roman_Catholic_Archdiocese_of_Aparecida" TargetMode="External"/><Relationship Id="rId271" Type="http://schemas.openxmlformats.org/officeDocument/2006/relationships/hyperlink" Target="https://en.wikipedia.org/wiki/Odilo_Pedro_Scherer" TargetMode="External"/><Relationship Id="rId270" Type="http://schemas.openxmlformats.org/officeDocument/2006/relationships/hyperlink" Target="https://en.wikipedia.org/wiki/Roman_Catholic_Archdiocese_of_Galveston%E2%80%93Houston" TargetMode="External"/><Relationship Id="rId269" Type="http://schemas.openxmlformats.org/officeDocument/2006/relationships/hyperlink" Target="https://en.wikipedia.org/wiki/Cardinal_priest" TargetMode="External"/><Relationship Id="rId264" Type="http://schemas.openxmlformats.org/officeDocument/2006/relationships/hyperlink" Target="https://en.wikipedia.org/wiki/Mexico" TargetMode="External"/><Relationship Id="rId263" Type="http://schemas.openxmlformats.org/officeDocument/2006/relationships/hyperlink" Target="https://en.wikipedia.org/wiki/Francisco_Robles_Ortega" TargetMode="External"/><Relationship Id="rId262" Type="http://schemas.openxmlformats.org/officeDocument/2006/relationships/hyperlink" Target="https://en.wikipedia.org/wiki/Roman_Catholic_Archdiocese_of_Bombay" TargetMode="External"/><Relationship Id="rId261" Type="http://schemas.openxmlformats.org/officeDocument/2006/relationships/hyperlink" Target="https://en.wikipedia.org/wiki/Cardinal_priest" TargetMode="External"/><Relationship Id="rId268" Type="http://schemas.openxmlformats.org/officeDocument/2006/relationships/hyperlink" Target="https://en.wikipedia.org/wiki/United_States" TargetMode="External"/><Relationship Id="rId267" Type="http://schemas.openxmlformats.org/officeDocument/2006/relationships/hyperlink" Target="https://en.wikipedia.org/wiki/Daniel_Nicholas_DiNardo" TargetMode="External"/><Relationship Id="rId266" Type="http://schemas.openxmlformats.org/officeDocument/2006/relationships/hyperlink" Target="https://en.wikipedia.org/wiki/Roman_Catholic_Archdiocese_of_Guadalajara" TargetMode="External"/><Relationship Id="rId265" Type="http://schemas.openxmlformats.org/officeDocument/2006/relationships/hyperlink" Target="https://en.wikipedia.org/wiki/Cardinal_priest" TargetMode="External"/><Relationship Id="rId260" Type="http://schemas.openxmlformats.org/officeDocument/2006/relationships/hyperlink" Target="https://en.wikipedia.org/wiki/India" TargetMode="External"/><Relationship Id="rId259" Type="http://schemas.openxmlformats.org/officeDocument/2006/relationships/hyperlink" Target="https://en.wikipedia.org/wiki/Oswald_Gracias" TargetMode="External"/><Relationship Id="rId258" Type="http://schemas.openxmlformats.org/officeDocument/2006/relationships/hyperlink" Target="https://en.wikipedia.org/wiki/Roman_Catholic_Archdiocese_of_Dakar" TargetMode="External"/><Relationship Id="rId253" Type="http://schemas.openxmlformats.org/officeDocument/2006/relationships/hyperlink" Target="https://en.wikipedia.org/wiki/Cardinal_priest" TargetMode="External"/><Relationship Id="rId495" Type="http://schemas.openxmlformats.org/officeDocument/2006/relationships/hyperlink" Target="https://en.wikipedia.org/wiki/Syria" TargetMode="External"/><Relationship Id="rId252" Type="http://schemas.openxmlformats.org/officeDocument/2006/relationships/hyperlink" Target="https://en.wikipedia.org/wiki/Italy" TargetMode="External"/><Relationship Id="rId494" Type="http://schemas.openxmlformats.org/officeDocument/2006/relationships/hyperlink" Target="https://en.wikipedia.org/wiki/Ignace_Moussa_I_Daoud" TargetMode="External"/><Relationship Id="rId251" Type="http://schemas.openxmlformats.org/officeDocument/2006/relationships/hyperlink" Target="https://en.wikipedia.org/wiki/Angelo_Bagnasco" TargetMode="External"/><Relationship Id="rId493" Type="http://schemas.openxmlformats.org/officeDocument/2006/relationships/hyperlink" Target="https://en.wikipedia.org/wiki/Congregation_for_Bishops" TargetMode="External"/><Relationship Id="rId250" Type="http://schemas.openxmlformats.org/officeDocument/2006/relationships/hyperlink" Target="https://en.wikipedia.org/wiki/Roman_Catholic_Archdiocese_of_Paris" TargetMode="External"/><Relationship Id="rId492" Type="http://schemas.openxmlformats.org/officeDocument/2006/relationships/hyperlink" Target="https://en.wikipedia.org/wiki/Cardinal_bishop" TargetMode="External"/><Relationship Id="rId257" Type="http://schemas.openxmlformats.org/officeDocument/2006/relationships/hyperlink" Target="https://en.wikipedia.org/wiki/Cardinal_priest" TargetMode="External"/><Relationship Id="rId499" Type="http://schemas.openxmlformats.org/officeDocument/2006/relationships/hyperlink" Target="https://en.wikipedia.org/wiki/United_States" TargetMode="External"/><Relationship Id="rId256" Type="http://schemas.openxmlformats.org/officeDocument/2006/relationships/hyperlink" Target="https://en.wikipedia.org/wiki/Senegal" TargetMode="External"/><Relationship Id="rId498" Type="http://schemas.openxmlformats.org/officeDocument/2006/relationships/hyperlink" Target="https://en.wikipedia.org/wiki/William_Wakefield_Baum" TargetMode="External"/><Relationship Id="rId255" Type="http://schemas.openxmlformats.org/officeDocument/2006/relationships/hyperlink" Target="https://en.wikipedia.org/wiki/Th%C3%A9odore-Adrien_Sarr" TargetMode="External"/><Relationship Id="rId497" Type="http://schemas.openxmlformats.org/officeDocument/2006/relationships/hyperlink" Target="https://en.wikipedia.org/wiki/Congregation_for_the_Oriental_Churches" TargetMode="External"/><Relationship Id="rId254" Type="http://schemas.openxmlformats.org/officeDocument/2006/relationships/hyperlink" Target="https://en.wikipedia.org/wiki/Roman_Catholic_Archdiocese_of_Genoa" TargetMode="External"/><Relationship Id="rId496" Type="http://schemas.openxmlformats.org/officeDocument/2006/relationships/hyperlink" Target="https://en.wikipedia.org/wiki/Cardinal_bishop" TargetMode="External"/><Relationship Id="rId293" Type="http://schemas.openxmlformats.org/officeDocument/2006/relationships/hyperlink" Target="https://en.wikipedia.org/wiki/Cardinal_priest" TargetMode="External"/><Relationship Id="rId292" Type="http://schemas.openxmlformats.org/officeDocument/2006/relationships/hyperlink" Target="https://en.wikipedia.org/wiki/United_States" TargetMode="External"/><Relationship Id="rId291" Type="http://schemas.openxmlformats.org/officeDocument/2006/relationships/hyperlink" Target="https://en.wikipedia.org/wiki/Donald_William_Wuerl" TargetMode="External"/><Relationship Id="rId290" Type="http://schemas.openxmlformats.org/officeDocument/2006/relationships/hyperlink" Target="https://en.wikipedia.org/wiki/Roman_Catholic_Archdiocese_of_Palermo" TargetMode="External"/><Relationship Id="rId286" Type="http://schemas.openxmlformats.org/officeDocument/2006/relationships/hyperlink" Target="https://en.wikipedia.org/wiki/Roman_Catholic_Archdiocese_of_Kinshasa" TargetMode="External"/><Relationship Id="rId285" Type="http://schemas.openxmlformats.org/officeDocument/2006/relationships/hyperlink" Target="https://en.wikipedia.org/wiki/Cardinal_priest" TargetMode="External"/><Relationship Id="rId284" Type="http://schemas.openxmlformats.org/officeDocument/2006/relationships/hyperlink" Target="https://en.wikipedia.org/wiki/Democratic_Republic_of_the_Congo" TargetMode="External"/><Relationship Id="rId283" Type="http://schemas.openxmlformats.org/officeDocument/2006/relationships/hyperlink" Target="https://en.wikipedia.org/wiki/Laurent_Monsengwo_Pasinya" TargetMode="External"/><Relationship Id="rId289" Type="http://schemas.openxmlformats.org/officeDocument/2006/relationships/hyperlink" Target="https://en.wikipedia.org/wiki/Cardinal_priest" TargetMode="External"/><Relationship Id="rId288" Type="http://schemas.openxmlformats.org/officeDocument/2006/relationships/hyperlink" Target="https://en.wikipedia.org/wiki/Italy" TargetMode="External"/><Relationship Id="rId287" Type="http://schemas.openxmlformats.org/officeDocument/2006/relationships/hyperlink" Target="https://en.wikipedia.org/wiki/Paolo_Romeo" TargetMode="External"/><Relationship Id="rId282" Type="http://schemas.openxmlformats.org/officeDocument/2006/relationships/hyperlink" Target="https://en.wikipedia.org/wiki/Roman_Catholic_Archdiocese_of_Quito" TargetMode="External"/><Relationship Id="rId281" Type="http://schemas.openxmlformats.org/officeDocument/2006/relationships/hyperlink" Target="https://en.wikipedia.org/wiki/Cardinal_priest" TargetMode="External"/><Relationship Id="rId280" Type="http://schemas.openxmlformats.org/officeDocument/2006/relationships/hyperlink" Target="https://en.wikipedia.org/wiki/Ecuador" TargetMode="External"/><Relationship Id="rId275" Type="http://schemas.openxmlformats.org/officeDocument/2006/relationships/hyperlink" Target="https://en.wikipedia.org/wiki/John_Njue" TargetMode="External"/><Relationship Id="rId274" Type="http://schemas.openxmlformats.org/officeDocument/2006/relationships/hyperlink" Target="https://en.wikipedia.org/wiki/Roman_Catholic_Archdiocese_of_S%C3%A3o_Paulo" TargetMode="External"/><Relationship Id="rId273" Type="http://schemas.openxmlformats.org/officeDocument/2006/relationships/hyperlink" Target="https://en.wikipedia.org/wiki/Cardinal_priest" TargetMode="External"/><Relationship Id="rId272" Type="http://schemas.openxmlformats.org/officeDocument/2006/relationships/hyperlink" Target="https://en.wikipedia.org/wiki/Brazil" TargetMode="External"/><Relationship Id="rId279" Type="http://schemas.openxmlformats.org/officeDocument/2006/relationships/hyperlink" Target="https://en.wikipedia.org/wiki/Ra%C3%BAl_Eduardo_Vela_Chiriboga" TargetMode="External"/><Relationship Id="rId278" Type="http://schemas.openxmlformats.org/officeDocument/2006/relationships/hyperlink" Target="https://en.wikipedia.org/wiki/Roman_Catholic_Archdiocese_of_Nairobi" TargetMode="External"/><Relationship Id="rId277" Type="http://schemas.openxmlformats.org/officeDocument/2006/relationships/hyperlink" Target="https://en.wikipedia.org/wiki/Cardinal_priest" TargetMode="External"/><Relationship Id="rId276" Type="http://schemas.openxmlformats.org/officeDocument/2006/relationships/hyperlink" Target="https://en.wikipedia.org/wiki/Kenya" TargetMode="External"/><Relationship Id="rId907" Type="http://schemas.openxmlformats.org/officeDocument/2006/relationships/hyperlink" Target="https://en.wikipedia.org/wiki/Germany" TargetMode="External"/><Relationship Id="rId906" Type="http://schemas.openxmlformats.org/officeDocument/2006/relationships/hyperlink" Target="https://en.wikipedia.org/wiki/Walter_Kasper" TargetMode="External"/><Relationship Id="rId905" Type="http://schemas.openxmlformats.org/officeDocument/2006/relationships/hyperlink" Target="https://en.wikipedia.org/wiki/Supreme_Tribunal_of_the_Apostolic_Signatura" TargetMode="External"/><Relationship Id="rId904" Type="http://schemas.openxmlformats.org/officeDocument/2006/relationships/hyperlink" Target="https://en.wikipedia.org/wiki/Cardinal_deacon" TargetMode="External"/><Relationship Id="rId909" Type="http://schemas.openxmlformats.org/officeDocument/2006/relationships/hyperlink" Target="https://en.wikipedia.org/wiki/Pontifical_Council_for_Promoting_Christian_Unity" TargetMode="External"/><Relationship Id="rId908" Type="http://schemas.openxmlformats.org/officeDocument/2006/relationships/hyperlink" Target="https://en.wikipedia.org/wiki/Cardinal_deacon" TargetMode="External"/><Relationship Id="rId903" Type="http://schemas.openxmlformats.org/officeDocument/2006/relationships/hyperlink" Target="https://en.wikipedia.org/wiki/Italy" TargetMode="External"/><Relationship Id="rId902" Type="http://schemas.openxmlformats.org/officeDocument/2006/relationships/hyperlink" Target="https://en.wikipedia.org/wiki/Mario_Francesco_Pompedda" TargetMode="External"/><Relationship Id="rId901" Type="http://schemas.openxmlformats.org/officeDocument/2006/relationships/hyperlink" Target="https://en.wikipedia.org/wiki/Congregation_for_the_Evangelization_of_Peoples" TargetMode="External"/><Relationship Id="rId900" Type="http://schemas.openxmlformats.org/officeDocument/2006/relationships/hyperlink" Target="https://en.wikipedia.org/wiki/Cardinal_deacon" TargetMode="External"/><Relationship Id="rId929" Type="http://schemas.openxmlformats.org/officeDocument/2006/relationships/hyperlink" Target="https://en.wikipedia.org/wiki/Pontifical_Council_for_the_Pastoral_Care_of_Health_Care_Workers" TargetMode="External"/><Relationship Id="rId928" Type="http://schemas.openxmlformats.org/officeDocument/2006/relationships/hyperlink" Target="https://en.wikipedia.org/wiki/Cardinal_deacon" TargetMode="External"/><Relationship Id="rId927" Type="http://schemas.openxmlformats.org/officeDocument/2006/relationships/hyperlink" Target="https://en.wikipedia.org/wiki/Mexico" TargetMode="External"/><Relationship Id="rId926" Type="http://schemas.openxmlformats.org/officeDocument/2006/relationships/hyperlink" Target="https://en.wikipedia.org/wiki/Javier_Lozano_Barrag%C3%A1n" TargetMode="External"/><Relationship Id="rId921" Type="http://schemas.openxmlformats.org/officeDocument/2006/relationships/hyperlink" Target="https://en.wikipedia.org/wiki/Papal_Basilica_of_Saint_Peter" TargetMode="External"/><Relationship Id="rId920" Type="http://schemas.openxmlformats.org/officeDocument/2006/relationships/hyperlink" Target="https://en.wikipedia.org/wiki/Cardinal_deacon" TargetMode="External"/><Relationship Id="rId925" Type="http://schemas.openxmlformats.org/officeDocument/2006/relationships/hyperlink" Target="https://en.wikipedia.org/wiki/Pontifical_Council_for_Legislative_Texts" TargetMode="External"/><Relationship Id="rId924" Type="http://schemas.openxmlformats.org/officeDocument/2006/relationships/hyperlink" Target="https://en.wikipedia.org/wiki/Cardinal_deacon" TargetMode="External"/><Relationship Id="rId923" Type="http://schemas.openxmlformats.org/officeDocument/2006/relationships/hyperlink" Target="https://en.wikipedia.org/wiki/Spain" TargetMode="External"/><Relationship Id="rId922" Type="http://schemas.openxmlformats.org/officeDocument/2006/relationships/hyperlink" Target="https://en.wikipedia.org/wiki/Juli%C3%A1n_Herranz_Casado" TargetMode="External"/><Relationship Id="rId918" Type="http://schemas.openxmlformats.org/officeDocument/2006/relationships/hyperlink" Target="https://en.wikipedia.org/wiki/Francesco_Marchisano" TargetMode="External"/><Relationship Id="rId917" Type="http://schemas.openxmlformats.org/officeDocument/2006/relationships/hyperlink" Target="https://en.wikipedia.org/wiki/Pontifical_Council_for_Justice_and_Peace" TargetMode="External"/><Relationship Id="rId916" Type="http://schemas.openxmlformats.org/officeDocument/2006/relationships/hyperlink" Target="https://en.wikipedia.org/wiki/Cardinal_deacon" TargetMode="External"/><Relationship Id="rId915" Type="http://schemas.openxmlformats.org/officeDocument/2006/relationships/hyperlink" Target="https://en.wikipedia.org/wiki/Italy" TargetMode="External"/><Relationship Id="rId919" Type="http://schemas.openxmlformats.org/officeDocument/2006/relationships/hyperlink" Target="https://en.wikipedia.org/wiki/Italy" TargetMode="External"/><Relationship Id="rId910" Type="http://schemas.openxmlformats.org/officeDocument/2006/relationships/hyperlink" Target="https://en.wikipedia.org/wiki/Jean-Louis_Tauran" TargetMode="External"/><Relationship Id="rId914" Type="http://schemas.openxmlformats.org/officeDocument/2006/relationships/hyperlink" Target="https://en.wikipedia.org/wiki/Renato_Raffaele_Martino" TargetMode="External"/><Relationship Id="rId913" Type="http://schemas.openxmlformats.org/officeDocument/2006/relationships/hyperlink" Target="https://en.wikipedia.org/wiki/Archivist_and_Librarian_of_the_Holy_Roman_Church" TargetMode="External"/><Relationship Id="rId912" Type="http://schemas.openxmlformats.org/officeDocument/2006/relationships/hyperlink" Target="https://en.wikipedia.org/wiki/Cardinal_deacon" TargetMode="External"/><Relationship Id="rId911" Type="http://schemas.openxmlformats.org/officeDocument/2006/relationships/hyperlink" Target="https://en.wikipedia.org/wiki/France" TargetMode="External"/><Relationship Id="rId1213" Type="http://schemas.openxmlformats.org/officeDocument/2006/relationships/hyperlink" Target="https://en.wikipedia.org/wiki/Roman_Catholic_Archdiocese_of_Toulouse" TargetMode="External"/><Relationship Id="rId1214" Type="http://schemas.openxmlformats.org/officeDocument/2006/relationships/hyperlink" Target="https://en.wikipedia.org/wiki/Ugo_Poletti" TargetMode="External"/><Relationship Id="rId1215" Type="http://schemas.openxmlformats.org/officeDocument/2006/relationships/hyperlink" Target="https://en.wikipedia.org/wiki/Italy" TargetMode="External"/><Relationship Id="rId1216" Type="http://schemas.openxmlformats.org/officeDocument/2006/relationships/hyperlink" Target="https://en.wikipedia.org/wiki/Cardinal_priest" TargetMode="External"/><Relationship Id="rId1217" Type="http://schemas.openxmlformats.org/officeDocument/2006/relationships/hyperlink" Target="https://en.wikipedia.org/wiki/Vicar_General_for_Rome" TargetMode="External"/><Relationship Id="rId1218" Type="http://schemas.openxmlformats.org/officeDocument/2006/relationships/hyperlink" Target="https://en.wikipedia.org/wiki/Timothy_Manning" TargetMode="External"/><Relationship Id="rId1219" Type="http://schemas.openxmlformats.org/officeDocument/2006/relationships/hyperlink" Target="https://en.wikipedia.org/wiki/United_States" TargetMode="External"/><Relationship Id="rId629" Type="http://schemas.openxmlformats.org/officeDocument/2006/relationships/hyperlink" Target="https://en.wikipedia.org/wiki/Roman_Catholic_Archdiocese_of_Jakarta" TargetMode="External"/><Relationship Id="rId624" Type="http://schemas.openxmlformats.org/officeDocument/2006/relationships/hyperlink" Target="https://en.wikipedia.org/wiki/Cardinal_priest" TargetMode="External"/><Relationship Id="rId866" Type="http://schemas.openxmlformats.org/officeDocument/2006/relationships/hyperlink" Target="https://en.wikipedia.org/wiki/Marc_Ouellet" TargetMode="External"/><Relationship Id="rId623" Type="http://schemas.openxmlformats.org/officeDocument/2006/relationships/hyperlink" Target="https://en.wikipedia.org/wiki/Japan" TargetMode="External"/><Relationship Id="rId865" Type="http://schemas.openxmlformats.org/officeDocument/2006/relationships/hyperlink" Target="https://en.wikipedia.org/wiki/Roman_Catholic_Archdiocese_of_Esztergom%E2%80%93Budapest" TargetMode="External"/><Relationship Id="rId622" Type="http://schemas.openxmlformats.org/officeDocument/2006/relationships/hyperlink" Target="https://en.wikipedia.org/wiki/Peter_Seiichi_Shirayanagi" TargetMode="External"/><Relationship Id="rId864" Type="http://schemas.openxmlformats.org/officeDocument/2006/relationships/hyperlink" Target="https://en.wikipedia.org/wiki/Cardinal_priest" TargetMode="External"/><Relationship Id="rId621" Type="http://schemas.openxmlformats.org/officeDocument/2006/relationships/hyperlink" Target="https://en.wikipedia.org/wiki/Roman_Catholic_Archdiocese_of_Prague" TargetMode="External"/><Relationship Id="rId863" Type="http://schemas.openxmlformats.org/officeDocument/2006/relationships/hyperlink" Target="https://en.wikipedia.org/wiki/Hungary" TargetMode="External"/><Relationship Id="rId628" Type="http://schemas.openxmlformats.org/officeDocument/2006/relationships/hyperlink" Target="https://en.wikipedia.org/wiki/Cardinal_priest" TargetMode="External"/><Relationship Id="rId627" Type="http://schemas.openxmlformats.org/officeDocument/2006/relationships/hyperlink" Target="https://en.wikipedia.org/wiki/Indonesia" TargetMode="External"/><Relationship Id="rId869" Type="http://schemas.openxmlformats.org/officeDocument/2006/relationships/hyperlink" Target="https://en.wikipedia.org/wiki/Roman_Catholic_Archdiocese_of_Quebec" TargetMode="External"/><Relationship Id="rId626" Type="http://schemas.openxmlformats.org/officeDocument/2006/relationships/hyperlink" Target="https://en.wikipedia.org/wiki/Julius_Darmaatmadja" TargetMode="External"/><Relationship Id="rId868" Type="http://schemas.openxmlformats.org/officeDocument/2006/relationships/hyperlink" Target="https://en.wikipedia.org/wiki/Cardinal_priest" TargetMode="External"/><Relationship Id="rId625" Type="http://schemas.openxmlformats.org/officeDocument/2006/relationships/hyperlink" Target="https://en.wikipedia.org/wiki/Roman_Catholic_Archdiocese_of_Tokyo" TargetMode="External"/><Relationship Id="rId867" Type="http://schemas.openxmlformats.org/officeDocument/2006/relationships/hyperlink" Target="https://en.wikipedia.org/wiki/Canada" TargetMode="External"/><Relationship Id="rId620" Type="http://schemas.openxmlformats.org/officeDocument/2006/relationships/hyperlink" Target="https://en.wikipedia.org/wiki/Cardinal_priest" TargetMode="External"/><Relationship Id="rId862" Type="http://schemas.openxmlformats.org/officeDocument/2006/relationships/hyperlink" Target="https://en.wikipedia.org/wiki/P%C3%A9ter_Erd%C5%91" TargetMode="External"/><Relationship Id="rId861" Type="http://schemas.openxmlformats.org/officeDocument/2006/relationships/hyperlink" Target="https://en.wikipedia.org/wiki/Roman_Catholic_Archdiocese_of_Lyon" TargetMode="External"/><Relationship Id="rId1210" Type="http://schemas.openxmlformats.org/officeDocument/2006/relationships/hyperlink" Target="https://en.wikipedia.org/wiki/Louis-Jean_Guyot" TargetMode="External"/><Relationship Id="rId860" Type="http://schemas.openxmlformats.org/officeDocument/2006/relationships/hyperlink" Target="https://en.wikipedia.org/wiki/Cardinal_priest" TargetMode="External"/><Relationship Id="rId1211" Type="http://schemas.openxmlformats.org/officeDocument/2006/relationships/hyperlink" Target="https://en.wikipedia.org/wiki/France" TargetMode="External"/><Relationship Id="rId1212" Type="http://schemas.openxmlformats.org/officeDocument/2006/relationships/hyperlink" Target="https://en.wikipedia.org/wiki/Cardinal_priest" TargetMode="External"/><Relationship Id="rId1202" Type="http://schemas.openxmlformats.org/officeDocument/2006/relationships/hyperlink" Target="https://en.wikipedia.org/wiki/Salvatore_Pappalardo_(archbishop_of_Palermo)" TargetMode="External"/><Relationship Id="rId1203" Type="http://schemas.openxmlformats.org/officeDocument/2006/relationships/hyperlink" Target="https://en.wikipedia.org/wiki/Italy" TargetMode="External"/><Relationship Id="rId1204" Type="http://schemas.openxmlformats.org/officeDocument/2006/relationships/hyperlink" Target="https://en.wikipedia.org/wiki/Cardinal_priest" TargetMode="External"/><Relationship Id="rId1205" Type="http://schemas.openxmlformats.org/officeDocument/2006/relationships/hyperlink" Target="https://en.wikipedia.org/wiki/Roman_Catholic_Archdiocese_of_Palermo" TargetMode="External"/><Relationship Id="rId1206" Type="http://schemas.openxmlformats.org/officeDocument/2006/relationships/hyperlink" Target="https://en.wikipedia.org/wiki/Marcelo_Gonz%C3%A1lez_Mart%C3%ADn" TargetMode="External"/><Relationship Id="rId1207" Type="http://schemas.openxmlformats.org/officeDocument/2006/relationships/hyperlink" Target="https://en.wikipedia.org/wiki/Spanish_transition_to_democracy" TargetMode="External"/><Relationship Id="rId1208" Type="http://schemas.openxmlformats.org/officeDocument/2006/relationships/hyperlink" Target="https://en.wikipedia.org/wiki/Cardinal_priest" TargetMode="External"/><Relationship Id="rId1209" Type="http://schemas.openxmlformats.org/officeDocument/2006/relationships/hyperlink" Target="https://en.wikipedia.org/wiki/Roman_Catholic_Archdiocese_of_Toledo" TargetMode="External"/><Relationship Id="rId619" Type="http://schemas.openxmlformats.org/officeDocument/2006/relationships/hyperlink" Target="https://en.wikipedia.org/wiki/Czech_Republic" TargetMode="External"/><Relationship Id="rId618" Type="http://schemas.openxmlformats.org/officeDocument/2006/relationships/hyperlink" Target="https://en.wikipedia.org/wiki/Miloslav_Vlk" TargetMode="External"/><Relationship Id="rId613" Type="http://schemas.openxmlformats.org/officeDocument/2006/relationships/hyperlink" Target="https://en.wikipedia.org/wiki/Roman_Catholic_Diocese_of_Sion" TargetMode="External"/><Relationship Id="rId855" Type="http://schemas.openxmlformats.org/officeDocument/2006/relationships/hyperlink" Target="https://en.wikipedia.org/wiki/Guatemala" TargetMode="External"/><Relationship Id="rId612" Type="http://schemas.openxmlformats.org/officeDocument/2006/relationships/hyperlink" Target="https://en.wikipedia.org/wiki/Cardinal_priest" TargetMode="External"/><Relationship Id="rId854" Type="http://schemas.openxmlformats.org/officeDocument/2006/relationships/hyperlink" Target="https://en.wikipedia.org/wiki/Rodolfo_Quezada_Toru%C3%B1o" TargetMode="External"/><Relationship Id="rId611" Type="http://schemas.openxmlformats.org/officeDocument/2006/relationships/hyperlink" Target="https://en.wikipedia.org/wiki/Switzerland" TargetMode="External"/><Relationship Id="rId853" Type="http://schemas.openxmlformats.org/officeDocument/2006/relationships/hyperlink" Target="https://en.wikipedia.org/wiki/Roman_Catholic_Archdiocese_of_Ho_Chi_Minh_City" TargetMode="External"/><Relationship Id="rId610" Type="http://schemas.openxmlformats.org/officeDocument/2006/relationships/hyperlink" Target="https://en.wikipedia.org/wiki/Henri_Schwery" TargetMode="External"/><Relationship Id="rId852" Type="http://schemas.openxmlformats.org/officeDocument/2006/relationships/hyperlink" Target="https://en.wikipedia.org/wiki/Cardinal_priest" TargetMode="External"/><Relationship Id="rId617" Type="http://schemas.openxmlformats.org/officeDocument/2006/relationships/hyperlink" Target="https://en.wikipedia.org/wiki/Roman_Catholic_Archdiocese_of_Berlin" TargetMode="External"/><Relationship Id="rId859" Type="http://schemas.openxmlformats.org/officeDocument/2006/relationships/hyperlink" Target="https://en.wikipedia.org/wiki/France" TargetMode="External"/><Relationship Id="rId616" Type="http://schemas.openxmlformats.org/officeDocument/2006/relationships/hyperlink" Target="https://en.wikipedia.org/wiki/Cardinal_priest" TargetMode="External"/><Relationship Id="rId858" Type="http://schemas.openxmlformats.org/officeDocument/2006/relationships/hyperlink" Target="https://en.wikipedia.org/wiki/Philippe_Barbarin" TargetMode="External"/><Relationship Id="rId615" Type="http://schemas.openxmlformats.org/officeDocument/2006/relationships/hyperlink" Target="https://en.wikipedia.org/wiki/Germany" TargetMode="External"/><Relationship Id="rId857" Type="http://schemas.openxmlformats.org/officeDocument/2006/relationships/hyperlink" Target="https://en.wikipedia.org/wiki/Roman_Catholic_Archdiocese_of_Guatemala" TargetMode="External"/><Relationship Id="rId614" Type="http://schemas.openxmlformats.org/officeDocument/2006/relationships/hyperlink" Target="https://en.wikipedia.org/wiki/Georg_Maximilian_Sterzinsky" TargetMode="External"/><Relationship Id="rId856" Type="http://schemas.openxmlformats.org/officeDocument/2006/relationships/hyperlink" Target="https://en.wikipedia.org/wiki/Cardinal_priest" TargetMode="External"/><Relationship Id="rId851" Type="http://schemas.openxmlformats.org/officeDocument/2006/relationships/hyperlink" Target="https://en.wikipedia.org/wiki/Vietnam" TargetMode="External"/><Relationship Id="rId850" Type="http://schemas.openxmlformats.org/officeDocument/2006/relationships/hyperlink" Target="https://en.wikipedia.org/wiki/Jean-Baptiste_Ph%E1%BA%A1m_Minh_M%E1%BA%ABn" TargetMode="External"/><Relationship Id="rId1200" Type="http://schemas.openxmlformats.org/officeDocument/2006/relationships/hyperlink" Target="https://en.wikipedia.org/wiki/Cardinal_priest" TargetMode="External"/><Relationship Id="rId1201" Type="http://schemas.openxmlformats.org/officeDocument/2006/relationships/hyperlink" Target="https://en.wikipedia.org/wiki/Roman_Catholic_Archdiocese_of_C%C3%B3rdoba" TargetMode="External"/><Relationship Id="rId1235" Type="http://schemas.openxmlformats.org/officeDocument/2006/relationships/hyperlink" Target="https://en.wikipedia.org/wiki/Brazil" TargetMode="External"/><Relationship Id="rId1236" Type="http://schemas.openxmlformats.org/officeDocument/2006/relationships/hyperlink" Target="https://en.wikipedia.org/wiki/Cardinal_priest" TargetMode="External"/><Relationship Id="rId1237" Type="http://schemas.openxmlformats.org/officeDocument/2006/relationships/hyperlink" Target="https://en.wikipedia.org/wiki/Roman_Catholic_Archdiocese_of_S%C3%A3o_Paulo" TargetMode="External"/><Relationship Id="rId1238" Type="http://schemas.openxmlformats.org/officeDocument/2006/relationships/hyperlink" Target="https://en.wikipedia.org/wiki/James_Darcy_Freeman" TargetMode="External"/><Relationship Id="rId1239" Type="http://schemas.openxmlformats.org/officeDocument/2006/relationships/hyperlink" Target="https://en.wikipedia.org/wiki/Australia" TargetMode="External"/><Relationship Id="rId409" Type="http://schemas.openxmlformats.org/officeDocument/2006/relationships/hyperlink" Target="https://en.wikipedia.org/wiki/Cardinal_deacon" TargetMode="External"/><Relationship Id="rId404" Type="http://schemas.openxmlformats.org/officeDocument/2006/relationships/hyperlink" Target="https://en.wikipedia.org/wiki/Guinea" TargetMode="External"/><Relationship Id="rId646" Type="http://schemas.openxmlformats.org/officeDocument/2006/relationships/hyperlink" Target="https://en.wikipedia.org/wiki/Ricardo_Mar%C3%ADa_Carles_Gord%C3%B3" TargetMode="External"/><Relationship Id="rId888" Type="http://schemas.openxmlformats.org/officeDocument/2006/relationships/hyperlink" Target="https://en.wikipedia.org/wiki/Cardinal_deacon" TargetMode="External"/><Relationship Id="rId403" Type="http://schemas.openxmlformats.org/officeDocument/2006/relationships/hyperlink" Target="https://en.wikipedia.org/wiki/Robert_Sarah" TargetMode="External"/><Relationship Id="rId645" Type="http://schemas.openxmlformats.org/officeDocument/2006/relationships/hyperlink" Target="https://en.wikipedia.org/wiki/Roman_Catholic_Archdiocese_of_Montreal" TargetMode="External"/><Relationship Id="rId887" Type="http://schemas.openxmlformats.org/officeDocument/2006/relationships/hyperlink" Target="https://en.wikipedia.org/wiki/Italy" TargetMode="External"/><Relationship Id="rId402" Type="http://schemas.openxmlformats.org/officeDocument/2006/relationships/hyperlink" Target="https://en.wikipedia.org/wiki/Congregation_for_the_Causes_of_Saints" TargetMode="External"/><Relationship Id="rId644" Type="http://schemas.openxmlformats.org/officeDocument/2006/relationships/hyperlink" Target="https://en.wikipedia.org/wiki/Cardinal_priest" TargetMode="External"/><Relationship Id="rId886" Type="http://schemas.openxmlformats.org/officeDocument/2006/relationships/hyperlink" Target="https://en.wikipedia.org/wiki/Sergio_Sebastiani" TargetMode="External"/><Relationship Id="rId401" Type="http://schemas.openxmlformats.org/officeDocument/2006/relationships/hyperlink" Target="https://en.wikipedia.org/wiki/Cardinal_deacon" TargetMode="External"/><Relationship Id="rId643" Type="http://schemas.openxmlformats.org/officeDocument/2006/relationships/hyperlink" Target="https://en.wikipedia.org/wiki/Canada" TargetMode="External"/><Relationship Id="rId885" Type="http://schemas.openxmlformats.org/officeDocument/2006/relationships/hyperlink" Target="https://en.wikipedia.org/wiki/Administration_of_the_Patrimony_of_the_Apostolic_See" TargetMode="External"/><Relationship Id="rId408" Type="http://schemas.openxmlformats.org/officeDocument/2006/relationships/hyperlink" Target="https://en.wikipedia.org/wiki/Italy" TargetMode="External"/><Relationship Id="rId407" Type="http://schemas.openxmlformats.org/officeDocument/2006/relationships/hyperlink" Target="https://en.wikipedia.org/wiki/Francesco_Monterisi" TargetMode="External"/><Relationship Id="rId649" Type="http://schemas.openxmlformats.org/officeDocument/2006/relationships/hyperlink" Target="https://en.wikipedia.org/wiki/Roman_Catholic_Archdiocese_of_Barcelona" TargetMode="External"/><Relationship Id="rId406" Type="http://schemas.openxmlformats.org/officeDocument/2006/relationships/hyperlink" Target="https://en.wikipedia.org/wiki/Pontifical_Council_Cor_Unum" TargetMode="External"/><Relationship Id="rId648" Type="http://schemas.openxmlformats.org/officeDocument/2006/relationships/hyperlink" Target="https://en.wikipedia.org/wiki/Cardinal_priest" TargetMode="External"/><Relationship Id="rId405" Type="http://schemas.openxmlformats.org/officeDocument/2006/relationships/hyperlink" Target="https://en.wikipedia.org/wiki/Cardinal_deacon" TargetMode="External"/><Relationship Id="rId647" Type="http://schemas.openxmlformats.org/officeDocument/2006/relationships/hyperlink" Target="https://en.wikipedia.org/wiki/Spain" TargetMode="External"/><Relationship Id="rId889" Type="http://schemas.openxmlformats.org/officeDocument/2006/relationships/hyperlink" Target="https://en.wikipedia.org/wiki/Prefecture_for_the_Economic_Affairs_of_the_Holy_See" TargetMode="External"/><Relationship Id="rId880" Type="http://schemas.openxmlformats.org/officeDocument/2006/relationships/hyperlink" Target="https://en.wikipedia.org/wiki/Cardinal_deacon" TargetMode="External"/><Relationship Id="rId1230" Type="http://schemas.openxmlformats.org/officeDocument/2006/relationships/hyperlink" Target="https://en.wikipedia.org/wiki/Humberto_Sousa_Medeiros" TargetMode="External"/><Relationship Id="rId400" Type="http://schemas.openxmlformats.org/officeDocument/2006/relationships/hyperlink" Target="https://en.wikipedia.org/wiki/Italy" TargetMode="External"/><Relationship Id="rId642" Type="http://schemas.openxmlformats.org/officeDocument/2006/relationships/hyperlink" Target="https://en.wikipedia.org/wiki/Jean-Claude_Turcotte" TargetMode="External"/><Relationship Id="rId884" Type="http://schemas.openxmlformats.org/officeDocument/2006/relationships/hyperlink" Target="https://en.wikipedia.org/wiki/Cardinal_deacon" TargetMode="External"/><Relationship Id="rId1231" Type="http://schemas.openxmlformats.org/officeDocument/2006/relationships/hyperlink" Target="https://en.wikipedia.org/wiki/United_States" TargetMode="External"/><Relationship Id="rId641" Type="http://schemas.openxmlformats.org/officeDocument/2006/relationships/hyperlink" Target="https://en.wikipedia.org/wiki/Roman_Catholic_Archdiocese_of_Baltimore" TargetMode="External"/><Relationship Id="rId883" Type="http://schemas.openxmlformats.org/officeDocument/2006/relationships/hyperlink" Target="https://en.wikipedia.org/wiki/Italy" TargetMode="External"/><Relationship Id="rId1232" Type="http://schemas.openxmlformats.org/officeDocument/2006/relationships/hyperlink" Target="https://en.wikipedia.org/wiki/Cardinal_priest" TargetMode="External"/><Relationship Id="rId640" Type="http://schemas.openxmlformats.org/officeDocument/2006/relationships/hyperlink" Target="https://en.wikipedia.org/wiki/Cardinal_priest" TargetMode="External"/><Relationship Id="rId882" Type="http://schemas.openxmlformats.org/officeDocument/2006/relationships/hyperlink" Target="https://en.wikipedia.org/wiki/Agostino_Cacciavillan" TargetMode="External"/><Relationship Id="rId1233" Type="http://schemas.openxmlformats.org/officeDocument/2006/relationships/hyperlink" Target="https://en.wikipedia.org/wiki/Roman_Catholic_Archdiocese_of_Boston" TargetMode="External"/><Relationship Id="rId881" Type="http://schemas.openxmlformats.org/officeDocument/2006/relationships/hyperlink" Target="https://en.wikipedia.org/wiki/Apostolic_Penitentiary" TargetMode="External"/><Relationship Id="rId1234" Type="http://schemas.openxmlformats.org/officeDocument/2006/relationships/hyperlink" Target="https://en.wikipedia.org/wiki/Paulo_Evaristo_Arns" TargetMode="External"/><Relationship Id="rId1224" Type="http://schemas.openxmlformats.org/officeDocument/2006/relationships/hyperlink" Target="https://en.wikipedia.org/wiki/Cardinal_priest" TargetMode="External"/><Relationship Id="rId1225" Type="http://schemas.openxmlformats.org/officeDocument/2006/relationships/hyperlink" Target="https://en.wikipedia.org/wiki/Roman_Catholic_Archdiocese_of_Nairobi" TargetMode="External"/><Relationship Id="rId1226" Type="http://schemas.openxmlformats.org/officeDocument/2006/relationships/hyperlink" Target="https://en.wikipedia.org/wiki/Jos%C3%A9_Salazar_L%C3%B3pez" TargetMode="External"/><Relationship Id="rId1227" Type="http://schemas.openxmlformats.org/officeDocument/2006/relationships/hyperlink" Target="https://en.wikipedia.org/wiki/Mexico" TargetMode="External"/><Relationship Id="rId1228" Type="http://schemas.openxmlformats.org/officeDocument/2006/relationships/hyperlink" Target="https://en.wikipedia.org/wiki/Cardinal_priest" TargetMode="External"/><Relationship Id="rId1229" Type="http://schemas.openxmlformats.org/officeDocument/2006/relationships/hyperlink" Target="https://en.wikipedia.org/wiki/Roman_Catholic_Archdiocese_of_Guadalajara" TargetMode="External"/><Relationship Id="rId635" Type="http://schemas.openxmlformats.org/officeDocument/2006/relationships/hyperlink" Target="https://en.wikipedia.org/wiki/Uganda" TargetMode="External"/><Relationship Id="rId877" Type="http://schemas.openxmlformats.org/officeDocument/2006/relationships/hyperlink" Target="https://en.wikipedia.org/wiki/Congregation_for_the_Clergy" TargetMode="External"/><Relationship Id="rId634" Type="http://schemas.openxmlformats.org/officeDocument/2006/relationships/hyperlink" Target="https://en.wikipedia.org/wiki/Emmanuel_Wamala" TargetMode="External"/><Relationship Id="rId876" Type="http://schemas.openxmlformats.org/officeDocument/2006/relationships/hyperlink" Target="https://en.wikipedia.org/wiki/Cardinal_deacon" TargetMode="External"/><Relationship Id="rId633" Type="http://schemas.openxmlformats.org/officeDocument/2006/relationships/hyperlink" Target="https://en.wikipedia.org/wiki/Roman_Catholic_Archdiocese_of_San_Crist%C3%B3bal_de_la_Habana" TargetMode="External"/><Relationship Id="rId875" Type="http://schemas.openxmlformats.org/officeDocument/2006/relationships/hyperlink" Target="https://en.wikipedia.org/wiki/Colombia" TargetMode="External"/><Relationship Id="rId632" Type="http://schemas.openxmlformats.org/officeDocument/2006/relationships/hyperlink" Target="https://en.wikipedia.org/wiki/Cardinal_priest" TargetMode="External"/><Relationship Id="rId874" Type="http://schemas.openxmlformats.org/officeDocument/2006/relationships/hyperlink" Target="https://en.wikipedia.org/wiki/Dar%C3%ADo_Castrill%C3%B3n_Hoyos" TargetMode="External"/><Relationship Id="rId639" Type="http://schemas.openxmlformats.org/officeDocument/2006/relationships/hyperlink" Target="https://en.wikipedia.org/wiki/United_States" TargetMode="External"/><Relationship Id="rId638" Type="http://schemas.openxmlformats.org/officeDocument/2006/relationships/hyperlink" Target="https://en.wikipedia.org/wiki/William_Henry_Keeler" TargetMode="External"/><Relationship Id="rId637" Type="http://schemas.openxmlformats.org/officeDocument/2006/relationships/hyperlink" Target="https://en.wikipedia.org/wiki/Roman_Catholic_Archdiocese_of_Kampala" TargetMode="External"/><Relationship Id="rId879" Type="http://schemas.openxmlformats.org/officeDocument/2006/relationships/hyperlink" Target="https://en.wikipedia.org/wiki/United_States" TargetMode="External"/><Relationship Id="rId636" Type="http://schemas.openxmlformats.org/officeDocument/2006/relationships/hyperlink" Target="https://en.wikipedia.org/wiki/Cardinal_priest" TargetMode="External"/><Relationship Id="rId878" Type="http://schemas.openxmlformats.org/officeDocument/2006/relationships/hyperlink" Target="https://en.wikipedia.org/wiki/James_Francis_Stafford" TargetMode="External"/><Relationship Id="rId631" Type="http://schemas.openxmlformats.org/officeDocument/2006/relationships/hyperlink" Target="https://en.wikipedia.org/wiki/Cuba" TargetMode="External"/><Relationship Id="rId873" Type="http://schemas.openxmlformats.org/officeDocument/2006/relationships/hyperlink" Target="https://en.wikipedia.org/wiki/Congregation_for_Divine_Worship_and_the_Discipline_of_the_Sacraments" TargetMode="External"/><Relationship Id="rId1220" Type="http://schemas.openxmlformats.org/officeDocument/2006/relationships/hyperlink" Target="https://en.wikipedia.org/wiki/Cardinal_priest" TargetMode="External"/><Relationship Id="rId630" Type="http://schemas.openxmlformats.org/officeDocument/2006/relationships/hyperlink" Target="https://en.wikipedia.org/wiki/Jaime_Lucas_Ortega_y_Alamino" TargetMode="External"/><Relationship Id="rId872" Type="http://schemas.openxmlformats.org/officeDocument/2006/relationships/hyperlink" Target="https://en.wikipedia.org/wiki/Cardinal_deacon" TargetMode="External"/><Relationship Id="rId1221" Type="http://schemas.openxmlformats.org/officeDocument/2006/relationships/hyperlink" Target="https://en.wikipedia.org/wiki/Roman_Catholic_Archdiocese_of_Los_Angeles" TargetMode="External"/><Relationship Id="rId871" Type="http://schemas.openxmlformats.org/officeDocument/2006/relationships/hyperlink" Target="https://en.wikipedia.org/wiki/Chile" TargetMode="External"/><Relationship Id="rId1222" Type="http://schemas.openxmlformats.org/officeDocument/2006/relationships/hyperlink" Target="https://en.wikipedia.org/wiki/Maurice_Michael_Otunga" TargetMode="External"/><Relationship Id="rId870" Type="http://schemas.openxmlformats.org/officeDocument/2006/relationships/hyperlink" Target="https://en.wikipedia.org/wiki/Jorge_Arturo_Medina_Est%C3%A9vez" TargetMode="External"/><Relationship Id="rId1223" Type="http://schemas.openxmlformats.org/officeDocument/2006/relationships/hyperlink" Target="https://en.wikipedia.org/wiki/Kenya" TargetMode="External"/><Relationship Id="rId829" Type="http://schemas.openxmlformats.org/officeDocument/2006/relationships/hyperlink" Target="https://en.wikipedia.org/wiki/Roman_Catholic_Archdiocese_of_Florence" TargetMode="External"/><Relationship Id="rId828" Type="http://schemas.openxmlformats.org/officeDocument/2006/relationships/hyperlink" Target="https://en.wikipedia.org/wiki/Cardinal_priest" TargetMode="External"/><Relationship Id="rId827" Type="http://schemas.openxmlformats.org/officeDocument/2006/relationships/hyperlink" Target="https://en.wikipedia.org/wiki/Italy" TargetMode="External"/><Relationship Id="rId822" Type="http://schemas.openxmlformats.org/officeDocument/2006/relationships/hyperlink" Target="https://en.wikipedia.org/wiki/Eus%C3%A9bio_Oscar_Scheid" TargetMode="External"/><Relationship Id="rId821" Type="http://schemas.openxmlformats.org/officeDocument/2006/relationships/hyperlink" Target="https://en.wikipedia.org/wiki/Roman_Catholic_Archdiocese_of_Saint_Andrews_and_Edinburgh" TargetMode="External"/><Relationship Id="rId820" Type="http://schemas.openxmlformats.org/officeDocument/2006/relationships/hyperlink" Target="https://en.wikipedia.org/wiki/Cardinal_priest" TargetMode="External"/><Relationship Id="rId826" Type="http://schemas.openxmlformats.org/officeDocument/2006/relationships/hyperlink" Target="https://en.wikipedia.org/wiki/Ennio_Antonelli" TargetMode="External"/><Relationship Id="rId825" Type="http://schemas.openxmlformats.org/officeDocument/2006/relationships/hyperlink" Target="https://en.wikipedia.org/wiki/Roman_Catholic_Archdiocese_of_S%C3%A3o_Sebasti%C3%A3o_do_Rio_de_Janeiro" TargetMode="External"/><Relationship Id="rId824" Type="http://schemas.openxmlformats.org/officeDocument/2006/relationships/hyperlink" Target="https://en.wikipedia.org/wiki/Cardinal_priest" TargetMode="External"/><Relationship Id="rId823" Type="http://schemas.openxmlformats.org/officeDocument/2006/relationships/hyperlink" Target="https://en.wikipedia.org/wiki/Brazil" TargetMode="External"/><Relationship Id="rId819" Type="http://schemas.openxmlformats.org/officeDocument/2006/relationships/hyperlink" Target="https://en.wikipedia.org/wiki/United_Kingdom" TargetMode="External"/><Relationship Id="rId818" Type="http://schemas.openxmlformats.org/officeDocument/2006/relationships/hyperlink" Target="https://en.wikipedia.org/wiki/Keith_Michael_Patrick_O%27Brien" TargetMode="External"/><Relationship Id="rId817" Type="http://schemas.openxmlformats.org/officeDocument/2006/relationships/hyperlink" Target="https://en.wikipedia.org/wiki/Roman_Catholic_Archdiocese_of_Philadelphia" TargetMode="External"/><Relationship Id="rId816" Type="http://schemas.openxmlformats.org/officeDocument/2006/relationships/hyperlink" Target="https://en.wikipedia.org/wiki/Cardinal_priest" TargetMode="External"/><Relationship Id="rId811" Type="http://schemas.openxmlformats.org/officeDocument/2006/relationships/hyperlink" Target="https://en.wikipedia.org/wiki/Spain" TargetMode="External"/><Relationship Id="rId810" Type="http://schemas.openxmlformats.org/officeDocument/2006/relationships/hyperlink" Target="https://en.wikipedia.org/wiki/Carlos_Amigo_Vallejo" TargetMode="External"/><Relationship Id="rId815" Type="http://schemas.openxmlformats.org/officeDocument/2006/relationships/hyperlink" Target="https://en.wikipedia.org/wiki/United_States" TargetMode="External"/><Relationship Id="rId814" Type="http://schemas.openxmlformats.org/officeDocument/2006/relationships/hyperlink" Target="https://en.wikipedia.org/wiki/Justin_Francis_Rigali" TargetMode="External"/><Relationship Id="rId813" Type="http://schemas.openxmlformats.org/officeDocument/2006/relationships/hyperlink" Target="https://en.wikipedia.org/wiki/Roman_Catholic_Archdiocese_of_Seville" TargetMode="External"/><Relationship Id="rId812" Type="http://schemas.openxmlformats.org/officeDocument/2006/relationships/hyperlink" Target="https://en.wikipedia.org/wiki/Cardinal_priest" TargetMode="External"/><Relationship Id="rId609" Type="http://schemas.openxmlformats.org/officeDocument/2006/relationships/hyperlink" Target="https://en.wikipedia.org/wiki/Vicar_General_for_Rome" TargetMode="External"/><Relationship Id="rId608" Type="http://schemas.openxmlformats.org/officeDocument/2006/relationships/hyperlink" Target="https://en.wikipedia.org/wiki/Cardinal_priest" TargetMode="External"/><Relationship Id="rId607" Type="http://schemas.openxmlformats.org/officeDocument/2006/relationships/hyperlink" Target="https://en.wikipedia.org/wiki/Italy" TargetMode="External"/><Relationship Id="rId849" Type="http://schemas.openxmlformats.org/officeDocument/2006/relationships/hyperlink" Target="https://en.wikipedia.org/wiki/Roman_Catholic_Archdiocese_of_Zagreb" TargetMode="External"/><Relationship Id="rId602" Type="http://schemas.openxmlformats.org/officeDocument/2006/relationships/hyperlink" Target="https://en.wikipedia.org/wiki/Roger_Michael_Mahony" TargetMode="External"/><Relationship Id="rId844" Type="http://schemas.openxmlformats.org/officeDocument/2006/relationships/hyperlink" Target="https://en.wikipedia.org/wiki/Cardinal_priest" TargetMode="External"/><Relationship Id="rId601" Type="http://schemas.openxmlformats.org/officeDocument/2006/relationships/hyperlink" Target="https://en.wikipedia.org/wiki/Roman_Catholic_Archdiocese_of_Santo_Domingo" TargetMode="External"/><Relationship Id="rId843" Type="http://schemas.openxmlformats.org/officeDocument/2006/relationships/hyperlink" Target="https://en.wikipedia.org/wiki/Australia" TargetMode="External"/><Relationship Id="rId600" Type="http://schemas.openxmlformats.org/officeDocument/2006/relationships/hyperlink" Target="https://en.wikipedia.org/wiki/Cardinal_priest" TargetMode="External"/><Relationship Id="rId842" Type="http://schemas.openxmlformats.org/officeDocument/2006/relationships/hyperlink" Target="https://en.wikipedia.org/wiki/George_Pell" TargetMode="External"/><Relationship Id="rId841" Type="http://schemas.openxmlformats.org/officeDocument/2006/relationships/hyperlink" Target="https://en.wikipedia.org/wiki/Roman_Catholic_Archdiocese_of_Ranchi" TargetMode="External"/><Relationship Id="rId606" Type="http://schemas.openxmlformats.org/officeDocument/2006/relationships/hyperlink" Target="https://en.wikipedia.org/wiki/Camillo_Ruini" TargetMode="External"/><Relationship Id="rId848" Type="http://schemas.openxmlformats.org/officeDocument/2006/relationships/hyperlink" Target="https://en.wikipedia.org/wiki/Cardinal_priest" TargetMode="External"/><Relationship Id="rId605" Type="http://schemas.openxmlformats.org/officeDocument/2006/relationships/hyperlink" Target="https://en.wikipedia.org/wiki/Roman_Catholic_Archdiocese_of_Los_Angeles" TargetMode="External"/><Relationship Id="rId847" Type="http://schemas.openxmlformats.org/officeDocument/2006/relationships/hyperlink" Target="https://en.wikipedia.org/wiki/Croatia" TargetMode="External"/><Relationship Id="rId604" Type="http://schemas.openxmlformats.org/officeDocument/2006/relationships/hyperlink" Target="https://en.wikipedia.org/wiki/Cardinal_priest" TargetMode="External"/><Relationship Id="rId846" Type="http://schemas.openxmlformats.org/officeDocument/2006/relationships/hyperlink" Target="https://en.wikipedia.org/wiki/Josip_Bozani%C4%87" TargetMode="External"/><Relationship Id="rId603" Type="http://schemas.openxmlformats.org/officeDocument/2006/relationships/hyperlink" Target="https://en.wikipedia.org/wiki/United_States" TargetMode="External"/><Relationship Id="rId845" Type="http://schemas.openxmlformats.org/officeDocument/2006/relationships/hyperlink" Target="https://en.wikipedia.org/wiki/Roman_Catholic_Archdiocese_of_Sydney" TargetMode="External"/><Relationship Id="rId840" Type="http://schemas.openxmlformats.org/officeDocument/2006/relationships/hyperlink" Target="https://en.wikipedia.org/wiki/Cardinal_priest" TargetMode="External"/><Relationship Id="rId839" Type="http://schemas.openxmlformats.org/officeDocument/2006/relationships/hyperlink" Target="https://en.wikipedia.org/wiki/India" TargetMode="External"/><Relationship Id="rId838" Type="http://schemas.openxmlformats.org/officeDocument/2006/relationships/hyperlink" Target="https://en.wikipedia.org/wiki/Telesphore_Placidus_Toppo" TargetMode="External"/><Relationship Id="rId833" Type="http://schemas.openxmlformats.org/officeDocument/2006/relationships/hyperlink" Target="https://en.wikipedia.org/wiki/Roman_Catholic_Archdiocese_of_Genoa" TargetMode="External"/><Relationship Id="rId832" Type="http://schemas.openxmlformats.org/officeDocument/2006/relationships/hyperlink" Target="https://en.wikipedia.org/wiki/Cardinal_priest" TargetMode="External"/><Relationship Id="rId831" Type="http://schemas.openxmlformats.org/officeDocument/2006/relationships/hyperlink" Target="https://en.wikipedia.org/wiki/Italy" TargetMode="External"/><Relationship Id="rId830" Type="http://schemas.openxmlformats.org/officeDocument/2006/relationships/hyperlink" Target="https://en.wikipedia.org/wiki/Tarcisio_Bertone" TargetMode="External"/><Relationship Id="rId837" Type="http://schemas.openxmlformats.org/officeDocument/2006/relationships/hyperlink" Target="https://en.wikipedia.org/wiki/Roman_Catholic_Archdiocese_of_Cape_Coast" TargetMode="External"/><Relationship Id="rId836" Type="http://schemas.openxmlformats.org/officeDocument/2006/relationships/hyperlink" Target="https://en.wikipedia.org/wiki/Cardinal_priest" TargetMode="External"/><Relationship Id="rId835" Type="http://schemas.openxmlformats.org/officeDocument/2006/relationships/hyperlink" Target="https://en.wikipedia.org/wiki/Ghana" TargetMode="External"/><Relationship Id="rId834" Type="http://schemas.openxmlformats.org/officeDocument/2006/relationships/hyperlink" Target="https://en.wikipedia.org/wiki/Peter_Kodwo_Appiah_Turkson" TargetMode="External"/><Relationship Id="rId1059" Type="http://schemas.openxmlformats.org/officeDocument/2006/relationships/hyperlink" Target="https://en.wikipedia.org/wiki/United_States" TargetMode="External"/><Relationship Id="rId228" Type="http://schemas.openxmlformats.org/officeDocument/2006/relationships/hyperlink" Target="https://en.wikipedia.org/wiki/United_States" TargetMode="External"/><Relationship Id="rId227" Type="http://schemas.openxmlformats.org/officeDocument/2006/relationships/hyperlink" Target="https://en.wikipedia.org/wiki/Se%C3%A1n_Patrick_O%27Malley" TargetMode="External"/><Relationship Id="rId469" Type="http://schemas.openxmlformats.org/officeDocument/2006/relationships/hyperlink" Target="https://en.wikipedia.org/wiki/Cardinal_deacon" TargetMode="External"/><Relationship Id="rId226" Type="http://schemas.openxmlformats.org/officeDocument/2006/relationships/hyperlink" Target="https://en.wikipedia.org/wiki/Congregation_for_Divine_Worship_and_the_Discipline_of_the_Sacraments" TargetMode="External"/><Relationship Id="rId468" Type="http://schemas.openxmlformats.org/officeDocument/2006/relationships/hyperlink" Target="https://en.wikipedia.org/wiki/Italy" TargetMode="External"/><Relationship Id="rId225" Type="http://schemas.openxmlformats.org/officeDocument/2006/relationships/hyperlink" Target="https://en.wikipedia.org/wiki/Cardinal_priest" TargetMode="External"/><Relationship Id="rId467" Type="http://schemas.openxmlformats.org/officeDocument/2006/relationships/hyperlink" Target="https://en.wikipedia.org/wiki/Domenico_Calcagno" TargetMode="External"/><Relationship Id="rId1290" Type="http://schemas.openxmlformats.org/officeDocument/2006/relationships/hyperlink" Target="https://en.wikipedia.org/wiki/Reginald_Delargey" TargetMode="External"/><Relationship Id="rId1291" Type="http://schemas.openxmlformats.org/officeDocument/2006/relationships/hyperlink" Target="https://en.wikipedia.org/wiki/New_Zealand" TargetMode="External"/><Relationship Id="rId229" Type="http://schemas.openxmlformats.org/officeDocument/2006/relationships/hyperlink" Target="https://en.wikipedia.org/wiki/Cardinal_priest" TargetMode="External"/><Relationship Id="rId1050" Type="http://schemas.openxmlformats.org/officeDocument/2006/relationships/hyperlink" Target="https://en.wikipedia.org/wiki/Jos%C3%A9_Clemente_Maurer" TargetMode="External"/><Relationship Id="rId1292" Type="http://schemas.openxmlformats.org/officeDocument/2006/relationships/hyperlink" Target="https://en.wikipedia.org/wiki/Cardinal_priest" TargetMode="External"/><Relationship Id="rId220" Type="http://schemas.openxmlformats.org/officeDocument/2006/relationships/hyperlink" Target="https://en.wikipedia.org/wiki/France" TargetMode="External"/><Relationship Id="rId462" Type="http://schemas.openxmlformats.org/officeDocument/2006/relationships/hyperlink" Target="https://en.wikipedia.org/wiki/Congregation_for_Institutes_of_Consecrated_Life_and_Societies_of_Apostolic_Life" TargetMode="External"/><Relationship Id="rId1051" Type="http://schemas.openxmlformats.org/officeDocument/2006/relationships/hyperlink" Target="https://en.wikipedia.org/wiki/Bolivia" TargetMode="External"/><Relationship Id="rId1293" Type="http://schemas.openxmlformats.org/officeDocument/2006/relationships/hyperlink" Target="https://en.wikipedia.org/wiki/Roman_Catholic_Archdiocese_of_Wellington" TargetMode="External"/><Relationship Id="rId461" Type="http://schemas.openxmlformats.org/officeDocument/2006/relationships/hyperlink" Target="https://en.wikipedia.org/wiki/Cardinal_deacon" TargetMode="External"/><Relationship Id="rId1052" Type="http://schemas.openxmlformats.org/officeDocument/2006/relationships/hyperlink" Target="https://en.wikipedia.org/wiki/Cardinal_priest" TargetMode="External"/><Relationship Id="rId1294" Type="http://schemas.openxmlformats.org/officeDocument/2006/relationships/hyperlink" Target="https://en.wikipedia.org/wiki/L%C3%A1szl%C3%B3_L%C3%A9kai" TargetMode="External"/><Relationship Id="rId460" Type="http://schemas.openxmlformats.org/officeDocument/2006/relationships/hyperlink" Target="https://en.wikipedia.org/wiki/Brazil" TargetMode="External"/><Relationship Id="rId1053" Type="http://schemas.openxmlformats.org/officeDocument/2006/relationships/hyperlink" Target="https://en.wikipedia.org/wiki/Roman_Catholic_Archdiocese_of_Sucre" TargetMode="External"/><Relationship Id="rId1295" Type="http://schemas.openxmlformats.org/officeDocument/2006/relationships/hyperlink" Target="https://en.wikipedia.org/wiki/Hungarian_People%27s_Republic" TargetMode="External"/><Relationship Id="rId1054" Type="http://schemas.openxmlformats.org/officeDocument/2006/relationships/hyperlink" Target="https://en.wikipedia.org/wiki/John_Joseph_Krol" TargetMode="External"/><Relationship Id="rId1296" Type="http://schemas.openxmlformats.org/officeDocument/2006/relationships/hyperlink" Target="https://en.wikipedia.org/wiki/Cardinal_priest" TargetMode="External"/><Relationship Id="rId224" Type="http://schemas.openxmlformats.org/officeDocument/2006/relationships/hyperlink" Target="https://en.wikipedia.org/wiki/Spain" TargetMode="External"/><Relationship Id="rId466" Type="http://schemas.openxmlformats.org/officeDocument/2006/relationships/hyperlink" Target="https://en.wikipedia.org/wiki/Order_of_the_Holy_Sepulchre" TargetMode="External"/><Relationship Id="rId1055" Type="http://schemas.openxmlformats.org/officeDocument/2006/relationships/hyperlink" Target="https://en.wikipedia.org/wiki/United_States" TargetMode="External"/><Relationship Id="rId1297" Type="http://schemas.openxmlformats.org/officeDocument/2006/relationships/hyperlink" Target="https://en.wikipedia.org/wiki/Roman_Catholic_Archdiocese_of_Esztergom" TargetMode="External"/><Relationship Id="rId223" Type="http://schemas.openxmlformats.org/officeDocument/2006/relationships/hyperlink" Target="https://en.wikipedia.org/wiki/Antonio_Ca%C3%B1izares_Llovera" TargetMode="External"/><Relationship Id="rId465" Type="http://schemas.openxmlformats.org/officeDocument/2006/relationships/hyperlink" Target="https://en.wikipedia.org/wiki/Cardinal_deacon" TargetMode="External"/><Relationship Id="rId1056" Type="http://schemas.openxmlformats.org/officeDocument/2006/relationships/hyperlink" Target="https://en.wikipedia.org/wiki/Cardinal_priest" TargetMode="External"/><Relationship Id="rId1298" Type="http://schemas.openxmlformats.org/officeDocument/2006/relationships/hyperlink" Target="https://en.wikipedia.org/wiki/George_Basil_Hume" TargetMode="External"/><Relationship Id="rId222" Type="http://schemas.openxmlformats.org/officeDocument/2006/relationships/hyperlink" Target="https://en.wikipedia.org/wiki/Roman_Catholic_Archdiocese_of_Bordeaux" TargetMode="External"/><Relationship Id="rId464" Type="http://schemas.openxmlformats.org/officeDocument/2006/relationships/hyperlink" Target="https://en.wikipedia.org/wiki/United_States" TargetMode="External"/><Relationship Id="rId1057" Type="http://schemas.openxmlformats.org/officeDocument/2006/relationships/hyperlink" Target="https://en.wikipedia.org/wiki/Roman_Catholic_Archdiocese_of_Philadelphia" TargetMode="External"/><Relationship Id="rId1299" Type="http://schemas.openxmlformats.org/officeDocument/2006/relationships/hyperlink" Target="https://en.wikipedia.org/wiki/United_Kingdom" TargetMode="External"/><Relationship Id="rId221" Type="http://schemas.openxmlformats.org/officeDocument/2006/relationships/hyperlink" Target="https://en.wikipedia.org/wiki/Cardinal_priest" TargetMode="External"/><Relationship Id="rId463" Type="http://schemas.openxmlformats.org/officeDocument/2006/relationships/hyperlink" Target="https://en.wikipedia.org/wiki/Edwin_Frederick_O%27Brien" TargetMode="External"/><Relationship Id="rId1058" Type="http://schemas.openxmlformats.org/officeDocument/2006/relationships/hyperlink" Target="https://en.wikipedia.org/wiki/John_Patrick_Cody" TargetMode="External"/><Relationship Id="rId1048" Type="http://schemas.openxmlformats.org/officeDocument/2006/relationships/hyperlink" Target="https://en.wikipedia.org/wiki/Cardinal_priest" TargetMode="External"/><Relationship Id="rId1049" Type="http://schemas.openxmlformats.org/officeDocument/2006/relationships/hyperlink" Target="https://en.wikipedia.org/wiki/Order_of_the_Holy_Sepulchre" TargetMode="External"/><Relationship Id="rId217" Type="http://schemas.openxmlformats.org/officeDocument/2006/relationships/hyperlink" Target="https://en.wikipedia.org/wiki/Cardinal_priest" TargetMode="External"/><Relationship Id="rId459" Type="http://schemas.openxmlformats.org/officeDocument/2006/relationships/hyperlink" Target="https://en.wikipedia.org/wiki/Jo%C3%A3o_Braz_de_Aviz" TargetMode="External"/><Relationship Id="rId216" Type="http://schemas.openxmlformats.org/officeDocument/2006/relationships/hyperlink" Target="https://en.wikipedia.org/wiki/Venezuela" TargetMode="External"/><Relationship Id="rId458" Type="http://schemas.openxmlformats.org/officeDocument/2006/relationships/hyperlink" Target="https://en.wikipedia.org/wiki/Pontifical_Council_for_Legislative_Texts" TargetMode="External"/><Relationship Id="rId215" Type="http://schemas.openxmlformats.org/officeDocument/2006/relationships/hyperlink" Target="https://en.wikipedia.org/wiki/Jorge_Liberato_Urosa_Savino" TargetMode="External"/><Relationship Id="rId457" Type="http://schemas.openxmlformats.org/officeDocument/2006/relationships/hyperlink" Target="https://en.wikipedia.org/wiki/Cardinal_deacon" TargetMode="External"/><Relationship Id="rId699" Type="http://schemas.openxmlformats.org/officeDocument/2006/relationships/hyperlink" Target="https://en.wikipedia.org/wiki/Poland" TargetMode="External"/><Relationship Id="rId214" Type="http://schemas.openxmlformats.org/officeDocument/2006/relationships/hyperlink" Target="https://en.wikipedia.org/wiki/Vicar_General_for_Rome" TargetMode="External"/><Relationship Id="rId456" Type="http://schemas.openxmlformats.org/officeDocument/2006/relationships/hyperlink" Target="https://en.wikipedia.org/wiki/Italy" TargetMode="External"/><Relationship Id="rId698" Type="http://schemas.openxmlformats.org/officeDocument/2006/relationships/hyperlink" Target="https://en.wikipedia.org/wiki/Marian_Jaworski" TargetMode="External"/><Relationship Id="rId219" Type="http://schemas.openxmlformats.org/officeDocument/2006/relationships/hyperlink" Target="https://en.wikipedia.org/wiki/Jean-Pierre_Ricard" TargetMode="External"/><Relationship Id="rId1280" Type="http://schemas.openxmlformats.org/officeDocument/2006/relationships/hyperlink" Target="https://en.wikipedia.org/wiki/Cardinal_priest" TargetMode="External"/><Relationship Id="rId218" Type="http://schemas.openxmlformats.org/officeDocument/2006/relationships/hyperlink" Target="https://en.wikipedia.org/wiki/Roman_Catholic_Archdiocese_of_Caracas" TargetMode="External"/><Relationship Id="rId1281" Type="http://schemas.openxmlformats.org/officeDocument/2006/relationships/hyperlink" Target="https://en.wikipedia.org/wiki/Roman_Catholic_Archdiocese_of_Manila" TargetMode="External"/><Relationship Id="rId451" Type="http://schemas.openxmlformats.org/officeDocument/2006/relationships/hyperlink" Target="https://en.wikipedia.org/wiki/Giuseppe_Bertello" TargetMode="External"/><Relationship Id="rId693" Type="http://schemas.openxmlformats.org/officeDocument/2006/relationships/hyperlink" Target="https://en.wikipedia.org/wiki/Roman_Catholic_Archdiocese_of_Mexico" TargetMode="External"/><Relationship Id="rId1040" Type="http://schemas.openxmlformats.org/officeDocument/2006/relationships/hyperlink" Target="https://en.wikipedia.org/wiki/Cardinal_priest" TargetMode="External"/><Relationship Id="rId1282" Type="http://schemas.openxmlformats.org/officeDocument/2006/relationships/hyperlink" Target="https://en.wikipedia.org/wiki/William_Wakefield_Baum" TargetMode="External"/><Relationship Id="rId450" Type="http://schemas.openxmlformats.org/officeDocument/2006/relationships/hyperlink" Target="https://en.wikipedia.org/wiki/Pontifical_Council_for_the_Pastoral_Care_of_Migrants_and_Itinerant_People" TargetMode="External"/><Relationship Id="rId692" Type="http://schemas.openxmlformats.org/officeDocument/2006/relationships/hyperlink" Target="https://en.wikipedia.org/wiki/Cardinal_priest" TargetMode="External"/><Relationship Id="rId1041" Type="http://schemas.openxmlformats.org/officeDocument/2006/relationships/hyperlink" Target="https://en.wikipedia.org/wiki/Sacred_Congregation_for_Catholic_Education" TargetMode="External"/><Relationship Id="rId1283" Type="http://schemas.openxmlformats.org/officeDocument/2006/relationships/hyperlink" Target="https://en.wikipedia.org/wiki/United_States" TargetMode="External"/><Relationship Id="rId691" Type="http://schemas.openxmlformats.org/officeDocument/2006/relationships/hyperlink" Target="https://en.wikipedia.org/wiki/Mexico" TargetMode="External"/><Relationship Id="rId1042" Type="http://schemas.openxmlformats.org/officeDocument/2006/relationships/hyperlink" Target="https://en.wikipedia.org/wiki/Egidio_Vagnozzi" TargetMode="External"/><Relationship Id="rId1284" Type="http://schemas.openxmlformats.org/officeDocument/2006/relationships/hyperlink" Target="https://en.wikipedia.org/wiki/Cardinal_priest" TargetMode="External"/><Relationship Id="rId690" Type="http://schemas.openxmlformats.org/officeDocument/2006/relationships/hyperlink" Target="https://en.wikipedia.org/wiki/Norberto_Rivera_Carrera" TargetMode="External"/><Relationship Id="rId1043" Type="http://schemas.openxmlformats.org/officeDocument/2006/relationships/hyperlink" Target="https://en.wikipedia.org/wiki/Italy" TargetMode="External"/><Relationship Id="rId1285" Type="http://schemas.openxmlformats.org/officeDocument/2006/relationships/hyperlink" Target="https://en.wikipedia.org/wiki/Roman_Catholic_Archdiocese_of_Washington" TargetMode="External"/><Relationship Id="rId213" Type="http://schemas.openxmlformats.org/officeDocument/2006/relationships/hyperlink" Target="https://en.wikipedia.org/wiki/Cardinal_priest" TargetMode="External"/><Relationship Id="rId455" Type="http://schemas.openxmlformats.org/officeDocument/2006/relationships/hyperlink" Target="https://en.wikipedia.org/wiki/Francesco_Coccopalmerio" TargetMode="External"/><Relationship Id="rId697" Type="http://schemas.openxmlformats.org/officeDocument/2006/relationships/hyperlink" Target="https://en.wikipedia.org/wiki/Roman_Catholic_Archdiocese_of_Chicago" TargetMode="External"/><Relationship Id="rId1044" Type="http://schemas.openxmlformats.org/officeDocument/2006/relationships/hyperlink" Target="https://en.wikipedia.org/wiki/Cardinal_priest" TargetMode="External"/><Relationship Id="rId1286" Type="http://schemas.openxmlformats.org/officeDocument/2006/relationships/hyperlink" Target="https://en.wikipedia.org/wiki/Alo%C3%ADsio_Lorscheider" TargetMode="External"/><Relationship Id="rId212" Type="http://schemas.openxmlformats.org/officeDocument/2006/relationships/hyperlink" Target="https://en.wikipedia.org/wiki/Italy" TargetMode="External"/><Relationship Id="rId454" Type="http://schemas.openxmlformats.org/officeDocument/2006/relationships/hyperlink" Target="https://en.wikipedia.org/wiki/Pontifical_Commission_for_Vatican_City_State" TargetMode="External"/><Relationship Id="rId696" Type="http://schemas.openxmlformats.org/officeDocument/2006/relationships/hyperlink" Target="https://en.wikipedia.org/wiki/Cardinal_priest" TargetMode="External"/><Relationship Id="rId1045" Type="http://schemas.openxmlformats.org/officeDocument/2006/relationships/hyperlink" Target="https://en.wikipedia.org/wiki/Prefecture_for_the_Economic_Affairs_of_the_Holy_See" TargetMode="External"/><Relationship Id="rId1287" Type="http://schemas.openxmlformats.org/officeDocument/2006/relationships/hyperlink" Target="https://en.wikipedia.org/wiki/Brazil" TargetMode="External"/><Relationship Id="rId211" Type="http://schemas.openxmlformats.org/officeDocument/2006/relationships/hyperlink" Target="https://en.wikipedia.org/wiki/Agostino_Vallini" TargetMode="External"/><Relationship Id="rId453" Type="http://schemas.openxmlformats.org/officeDocument/2006/relationships/hyperlink" Target="https://en.wikipedia.org/wiki/Cardinal_deacon" TargetMode="External"/><Relationship Id="rId695" Type="http://schemas.openxmlformats.org/officeDocument/2006/relationships/hyperlink" Target="https://en.wikipedia.org/wiki/United_States" TargetMode="External"/><Relationship Id="rId1046" Type="http://schemas.openxmlformats.org/officeDocument/2006/relationships/hyperlink" Target="https://en.wikipedia.org/wiki/Maximilien_de_Furstenberg" TargetMode="External"/><Relationship Id="rId1288" Type="http://schemas.openxmlformats.org/officeDocument/2006/relationships/hyperlink" Target="https://en.wikipedia.org/wiki/Cardinal_priest" TargetMode="External"/><Relationship Id="rId210" Type="http://schemas.openxmlformats.org/officeDocument/2006/relationships/hyperlink" Target="https://en.wikipedia.org/wiki/Congregation_for_Bishops" TargetMode="External"/><Relationship Id="rId452" Type="http://schemas.openxmlformats.org/officeDocument/2006/relationships/hyperlink" Target="https://en.wikipedia.org/wiki/Italy" TargetMode="External"/><Relationship Id="rId694" Type="http://schemas.openxmlformats.org/officeDocument/2006/relationships/hyperlink" Target="https://en.wikipedia.org/wiki/Francis_Eugene_George" TargetMode="External"/><Relationship Id="rId1047" Type="http://schemas.openxmlformats.org/officeDocument/2006/relationships/hyperlink" Target="https://en.wikipedia.org/wiki/Belgium" TargetMode="External"/><Relationship Id="rId1289" Type="http://schemas.openxmlformats.org/officeDocument/2006/relationships/hyperlink" Target="https://en.wikipedia.org/wiki/Roman_Catholic_Archdiocese_of_Fortaleza" TargetMode="External"/><Relationship Id="rId491" Type="http://schemas.openxmlformats.org/officeDocument/2006/relationships/hyperlink" Target="https://en.wikipedia.org/wiki/Italy" TargetMode="External"/><Relationship Id="rId490" Type="http://schemas.openxmlformats.org/officeDocument/2006/relationships/hyperlink" Target="https://en.wikipedia.org/wiki/Giovanni_Battista_Re" TargetMode="External"/><Relationship Id="rId249" Type="http://schemas.openxmlformats.org/officeDocument/2006/relationships/hyperlink" Target="https://en.wikipedia.org/wiki/Cardinal_priest" TargetMode="External"/><Relationship Id="rId248" Type="http://schemas.openxmlformats.org/officeDocument/2006/relationships/hyperlink" Target="https://en.wikipedia.org/wiki/France" TargetMode="External"/><Relationship Id="rId247" Type="http://schemas.openxmlformats.org/officeDocument/2006/relationships/hyperlink" Target="https://en.wikipedia.org/wiki/Andr%C3%A9_Vingt-Trois" TargetMode="External"/><Relationship Id="rId489" Type="http://schemas.openxmlformats.org/officeDocument/2006/relationships/hyperlink" Target="https://en.wikipedia.org/wiki/Pontifical_Council_for_the_Family" TargetMode="External"/><Relationship Id="rId1070" Type="http://schemas.openxmlformats.org/officeDocument/2006/relationships/hyperlink" Target="https://en.wikipedia.org/wiki/Justinus_Darmojuwono" TargetMode="External"/><Relationship Id="rId1071" Type="http://schemas.openxmlformats.org/officeDocument/2006/relationships/hyperlink" Target="https://en.wikipedia.org/wiki/Indonesia" TargetMode="External"/><Relationship Id="rId1072" Type="http://schemas.openxmlformats.org/officeDocument/2006/relationships/hyperlink" Target="https://en.wikipedia.org/wiki/Cardinal_priest" TargetMode="External"/><Relationship Id="rId242" Type="http://schemas.openxmlformats.org/officeDocument/2006/relationships/hyperlink" Target="https://en.wikipedia.org/wiki/Roman_Catholic_Archdiocese_of_Armagh" TargetMode="External"/><Relationship Id="rId484" Type="http://schemas.openxmlformats.org/officeDocument/2006/relationships/hyperlink" Target="https://en.wikipedia.org/wiki/Cardinal_bishop" TargetMode="External"/><Relationship Id="rId1073" Type="http://schemas.openxmlformats.org/officeDocument/2006/relationships/hyperlink" Target="https://en.wikipedia.org/wiki/Roman_Catholic_Archdiocese_of_Semarang" TargetMode="External"/><Relationship Id="rId241" Type="http://schemas.openxmlformats.org/officeDocument/2006/relationships/hyperlink" Target="https://en.wikipedia.org/wiki/Cardinal_priest" TargetMode="External"/><Relationship Id="rId483" Type="http://schemas.openxmlformats.org/officeDocument/2006/relationships/hyperlink" Target="https://en.wikipedia.org/wiki/Italy" TargetMode="External"/><Relationship Id="rId1074" Type="http://schemas.openxmlformats.org/officeDocument/2006/relationships/hyperlink" Target="https://en.wikipedia.org/wiki/Karol_Wojty%C5%82a" TargetMode="External"/><Relationship Id="rId240" Type="http://schemas.openxmlformats.org/officeDocument/2006/relationships/hyperlink" Target="https://en.wikipedia.org/wiki/Ireland" TargetMode="External"/><Relationship Id="rId482" Type="http://schemas.openxmlformats.org/officeDocument/2006/relationships/hyperlink" Target="https://en.wikipedia.org/wiki/Angelo_Sodano" TargetMode="External"/><Relationship Id="rId1075" Type="http://schemas.openxmlformats.org/officeDocument/2006/relationships/hyperlink" Target="https://en.wikipedia.org/wiki/Polish_People%27s_Republic" TargetMode="External"/><Relationship Id="rId481" Type="http://schemas.openxmlformats.org/officeDocument/2006/relationships/hyperlink" Target="https://en.wikipedia.org/wiki/Congregation_for_the_Doctrine_of_the_Faith" TargetMode="External"/><Relationship Id="rId1076" Type="http://schemas.openxmlformats.org/officeDocument/2006/relationships/hyperlink" Target="https://en.wikipedia.org/wiki/Cardinal_priest" TargetMode="External"/><Relationship Id="rId246" Type="http://schemas.openxmlformats.org/officeDocument/2006/relationships/hyperlink" Target="https://en.wikipedia.org/wiki/Roman_Catholic_Archdiocese_of_Barcelona" TargetMode="External"/><Relationship Id="rId488" Type="http://schemas.openxmlformats.org/officeDocument/2006/relationships/hyperlink" Target="https://en.wikipedia.org/wiki/Cardinal_bishop" TargetMode="External"/><Relationship Id="rId1077" Type="http://schemas.openxmlformats.org/officeDocument/2006/relationships/hyperlink" Target="https://en.wikipedia.org/wiki/Roman_Catholic_Archdiocese_of_Krak%C3%B3w" TargetMode="External"/><Relationship Id="rId245" Type="http://schemas.openxmlformats.org/officeDocument/2006/relationships/hyperlink" Target="https://en.wikipedia.org/wiki/Cardinal_priest" TargetMode="External"/><Relationship Id="rId487" Type="http://schemas.openxmlformats.org/officeDocument/2006/relationships/hyperlink" Target="https://en.wikipedia.org/wiki/Colombia" TargetMode="External"/><Relationship Id="rId1078" Type="http://schemas.openxmlformats.org/officeDocument/2006/relationships/hyperlink" Target="https://en.wikipedia.org/wiki/Michele_Pellegrino" TargetMode="External"/><Relationship Id="rId244" Type="http://schemas.openxmlformats.org/officeDocument/2006/relationships/hyperlink" Target="https://en.wikipedia.org/wiki/Spain" TargetMode="External"/><Relationship Id="rId486" Type="http://schemas.openxmlformats.org/officeDocument/2006/relationships/hyperlink" Target="https://en.wikipedia.org/wiki/Alfonso_L%C3%B3pez_Trujillo" TargetMode="External"/><Relationship Id="rId1079" Type="http://schemas.openxmlformats.org/officeDocument/2006/relationships/hyperlink" Target="https://en.wikipedia.org/wiki/Italy" TargetMode="External"/><Relationship Id="rId243" Type="http://schemas.openxmlformats.org/officeDocument/2006/relationships/hyperlink" Target="https://en.wikipedia.org/wiki/Llu%C3%ADs_Mart%C3%ADnez_Sistach" TargetMode="External"/><Relationship Id="rId485" Type="http://schemas.openxmlformats.org/officeDocument/2006/relationships/hyperlink" Target="https://en.wikipedia.org/wiki/Cardinal_Secretary_of_State" TargetMode="External"/><Relationship Id="rId480" Type="http://schemas.openxmlformats.org/officeDocument/2006/relationships/hyperlink" Target="https://en.wikipedia.org/wiki/Cardinal_bishop" TargetMode="External"/><Relationship Id="rId239" Type="http://schemas.openxmlformats.org/officeDocument/2006/relationships/hyperlink" Target="https://en.wikipedia.org/wiki/Se%C3%A1n_Baptist_Brady" TargetMode="External"/><Relationship Id="rId238" Type="http://schemas.openxmlformats.org/officeDocument/2006/relationships/hyperlink" Target="https://en.wikipedia.org/wiki/Roman_Catholic_Archdiocese_of_Bologna" TargetMode="External"/><Relationship Id="rId237" Type="http://schemas.openxmlformats.org/officeDocument/2006/relationships/hyperlink" Target="https://en.wikipedia.org/wiki/Cardinal_priest" TargetMode="External"/><Relationship Id="rId479" Type="http://schemas.openxmlformats.org/officeDocument/2006/relationships/hyperlink" Target="https://en.wikipedia.org/wiki/Germany" TargetMode="External"/><Relationship Id="rId236" Type="http://schemas.openxmlformats.org/officeDocument/2006/relationships/hyperlink" Target="https://en.wikipedia.org/wiki/Italy" TargetMode="External"/><Relationship Id="rId478" Type="http://schemas.openxmlformats.org/officeDocument/2006/relationships/hyperlink" Target="https://en.wikipedia.org/wiki/Papal_Basilica_of_Saint_Paul_Outside_the_Walls" TargetMode="External"/><Relationship Id="rId1060" Type="http://schemas.openxmlformats.org/officeDocument/2006/relationships/hyperlink" Target="https://en.wikipedia.org/wiki/Cardinal_priest" TargetMode="External"/><Relationship Id="rId1061" Type="http://schemas.openxmlformats.org/officeDocument/2006/relationships/hyperlink" Target="https://en.wikipedia.org/wiki/Roman_Catholic_Archdiocese_of_Chicago" TargetMode="External"/><Relationship Id="rId231" Type="http://schemas.openxmlformats.org/officeDocument/2006/relationships/hyperlink" Target="https://en.wikipedia.org/wiki/Stanis%C5%82aw_Dziwisz" TargetMode="External"/><Relationship Id="rId473" Type="http://schemas.openxmlformats.org/officeDocument/2006/relationships/hyperlink" Target="https://en.wikipedia.org/wiki/Cardinal_deacon" TargetMode="External"/><Relationship Id="rId1062" Type="http://schemas.openxmlformats.org/officeDocument/2006/relationships/hyperlink" Target="https://en.wikipedia.org/wiki/Corrado_Ursi" TargetMode="External"/><Relationship Id="rId230" Type="http://schemas.openxmlformats.org/officeDocument/2006/relationships/hyperlink" Target="https://en.wikipedia.org/wiki/Roman_Catholic_Archdiocese_of_Boston" TargetMode="External"/><Relationship Id="rId472" Type="http://schemas.openxmlformats.org/officeDocument/2006/relationships/hyperlink" Target="https://en.wikipedia.org/wiki/Italy" TargetMode="External"/><Relationship Id="rId1063" Type="http://schemas.openxmlformats.org/officeDocument/2006/relationships/hyperlink" Target="https://en.wikipedia.org/wiki/Italy" TargetMode="External"/><Relationship Id="rId471" Type="http://schemas.openxmlformats.org/officeDocument/2006/relationships/hyperlink" Target="https://en.wikipedia.org/wiki/Giuseppe_Versaldi" TargetMode="External"/><Relationship Id="rId1064" Type="http://schemas.openxmlformats.org/officeDocument/2006/relationships/hyperlink" Target="https://en.wikipedia.org/wiki/Cardinal_priest" TargetMode="External"/><Relationship Id="rId470" Type="http://schemas.openxmlformats.org/officeDocument/2006/relationships/hyperlink" Target="https://en.wikipedia.org/wiki/Administration_of_the_Patrimony_of_the_Apostolic_See" TargetMode="External"/><Relationship Id="rId1065" Type="http://schemas.openxmlformats.org/officeDocument/2006/relationships/hyperlink" Target="https://en.wikipedia.org/wiki/Roman_Catholic_Archdiocese_of_Naples" TargetMode="External"/><Relationship Id="rId235" Type="http://schemas.openxmlformats.org/officeDocument/2006/relationships/hyperlink" Target="https://en.wikipedia.org/wiki/Carlo_Caffarra" TargetMode="External"/><Relationship Id="rId477" Type="http://schemas.openxmlformats.org/officeDocument/2006/relationships/hyperlink" Target="https://en.wikipedia.org/wiki/Cardinal_deacon" TargetMode="External"/><Relationship Id="rId1066" Type="http://schemas.openxmlformats.org/officeDocument/2006/relationships/hyperlink" Target="https://en.wikipedia.org/wiki/Alfred_Bengsch" TargetMode="External"/><Relationship Id="rId234" Type="http://schemas.openxmlformats.org/officeDocument/2006/relationships/hyperlink" Target="https://en.wikipedia.org/wiki/Roman_Catholic_Archdiocese_of_Krak%C3%B3w" TargetMode="External"/><Relationship Id="rId476" Type="http://schemas.openxmlformats.org/officeDocument/2006/relationships/hyperlink" Target="https://en.wikipedia.org/wiki/United_States" TargetMode="External"/><Relationship Id="rId1067" Type="http://schemas.openxmlformats.org/officeDocument/2006/relationships/hyperlink" Target="https://en.wikipedia.org/wiki/East_Germany" TargetMode="External"/><Relationship Id="rId233" Type="http://schemas.openxmlformats.org/officeDocument/2006/relationships/hyperlink" Target="https://en.wikipedia.org/wiki/Cardinal_priest" TargetMode="External"/><Relationship Id="rId475" Type="http://schemas.openxmlformats.org/officeDocument/2006/relationships/hyperlink" Target="https://en.wikipedia.org/wiki/James_Michael_Harvey" TargetMode="External"/><Relationship Id="rId1068" Type="http://schemas.openxmlformats.org/officeDocument/2006/relationships/hyperlink" Target="https://en.wikipedia.org/wiki/Cardinal_priest" TargetMode="External"/><Relationship Id="rId232" Type="http://schemas.openxmlformats.org/officeDocument/2006/relationships/hyperlink" Target="https://en.wikipedia.org/wiki/Poland" TargetMode="External"/><Relationship Id="rId474" Type="http://schemas.openxmlformats.org/officeDocument/2006/relationships/hyperlink" Target="https://en.wikipedia.org/wiki/Prefecture_for_the_Economic_Affairs_of_the_Holy_See" TargetMode="External"/><Relationship Id="rId1069" Type="http://schemas.openxmlformats.org/officeDocument/2006/relationships/hyperlink" Target="https://en.wikipedia.org/wiki/Roman_Catholic_Diocese_of_Berlin" TargetMode="External"/><Relationship Id="rId1015" Type="http://schemas.openxmlformats.org/officeDocument/2006/relationships/hyperlink" Target="https://en.wikipedia.org/wiki/Algeria" TargetMode="External"/><Relationship Id="rId1257" Type="http://schemas.openxmlformats.org/officeDocument/2006/relationships/hyperlink" Target="https://en.wikipedia.org/wiki/Roman_Catholic_Archdiocese_of_Santo_Domingo" TargetMode="External"/><Relationship Id="rId1016" Type="http://schemas.openxmlformats.org/officeDocument/2006/relationships/hyperlink" Target="https://en.wikipedia.org/wiki/Cardinal_priest" TargetMode="External"/><Relationship Id="rId1258" Type="http://schemas.openxmlformats.org/officeDocument/2006/relationships/hyperlink" Target="https://en.wikipedia.org/wiki/Juan_Carlos_Aramburu" TargetMode="External"/><Relationship Id="rId1017" Type="http://schemas.openxmlformats.org/officeDocument/2006/relationships/hyperlink" Target="https://en.wikipedia.org/wiki/Roman_Catholic_Archdiocese_of_Algiers" TargetMode="External"/><Relationship Id="rId1259" Type="http://schemas.openxmlformats.org/officeDocument/2006/relationships/hyperlink" Target="https://en.wikipedia.org/wiki/Argentina" TargetMode="External"/><Relationship Id="rId1018" Type="http://schemas.openxmlformats.org/officeDocument/2006/relationships/hyperlink" Target="https://en.wikipedia.org/wiki/Ermenegildo_Florit" TargetMode="External"/><Relationship Id="rId1019" Type="http://schemas.openxmlformats.org/officeDocument/2006/relationships/hyperlink" Target="https://en.wikipedia.org/wiki/Italy" TargetMode="External"/><Relationship Id="rId426" Type="http://schemas.openxmlformats.org/officeDocument/2006/relationships/hyperlink" Target="https://en.wikipedia.org/wiki/Congregation_for_the_Clergy" TargetMode="External"/><Relationship Id="rId668" Type="http://schemas.openxmlformats.org/officeDocument/2006/relationships/hyperlink" Target="https://en.wikipedia.org/wiki/Cardinal_priest" TargetMode="External"/><Relationship Id="rId425" Type="http://schemas.openxmlformats.org/officeDocument/2006/relationships/hyperlink" Target="https://en.wikipedia.org/wiki/Cardinal_deacon" TargetMode="External"/><Relationship Id="rId667" Type="http://schemas.openxmlformats.org/officeDocument/2006/relationships/hyperlink" Target="https://en.wikipedia.org/wiki/Italy" TargetMode="External"/><Relationship Id="rId424" Type="http://schemas.openxmlformats.org/officeDocument/2006/relationships/hyperlink" Target="https://en.wikipedia.org/wiki/Italy" TargetMode="External"/><Relationship Id="rId666" Type="http://schemas.openxmlformats.org/officeDocument/2006/relationships/hyperlink" Target="https://en.wikipedia.org/wiki/Salvatore_De_Giorgi" TargetMode="External"/><Relationship Id="rId423" Type="http://schemas.openxmlformats.org/officeDocument/2006/relationships/hyperlink" Target="https://en.wikipedia.org/wiki/Mauro_Piacenza" TargetMode="External"/><Relationship Id="rId665" Type="http://schemas.openxmlformats.org/officeDocument/2006/relationships/hyperlink" Target="https://en.wikipedia.org/wiki/Roman_Catholic_Archdiocese_of_Guadalajara" TargetMode="External"/><Relationship Id="rId429" Type="http://schemas.openxmlformats.org/officeDocument/2006/relationships/hyperlink" Target="https://en.wikipedia.org/wiki/Cardinal_deacon" TargetMode="External"/><Relationship Id="rId428" Type="http://schemas.openxmlformats.org/officeDocument/2006/relationships/hyperlink" Target="https://en.wikipedia.org/wiki/Italy" TargetMode="External"/><Relationship Id="rId427" Type="http://schemas.openxmlformats.org/officeDocument/2006/relationships/hyperlink" Target="https://en.wikipedia.org/wiki/Velasio_De_Paolis" TargetMode="External"/><Relationship Id="rId669" Type="http://schemas.openxmlformats.org/officeDocument/2006/relationships/hyperlink" Target="https://en.wikipedia.org/wiki/Roman_Catholic_Archdiocese_of_Palermo" TargetMode="External"/><Relationship Id="rId660" Type="http://schemas.openxmlformats.org/officeDocument/2006/relationships/hyperlink" Target="https://en.wikipedia.org/wiki/Cardinal_priest" TargetMode="External"/><Relationship Id="rId1250" Type="http://schemas.openxmlformats.org/officeDocument/2006/relationships/hyperlink" Target="https://en.wikipedia.org/wiki/Pio_Taofinu%CA%BBu" TargetMode="External"/><Relationship Id="rId1251" Type="http://schemas.openxmlformats.org/officeDocument/2006/relationships/hyperlink" Target="https://en.wikipedia.org/wiki/Western_Samoa" TargetMode="External"/><Relationship Id="rId1010" Type="http://schemas.openxmlformats.org/officeDocument/2006/relationships/hyperlink" Target="https://en.wikipedia.org/wiki/Owen_McCann" TargetMode="External"/><Relationship Id="rId1252" Type="http://schemas.openxmlformats.org/officeDocument/2006/relationships/hyperlink" Target="https://en.wikipedia.org/wiki/Cardinal_priest" TargetMode="External"/><Relationship Id="rId422" Type="http://schemas.openxmlformats.org/officeDocument/2006/relationships/hyperlink" Target="https://en.wikipedia.org/wiki/Sovereign_Military_Order_of_Malta" TargetMode="External"/><Relationship Id="rId664" Type="http://schemas.openxmlformats.org/officeDocument/2006/relationships/hyperlink" Target="https://en.wikipedia.org/wiki/Cardinal_priest" TargetMode="External"/><Relationship Id="rId1011" Type="http://schemas.openxmlformats.org/officeDocument/2006/relationships/hyperlink" Target="https://en.wikipedia.org/wiki/South_Africa" TargetMode="External"/><Relationship Id="rId1253" Type="http://schemas.openxmlformats.org/officeDocument/2006/relationships/hyperlink" Target="https://en.wikipedia.org/wiki/Roman_Catholic_Diocese_of_Samoa_and_Tokelau" TargetMode="External"/><Relationship Id="rId421" Type="http://schemas.openxmlformats.org/officeDocument/2006/relationships/hyperlink" Target="https://en.wikipedia.org/wiki/Cardinal_deacon" TargetMode="External"/><Relationship Id="rId663" Type="http://schemas.openxmlformats.org/officeDocument/2006/relationships/hyperlink" Target="https://en.wikipedia.org/wiki/Mexico" TargetMode="External"/><Relationship Id="rId1012" Type="http://schemas.openxmlformats.org/officeDocument/2006/relationships/hyperlink" Target="https://en.wikipedia.org/wiki/Cardinal_priest" TargetMode="External"/><Relationship Id="rId1254" Type="http://schemas.openxmlformats.org/officeDocument/2006/relationships/hyperlink" Target="https://en.wikipedia.org/wiki/Octavio_Antonio_Beras_Rojas" TargetMode="External"/><Relationship Id="rId420" Type="http://schemas.openxmlformats.org/officeDocument/2006/relationships/hyperlink" Target="https://en.wikipedia.org/wiki/Italy" TargetMode="External"/><Relationship Id="rId662" Type="http://schemas.openxmlformats.org/officeDocument/2006/relationships/hyperlink" Target="https://en.wikipedia.org/wiki/Juan_Sandoval_%C3%8D%C3%B1iguez" TargetMode="External"/><Relationship Id="rId1013" Type="http://schemas.openxmlformats.org/officeDocument/2006/relationships/hyperlink" Target="https://en.wikipedia.org/wiki/Roman_Catholic_Archdiocese_of_Cape_Town" TargetMode="External"/><Relationship Id="rId1255" Type="http://schemas.openxmlformats.org/officeDocument/2006/relationships/hyperlink" Target="https://en.wikipedia.org/wiki/Dominican_Republic" TargetMode="External"/><Relationship Id="rId661" Type="http://schemas.openxmlformats.org/officeDocument/2006/relationships/hyperlink" Target="https://en.wikipedia.org/wiki/Roman_Catholic_Archdiocese_of_Antananarivo" TargetMode="External"/><Relationship Id="rId1014" Type="http://schemas.openxmlformats.org/officeDocument/2006/relationships/hyperlink" Target="https://en.wikipedia.org/wiki/L%C3%A9on-%C3%89tienne_Duval" TargetMode="External"/><Relationship Id="rId1256" Type="http://schemas.openxmlformats.org/officeDocument/2006/relationships/hyperlink" Target="https://en.wikipedia.org/wiki/Cardinal_priest" TargetMode="External"/><Relationship Id="rId1004" Type="http://schemas.openxmlformats.org/officeDocument/2006/relationships/hyperlink" Target="https://en.wikipedia.org/wiki/Cardinal_priest" TargetMode="External"/><Relationship Id="rId1246" Type="http://schemas.openxmlformats.org/officeDocument/2006/relationships/hyperlink" Target="https://en.wikipedia.org/wiki/Hermann_Volk" TargetMode="External"/><Relationship Id="rId1005" Type="http://schemas.openxmlformats.org/officeDocument/2006/relationships/hyperlink" Target="https://en.wikipedia.org/wiki/Roman_Catholic_Archdiocese_of_Colombo" TargetMode="External"/><Relationship Id="rId1247" Type="http://schemas.openxmlformats.org/officeDocument/2006/relationships/hyperlink" Target="https://en.wikipedia.org/wiki/West_Germany" TargetMode="External"/><Relationship Id="rId1006" Type="http://schemas.openxmlformats.org/officeDocument/2006/relationships/hyperlink" Target="https://en.wikipedia.org/wiki/Maurice_Roy" TargetMode="External"/><Relationship Id="rId1248" Type="http://schemas.openxmlformats.org/officeDocument/2006/relationships/hyperlink" Target="https://en.wikipedia.org/wiki/Cardinal_priest" TargetMode="External"/><Relationship Id="rId1007" Type="http://schemas.openxmlformats.org/officeDocument/2006/relationships/hyperlink" Target="https://en.wikipedia.org/wiki/Canada" TargetMode="External"/><Relationship Id="rId1249" Type="http://schemas.openxmlformats.org/officeDocument/2006/relationships/hyperlink" Target="https://en.wikipedia.org/wiki/Roman_Catholic_Diocese_of_Mainz" TargetMode="External"/><Relationship Id="rId1008" Type="http://schemas.openxmlformats.org/officeDocument/2006/relationships/hyperlink" Target="https://en.wikipedia.org/wiki/Cardinal_priest" TargetMode="External"/><Relationship Id="rId1009" Type="http://schemas.openxmlformats.org/officeDocument/2006/relationships/hyperlink" Target="https://en.wikipedia.org/wiki/Roman_Catholic_Archdiocese_of_Quebec" TargetMode="External"/><Relationship Id="rId415" Type="http://schemas.openxmlformats.org/officeDocument/2006/relationships/hyperlink" Target="https://en.wikipedia.org/wiki/Kurt_Koch" TargetMode="External"/><Relationship Id="rId657" Type="http://schemas.openxmlformats.org/officeDocument/2006/relationships/hyperlink" Target="https://en.wikipedia.org/wiki/Roman_Catholic_Archdiocese_of_Vrhbosna" TargetMode="External"/><Relationship Id="rId899" Type="http://schemas.openxmlformats.org/officeDocument/2006/relationships/hyperlink" Target="https://en.wikipedia.org/wiki/Italy" TargetMode="External"/><Relationship Id="rId414" Type="http://schemas.openxmlformats.org/officeDocument/2006/relationships/hyperlink" Target="https://en.wikipedia.org/wiki/Supreme_Tribunal_of_the_Apostolic_Signatura" TargetMode="External"/><Relationship Id="rId656" Type="http://schemas.openxmlformats.org/officeDocument/2006/relationships/hyperlink" Target="https://en.wikipedia.org/wiki/Cardinal_priest" TargetMode="External"/><Relationship Id="rId898" Type="http://schemas.openxmlformats.org/officeDocument/2006/relationships/hyperlink" Target="https://en.wikipedia.org/wiki/Crescenzio_Sepe" TargetMode="External"/><Relationship Id="rId413" Type="http://schemas.openxmlformats.org/officeDocument/2006/relationships/hyperlink" Target="https://en.wikipedia.org/wiki/Cardinal_deacon" TargetMode="External"/><Relationship Id="rId655" Type="http://schemas.openxmlformats.org/officeDocument/2006/relationships/hyperlink" Target="https://en.wikipedia.org/wiki/Bosnia_and_Herzegovina" TargetMode="External"/><Relationship Id="rId897" Type="http://schemas.openxmlformats.org/officeDocument/2006/relationships/hyperlink" Target="https://en.wikipedia.org/wiki/Congregation_for_the_Causes_of_Saints" TargetMode="External"/><Relationship Id="rId412" Type="http://schemas.openxmlformats.org/officeDocument/2006/relationships/hyperlink" Target="https://en.wikipedia.org/wiki/United_States" TargetMode="External"/><Relationship Id="rId654" Type="http://schemas.openxmlformats.org/officeDocument/2006/relationships/hyperlink" Target="https://en.wikipedia.org/wiki/Vinko_Pulji%C4%87" TargetMode="External"/><Relationship Id="rId896" Type="http://schemas.openxmlformats.org/officeDocument/2006/relationships/hyperlink" Target="https://en.wikipedia.org/wiki/Cardinal_deacon" TargetMode="External"/><Relationship Id="rId419" Type="http://schemas.openxmlformats.org/officeDocument/2006/relationships/hyperlink" Target="https://en.wikipedia.org/wiki/Paolo_Sardi" TargetMode="External"/><Relationship Id="rId418" Type="http://schemas.openxmlformats.org/officeDocument/2006/relationships/hyperlink" Target="https://en.wikipedia.org/wiki/Pontifical_Council_for_Promoting_Christian_Unity" TargetMode="External"/><Relationship Id="rId417" Type="http://schemas.openxmlformats.org/officeDocument/2006/relationships/hyperlink" Target="https://en.wikipedia.org/wiki/Cardinal_deacon" TargetMode="External"/><Relationship Id="rId659" Type="http://schemas.openxmlformats.org/officeDocument/2006/relationships/hyperlink" Target="https://en.wikipedia.org/wiki/Madagascar" TargetMode="External"/><Relationship Id="rId416" Type="http://schemas.openxmlformats.org/officeDocument/2006/relationships/hyperlink" Target="https://en.wikipedia.org/wiki/Switzerland" TargetMode="External"/><Relationship Id="rId658" Type="http://schemas.openxmlformats.org/officeDocument/2006/relationships/hyperlink" Target="https://en.wikipedia.org/wiki/Armand_Gaetan_Razafindratandra" TargetMode="External"/><Relationship Id="rId891" Type="http://schemas.openxmlformats.org/officeDocument/2006/relationships/hyperlink" Target="https://en.wikipedia.org/wiki/Poland" TargetMode="External"/><Relationship Id="rId890" Type="http://schemas.openxmlformats.org/officeDocument/2006/relationships/hyperlink" Target="https://en.wikipedia.org/wiki/Zenon_Grocholewski" TargetMode="External"/><Relationship Id="rId1240" Type="http://schemas.openxmlformats.org/officeDocument/2006/relationships/hyperlink" Target="https://en.wikipedia.org/wiki/Cardinal_priest" TargetMode="External"/><Relationship Id="rId1241" Type="http://schemas.openxmlformats.org/officeDocument/2006/relationships/hyperlink" Target="https://en.wikipedia.org/wiki/Roman_Catholic_Archdiocese_of_Sydney" TargetMode="External"/><Relationship Id="rId411" Type="http://schemas.openxmlformats.org/officeDocument/2006/relationships/hyperlink" Target="https://en.wikipedia.org/wiki/Raymond_Leo_Burke" TargetMode="External"/><Relationship Id="rId653" Type="http://schemas.openxmlformats.org/officeDocument/2006/relationships/hyperlink" Target="https://en.wikipedia.org/wiki/Roman_Catholic_Archdiocese_of_Detroit" TargetMode="External"/><Relationship Id="rId895" Type="http://schemas.openxmlformats.org/officeDocument/2006/relationships/hyperlink" Target="https://en.wikipedia.org/wiki/Portugal" TargetMode="External"/><Relationship Id="rId1000" Type="http://schemas.openxmlformats.org/officeDocument/2006/relationships/hyperlink" Target="https://en.wikipedia.org/wiki/Cardinal_priest" TargetMode="External"/><Relationship Id="rId1242" Type="http://schemas.openxmlformats.org/officeDocument/2006/relationships/hyperlink" Target="https://en.wikipedia.org/wiki/Narciso_Jubany_Arnau" TargetMode="External"/><Relationship Id="rId410" Type="http://schemas.openxmlformats.org/officeDocument/2006/relationships/hyperlink" Target="https://en.wikipedia.org/wiki/Papal_Basilica_of_Saint_Paul_Outside_the_Walls" TargetMode="External"/><Relationship Id="rId652" Type="http://schemas.openxmlformats.org/officeDocument/2006/relationships/hyperlink" Target="https://en.wikipedia.org/wiki/Cardinal_priest" TargetMode="External"/><Relationship Id="rId894" Type="http://schemas.openxmlformats.org/officeDocument/2006/relationships/hyperlink" Target="https://en.wikipedia.org/wiki/Jos%C3%A9_Saraiva_Martins" TargetMode="External"/><Relationship Id="rId1001" Type="http://schemas.openxmlformats.org/officeDocument/2006/relationships/hyperlink" Target="https://en.wikipedia.org/wiki/Roman_Catholic_Archdiocese_of_Mechelen%E2%80%93Brussels" TargetMode="External"/><Relationship Id="rId1243" Type="http://schemas.openxmlformats.org/officeDocument/2006/relationships/hyperlink" Target="https://en.wikipedia.org/wiki/Spanish_transition_to_democracy" TargetMode="External"/><Relationship Id="rId651" Type="http://schemas.openxmlformats.org/officeDocument/2006/relationships/hyperlink" Target="https://en.wikipedia.org/wiki/United_States" TargetMode="External"/><Relationship Id="rId893" Type="http://schemas.openxmlformats.org/officeDocument/2006/relationships/hyperlink" Target="https://en.wikipedia.org/wiki/Congregation_for_Catholic_Education" TargetMode="External"/><Relationship Id="rId1002" Type="http://schemas.openxmlformats.org/officeDocument/2006/relationships/hyperlink" Target="https://en.wikipedia.org/wiki/Thomas_Benjamin_Cooray" TargetMode="External"/><Relationship Id="rId1244" Type="http://schemas.openxmlformats.org/officeDocument/2006/relationships/hyperlink" Target="https://en.wikipedia.org/wiki/Cardinal_priest" TargetMode="External"/><Relationship Id="rId650" Type="http://schemas.openxmlformats.org/officeDocument/2006/relationships/hyperlink" Target="https://en.wikipedia.org/wiki/Adam_Joseph_Maida" TargetMode="External"/><Relationship Id="rId892" Type="http://schemas.openxmlformats.org/officeDocument/2006/relationships/hyperlink" Target="https://en.wikipedia.org/wiki/Cardinal_deacon" TargetMode="External"/><Relationship Id="rId1003" Type="http://schemas.openxmlformats.org/officeDocument/2006/relationships/hyperlink" Target="https://en.wikipedia.org/wiki/Sri_Lanka" TargetMode="External"/><Relationship Id="rId1245" Type="http://schemas.openxmlformats.org/officeDocument/2006/relationships/hyperlink" Target="https://en.wikipedia.org/wiki/Roman_Catholic_Archdiocese_of_Barcelona" TargetMode="External"/><Relationship Id="rId1037" Type="http://schemas.openxmlformats.org/officeDocument/2006/relationships/hyperlink" Target="https://en.wikipedia.org/wiki/Roman_Catholic_Archdiocese_of_Milan" TargetMode="External"/><Relationship Id="rId1279" Type="http://schemas.openxmlformats.org/officeDocument/2006/relationships/hyperlink" Target="https://en.wikipedia.org/wiki/Philippines" TargetMode="External"/><Relationship Id="rId1038" Type="http://schemas.openxmlformats.org/officeDocument/2006/relationships/hyperlink" Target="https://en.wikipedia.org/wiki/Gabriel-Marie_Garrone" TargetMode="External"/><Relationship Id="rId1039" Type="http://schemas.openxmlformats.org/officeDocument/2006/relationships/hyperlink" Target="https://en.wikipedia.org/wiki/France" TargetMode="External"/><Relationship Id="rId206" Type="http://schemas.openxmlformats.org/officeDocument/2006/relationships/hyperlink" Target="https://en.wikipedia.org/wiki/Roman_Catholic_Archdiocese_of_Esztergom%E2%80%93Budapest" TargetMode="External"/><Relationship Id="rId448" Type="http://schemas.openxmlformats.org/officeDocument/2006/relationships/hyperlink" Target="https://en.wikipedia.org/wiki/Italy" TargetMode="External"/><Relationship Id="rId205" Type="http://schemas.openxmlformats.org/officeDocument/2006/relationships/hyperlink" Target="https://en.wikipedia.org/wiki/Cardinal_priest" TargetMode="External"/><Relationship Id="rId447" Type="http://schemas.openxmlformats.org/officeDocument/2006/relationships/hyperlink" Target="https://en.wikipedia.org/wiki/Antonio_Maria_Vegli%C3%B2" TargetMode="External"/><Relationship Id="rId689" Type="http://schemas.openxmlformats.org/officeDocument/2006/relationships/hyperlink" Target="https://en.wikipedia.org/wiki/Roman_Catholic_Archdiocese_of_Vienna" TargetMode="External"/><Relationship Id="rId204" Type="http://schemas.openxmlformats.org/officeDocument/2006/relationships/hyperlink" Target="https://en.wikipedia.org/wiki/Hungary" TargetMode="External"/><Relationship Id="rId446" Type="http://schemas.openxmlformats.org/officeDocument/2006/relationships/hyperlink" Target="https://en.wikipedia.org/wiki/Papal_Basilica_of_Saint_Mary_Major" TargetMode="External"/><Relationship Id="rId688" Type="http://schemas.openxmlformats.org/officeDocument/2006/relationships/hyperlink" Target="https://en.wikipedia.org/wiki/Cardinal_priest" TargetMode="External"/><Relationship Id="rId203" Type="http://schemas.openxmlformats.org/officeDocument/2006/relationships/hyperlink" Target="https://en.wikipedia.org/wiki/P%C3%A9ter_Erd%C5%91" TargetMode="External"/><Relationship Id="rId445" Type="http://schemas.openxmlformats.org/officeDocument/2006/relationships/hyperlink" Target="https://en.wikipedia.org/wiki/Cardinal_deacon" TargetMode="External"/><Relationship Id="rId687" Type="http://schemas.openxmlformats.org/officeDocument/2006/relationships/hyperlink" Target="https://en.wikipedia.org/wiki/Austria" TargetMode="External"/><Relationship Id="rId209" Type="http://schemas.openxmlformats.org/officeDocument/2006/relationships/hyperlink" Target="https://en.wikipedia.org/wiki/Cardinal_priest" TargetMode="External"/><Relationship Id="rId208" Type="http://schemas.openxmlformats.org/officeDocument/2006/relationships/hyperlink" Target="https://en.wikipedia.org/wiki/Canada" TargetMode="External"/><Relationship Id="rId207" Type="http://schemas.openxmlformats.org/officeDocument/2006/relationships/hyperlink" Target="https://en.wikipedia.org/wiki/Marc_Ouellet" TargetMode="External"/><Relationship Id="rId449" Type="http://schemas.openxmlformats.org/officeDocument/2006/relationships/hyperlink" Target="https://en.wikipedia.org/wiki/Cardinal_deacon" TargetMode="External"/><Relationship Id="rId1270" Type="http://schemas.openxmlformats.org/officeDocument/2006/relationships/hyperlink" Target="https://en.wikipedia.org/wiki/Emmanuel_Nsubuga" TargetMode="External"/><Relationship Id="rId440" Type="http://schemas.openxmlformats.org/officeDocument/2006/relationships/hyperlink" Target="https://en.wikipedia.org/wiki/Portugal" TargetMode="External"/><Relationship Id="rId682" Type="http://schemas.openxmlformats.org/officeDocument/2006/relationships/hyperlink" Target="https://en.wikipedia.org/wiki/Polycarp_Pengo" TargetMode="External"/><Relationship Id="rId1271" Type="http://schemas.openxmlformats.org/officeDocument/2006/relationships/hyperlink" Target="https://en.wikipedia.org/wiki/Uganda" TargetMode="External"/><Relationship Id="rId681" Type="http://schemas.openxmlformats.org/officeDocument/2006/relationships/hyperlink" Target="https://en.wikipedia.org/wiki/Roman_Catholic_Archdiocese_of_Milan" TargetMode="External"/><Relationship Id="rId1030" Type="http://schemas.openxmlformats.org/officeDocument/2006/relationships/hyperlink" Target="https://en.wikipedia.org/wiki/Agnelo_Rossi" TargetMode="External"/><Relationship Id="rId1272" Type="http://schemas.openxmlformats.org/officeDocument/2006/relationships/hyperlink" Target="https://en.wikipedia.org/wiki/Cardinal_priest" TargetMode="External"/><Relationship Id="rId680" Type="http://schemas.openxmlformats.org/officeDocument/2006/relationships/hyperlink" Target="https://en.wikipedia.org/wiki/Cardinal_priest" TargetMode="External"/><Relationship Id="rId1031" Type="http://schemas.openxmlformats.org/officeDocument/2006/relationships/hyperlink" Target="https://en.wikipedia.org/wiki/Brazil" TargetMode="External"/><Relationship Id="rId1273" Type="http://schemas.openxmlformats.org/officeDocument/2006/relationships/hyperlink" Target="https://en.wikipedia.org/wiki/Roman_Catholic_Archdiocese_of_Kampala" TargetMode="External"/><Relationship Id="rId1032" Type="http://schemas.openxmlformats.org/officeDocument/2006/relationships/hyperlink" Target="https://en.wikipedia.org/wiki/Cardinal_priest" TargetMode="External"/><Relationship Id="rId1274" Type="http://schemas.openxmlformats.org/officeDocument/2006/relationships/hyperlink" Target="https://en.wikipedia.org/wiki/Lawrence_Trevor_Picachy" TargetMode="External"/><Relationship Id="rId202" Type="http://schemas.openxmlformats.org/officeDocument/2006/relationships/hyperlink" Target="https://en.wikipedia.org/wiki/Roman_Catholic_Archdiocese_of_Lyon" TargetMode="External"/><Relationship Id="rId444" Type="http://schemas.openxmlformats.org/officeDocument/2006/relationships/hyperlink" Target="https://en.wikipedia.org/wiki/Spain" TargetMode="External"/><Relationship Id="rId686" Type="http://schemas.openxmlformats.org/officeDocument/2006/relationships/hyperlink" Target="https://en.wikipedia.org/wiki/Christoph_Sch%C3%B6nborn" TargetMode="External"/><Relationship Id="rId1033" Type="http://schemas.openxmlformats.org/officeDocument/2006/relationships/hyperlink" Target="https://en.wikipedia.org/wiki/Sacred_Congregation_for_the_Evangelization_of_Peoples" TargetMode="External"/><Relationship Id="rId1275" Type="http://schemas.openxmlformats.org/officeDocument/2006/relationships/hyperlink" Target="https://en.wikipedia.org/wiki/India" TargetMode="External"/><Relationship Id="rId201" Type="http://schemas.openxmlformats.org/officeDocument/2006/relationships/hyperlink" Target="https://en.wikipedia.org/wiki/Cardinal_priest" TargetMode="External"/><Relationship Id="rId443" Type="http://schemas.openxmlformats.org/officeDocument/2006/relationships/hyperlink" Target="https://en.wikipedia.org/wiki/Santos_Abril_y_Castell%C3%B3" TargetMode="External"/><Relationship Id="rId685" Type="http://schemas.openxmlformats.org/officeDocument/2006/relationships/hyperlink" Target="https://en.wikipedia.org/wiki/Roman_Catholic_Archdiocese_of_Dar-es-Salaam" TargetMode="External"/><Relationship Id="rId1034" Type="http://schemas.openxmlformats.org/officeDocument/2006/relationships/hyperlink" Target="https://en.wikipedia.org/wiki/Giovanni_Colombo" TargetMode="External"/><Relationship Id="rId1276" Type="http://schemas.openxmlformats.org/officeDocument/2006/relationships/hyperlink" Target="https://en.wikipedia.org/wiki/Cardinal_priest" TargetMode="External"/><Relationship Id="rId200" Type="http://schemas.openxmlformats.org/officeDocument/2006/relationships/hyperlink" Target="https://en.wikipedia.org/wiki/France" TargetMode="External"/><Relationship Id="rId442" Type="http://schemas.openxmlformats.org/officeDocument/2006/relationships/hyperlink" Target="https://en.wikipedia.org/wiki/Apostolic_Penitentiary" TargetMode="External"/><Relationship Id="rId684" Type="http://schemas.openxmlformats.org/officeDocument/2006/relationships/hyperlink" Target="https://en.wikipedia.org/wiki/Cardinal_priest" TargetMode="External"/><Relationship Id="rId1035" Type="http://schemas.openxmlformats.org/officeDocument/2006/relationships/hyperlink" Target="https://en.wikipedia.org/wiki/Italy" TargetMode="External"/><Relationship Id="rId1277" Type="http://schemas.openxmlformats.org/officeDocument/2006/relationships/hyperlink" Target="https://en.wikipedia.org/wiki/Roman_Catholic_Archdiocese_of_Calcutta" TargetMode="External"/><Relationship Id="rId441" Type="http://schemas.openxmlformats.org/officeDocument/2006/relationships/hyperlink" Target="https://en.wikipedia.org/wiki/Cardinal_deacon" TargetMode="External"/><Relationship Id="rId683" Type="http://schemas.openxmlformats.org/officeDocument/2006/relationships/hyperlink" Target="https://en.wikipedia.org/wiki/Tanzania" TargetMode="External"/><Relationship Id="rId1036" Type="http://schemas.openxmlformats.org/officeDocument/2006/relationships/hyperlink" Target="https://en.wikipedia.org/wiki/Cardinal_priest" TargetMode="External"/><Relationship Id="rId1278" Type="http://schemas.openxmlformats.org/officeDocument/2006/relationships/hyperlink" Target="https://en.wikipedia.org/wiki/Jaime_Lachica_Sin" TargetMode="External"/><Relationship Id="rId1026" Type="http://schemas.openxmlformats.org/officeDocument/2006/relationships/hyperlink" Target="https://en.wikipedia.org/wiki/Paul_Zoungrana" TargetMode="External"/><Relationship Id="rId1268" Type="http://schemas.openxmlformats.org/officeDocument/2006/relationships/hyperlink" Target="https://en.wikipedia.org/wiki/Cardinal_priest" TargetMode="External"/><Relationship Id="rId1027" Type="http://schemas.openxmlformats.org/officeDocument/2006/relationships/hyperlink" Target="https://en.wikipedia.org/wiki/Republic_of_Upper_Volta" TargetMode="External"/><Relationship Id="rId1269" Type="http://schemas.openxmlformats.org/officeDocument/2006/relationships/hyperlink" Target="https://en.wikipedia.org/wiki/Roman_Catholic_Archdiocese_of_Dakar" TargetMode="External"/><Relationship Id="rId1028" Type="http://schemas.openxmlformats.org/officeDocument/2006/relationships/hyperlink" Target="https://en.wikipedia.org/wiki/Cardinal_priest" TargetMode="External"/><Relationship Id="rId1029" Type="http://schemas.openxmlformats.org/officeDocument/2006/relationships/hyperlink" Target="https://en.wikipedia.org/wiki/Roman_Catholic_Archdiocese_of_Ouagadougou" TargetMode="External"/><Relationship Id="rId437" Type="http://schemas.openxmlformats.org/officeDocument/2006/relationships/hyperlink" Target="https://en.wikipedia.org/wiki/Cardinal_deacon" TargetMode="External"/><Relationship Id="rId679" Type="http://schemas.openxmlformats.org/officeDocument/2006/relationships/hyperlink" Target="https://en.wikipedia.org/wiki/Italy" TargetMode="External"/><Relationship Id="rId436" Type="http://schemas.openxmlformats.org/officeDocument/2006/relationships/hyperlink" Target="https://en.wikipedia.org/wiki/Italy" TargetMode="External"/><Relationship Id="rId678" Type="http://schemas.openxmlformats.org/officeDocument/2006/relationships/hyperlink" Target="https://en.wikipedia.org/wiki/Dionigi_Tettamanzi" TargetMode="External"/><Relationship Id="rId435" Type="http://schemas.openxmlformats.org/officeDocument/2006/relationships/hyperlink" Target="https://en.wikipedia.org/wiki/Fernando_Filoni" TargetMode="External"/><Relationship Id="rId677" Type="http://schemas.openxmlformats.org/officeDocument/2006/relationships/hyperlink" Target="https://en.wikipedia.org/wiki/Roman_Catholic_Archdiocese_of_Toronto" TargetMode="External"/><Relationship Id="rId434" Type="http://schemas.openxmlformats.org/officeDocument/2006/relationships/hyperlink" Target="https://en.wikipedia.org/wiki/Pontifical_Council_for_Culture" TargetMode="External"/><Relationship Id="rId676" Type="http://schemas.openxmlformats.org/officeDocument/2006/relationships/hyperlink" Target="https://en.wikipedia.org/wiki/Cardinal_priest" TargetMode="External"/><Relationship Id="rId439" Type="http://schemas.openxmlformats.org/officeDocument/2006/relationships/hyperlink" Target="https://en.wikipedia.org/wiki/Manuel_Monteiro_de_Castro" TargetMode="External"/><Relationship Id="rId438" Type="http://schemas.openxmlformats.org/officeDocument/2006/relationships/hyperlink" Target="https://en.wikipedia.org/wiki/Congregation_for_the_Evangelization_of_Peoples" TargetMode="External"/><Relationship Id="rId671" Type="http://schemas.openxmlformats.org/officeDocument/2006/relationships/hyperlink" Target="https://en.wikipedia.org/wiki/Spain" TargetMode="External"/><Relationship Id="rId1260" Type="http://schemas.openxmlformats.org/officeDocument/2006/relationships/hyperlink" Target="https://en.wikipedia.org/wiki/Cardinal_priest" TargetMode="External"/><Relationship Id="rId670" Type="http://schemas.openxmlformats.org/officeDocument/2006/relationships/hyperlink" Target="https://en.wikipedia.org/wiki/Antonio_Mar%C3%ADa_Rouco_Varela" TargetMode="External"/><Relationship Id="rId1261" Type="http://schemas.openxmlformats.org/officeDocument/2006/relationships/hyperlink" Target="https://en.wikipedia.org/wiki/Roman_Catholic_Archdiocese_of_Buenos_Aires" TargetMode="External"/><Relationship Id="rId1020" Type="http://schemas.openxmlformats.org/officeDocument/2006/relationships/hyperlink" Target="https://en.wikipedia.org/wiki/Cardinal_priest" TargetMode="External"/><Relationship Id="rId1262" Type="http://schemas.openxmlformats.org/officeDocument/2006/relationships/hyperlink" Target="https://en.wikipedia.org/wiki/Joseph-Marie_Tr%E1%BB%8Bnh_Nh%C6%B0_Khu%C3%AA" TargetMode="External"/><Relationship Id="rId1021" Type="http://schemas.openxmlformats.org/officeDocument/2006/relationships/hyperlink" Target="https://en.wikipedia.org/wiki/Roman_Catholic_Archdiocese_of_Florence" TargetMode="External"/><Relationship Id="rId1263" Type="http://schemas.openxmlformats.org/officeDocument/2006/relationships/hyperlink" Target="https://en.wikipedia.org/wiki/Vietnam" TargetMode="External"/><Relationship Id="rId433" Type="http://schemas.openxmlformats.org/officeDocument/2006/relationships/hyperlink" Target="https://en.wikipedia.org/wiki/Cardinal_deacon" TargetMode="External"/><Relationship Id="rId675" Type="http://schemas.openxmlformats.org/officeDocument/2006/relationships/hyperlink" Target="https://en.wikipedia.org/wiki/Canada" TargetMode="External"/><Relationship Id="rId1022" Type="http://schemas.openxmlformats.org/officeDocument/2006/relationships/hyperlink" Target="https://en.wikipedia.org/wiki/Franjo_%C5%A0eper" TargetMode="External"/><Relationship Id="rId1264" Type="http://schemas.openxmlformats.org/officeDocument/2006/relationships/hyperlink" Target="https://en.wikipedia.org/wiki/Cardinal_priest" TargetMode="External"/><Relationship Id="rId432" Type="http://schemas.openxmlformats.org/officeDocument/2006/relationships/hyperlink" Target="https://en.wikipedia.org/wiki/Italy" TargetMode="External"/><Relationship Id="rId674" Type="http://schemas.openxmlformats.org/officeDocument/2006/relationships/hyperlink" Target="https://en.wikipedia.org/wiki/Aloysius_Matthew_Ambrozic" TargetMode="External"/><Relationship Id="rId1023" Type="http://schemas.openxmlformats.org/officeDocument/2006/relationships/hyperlink" Target="https://en.wikipedia.org/wiki/Socialist_Federal_Republic_of_Yugoslavia" TargetMode="External"/><Relationship Id="rId1265" Type="http://schemas.openxmlformats.org/officeDocument/2006/relationships/hyperlink" Target="https://en.wikipedia.org/wiki/Roman_Catholic_Archdiocese_of_Hanoi" TargetMode="External"/><Relationship Id="rId431" Type="http://schemas.openxmlformats.org/officeDocument/2006/relationships/hyperlink" Target="https://en.wikipedia.org/wiki/Gianfranco_Ravasi" TargetMode="External"/><Relationship Id="rId673" Type="http://schemas.openxmlformats.org/officeDocument/2006/relationships/hyperlink" Target="https://en.wikipedia.org/wiki/Roman_Catholic_Archdiocese_of_Madrid" TargetMode="External"/><Relationship Id="rId1024" Type="http://schemas.openxmlformats.org/officeDocument/2006/relationships/hyperlink" Target="https://en.wikipedia.org/wiki/Cardinal_priest" TargetMode="External"/><Relationship Id="rId1266" Type="http://schemas.openxmlformats.org/officeDocument/2006/relationships/hyperlink" Target="https://en.wikipedia.org/wiki/Hyacinthe_Thiandoum" TargetMode="External"/><Relationship Id="rId430" Type="http://schemas.openxmlformats.org/officeDocument/2006/relationships/hyperlink" Target="https://en.wikipedia.org/wiki/Prefecture_for_the_Economic_Affairs_of_the_Holy_See" TargetMode="External"/><Relationship Id="rId672" Type="http://schemas.openxmlformats.org/officeDocument/2006/relationships/hyperlink" Target="https://en.wikipedia.org/wiki/Cardinal_priest" TargetMode="External"/><Relationship Id="rId1025" Type="http://schemas.openxmlformats.org/officeDocument/2006/relationships/hyperlink" Target="https://en.wikipedia.org/wiki/Sacred_Congregation_for_the_Doctrine_of_the_Faith" TargetMode="External"/><Relationship Id="rId1267" Type="http://schemas.openxmlformats.org/officeDocument/2006/relationships/hyperlink" Target="https://en.wikipedia.org/wiki/Senegal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France" TargetMode="External"/><Relationship Id="rId194" Type="http://schemas.openxmlformats.org/officeDocument/2006/relationships/hyperlink" Target="https://en.wikipedia.org/wiki/Hungary" TargetMode="External"/><Relationship Id="rId193" Type="http://schemas.openxmlformats.org/officeDocument/2006/relationships/hyperlink" Target="https://en.wikipedia.org/wiki/P%C3%A9ter_Erd%C5%91" TargetMode="External"/><Relationship Id="rId192" Type="http://schemas.openxmlformats.org/officeDocument/2006/relationships/hyperlink" Target="https://en.wikipedia.org/wiki/Roman_Catholic_Archdiocese_of_Lyon" TargetMode="External"/><Relationship Id="rId191" Type="http://schemas.openxmlformats.org/officeDocument/2006/relationships/hyperlink" Target="https://en.wikipedia.org/wiki/Cardinal_priest" TargetMode="External"/><Relationship Id="rId187" Type="http://schemas.openxmlformats.org/officeDocument/2006/relationships/hyperlink" Target="https://en.wikipedia.org/wiki/Cardinal_priest" TargetMode="External"/><Relationship Id="rId186" Type="http://schemas.openxmlformats.org/officeDocument/2006/relationships/hyperlink" Target="https://en.wikipedia.org/wiki/Vietnam" TargetMode="External"/><Relationship Id="rId185" Type="http://schemas.openxmlformats.org/officeDocument/2006/relationships/hyperlink" Target="https://en.wikipedia.org/wiki/Jean-Baptiste_Ph%E1%BA%A1m_Minh_M%E1%BA%ABn" TargetMode="External"/><Relationship Id="rId184" Type="http://schemas.openxmlformats.org/officeDocument/2006/relationships/hyperlink" Target="https://en.wikipedia.org/wiki/Roman_Catholic_Archdiocese_of_Zagreb" TargetMode="External"/><Relationship Id="rId189" Type="http://schemas.openxmlformats.org/officeDocument/2006/relationships/hyperlink" Target="https://en.wikipedia.org/wiki/Philippe_Barbarin" TargetMode="External"/><Relationship Id="rId188" Type="http://schemas.openxmlformats.org/officeDocument/2006/relationships/hyperlink" Target="https://en.wikipedia.org/wiki/Roman_Catholic_Archdiocese_of_Ho_Chi_Minh_City" TargetMode="External"/><Relationship Id="rId183" Type="http://schemas.openxmlformats.org/officeDocument/2006/relationships/hyperlink" Target="https://en.wikipedia.org/wiki/Cardinal_priest" TargetMode="External"/><Relationship Id="rId182" Type="http://schemas.openxmlformats.org/officeDocument/2006/relationships/hyperlink" Target="https://en.wikipedia.org/wiki/Croatia" TargetMode="External"/><Relationship Id="rId181" Type="http://schemas.openxmlformats.org/officeDocument/2006/relationships/hyperlink" Target="https://en.wikipedia.org/wiki/Josip_Bozani%C4%87" TargetMode="External"/><Relationship Id="rId180" Type="http://schemas.openxmlformats.org/officeDocument/2006/relationships/hyperlink" Target="https://en.wikipedia.org/wiki/Pontifical_Academy_of_Sciences" TargetMode="External"/><Relationship Id="rId176" Type="http://schemas.openxmlformats.org/officeDocument/2006/relationships/hyperlink" Target="https://en.wikipedia.org/wiki/Pontifical_Council_for_the_Family" TargetMode="External"/><Relationship Id="rId175" Type="http://schemas.openxmlformats.org/officeDocument/2006/relationships/hyperlink" Target="https://en.wikipedia.org/wiki/Cardinal_priest" TargetMode="External"/><Relationship Id="rId174" Type="http://schemas.openxmlformats.org/officeDocument/2006/relationships/hyperlink" Target="https://en.wikipedia.org/wiki/Italy" TargetMode="External"/><Relationship Id="rId173" Type="http://schemas.openxmlformats.org/officeDocument/2006/relationships/hyperlink" Target="https://en.wikipedia.org/wiki/Ennio_Antonelli" TargetMode="External"/><Relationship Id="rId179" Type="http://schemas.openxmlformats.org/officeDocument/2006/relationships/hyperlink" Target="https://en.wikipedia.org/wiki/Cardinal_priest" TargetMode="External"/><Relationship Id="rId178" Type="http://schemas.openxmlformats.org/officeDocument/2006/relationships/hyperlink" Target="https://en.wikipedia.org/wiki/Ghana" TargetMode="External"/><Relationship Id="rId177" Type="http://schemas.openxmlformats.org/officeDocument/2006/relationships/hyperlink" Target="https://en.wikipedia.org/wiki/Peter_Turkson" TargetMode="External"/><Relationship Id="rId198" Type="http://schemas.openxmlformats.org/officeDocument/2006/relationships/hyperlink" Target="https://en.wikipedia.org/wiki/Slovenia" TargetMode="External"/><Relationship Id="rId197" Type="http://schemas.openxmlformats.org/officeDocument/2006/relationships/hyperlink" Target="https://en.wikipedia.org/wiki/Franc_Rod%C3%A9" TargetMode="External"/><Relationship Id="rId196" Type="http://schemas.openxmlformats.org/officeDocument/2006/relationships/hyperlink" Target="https://en.wikipedia.org/wiki/Roman_Catholic_Archdiocese_of_Esztergom%E2%80%93Budapest" TargetMode="External"/><Relationship Id="rId195" Type="http://schemas.openxmlformats.org/officeDocument/2006/relationships/hyperlink" Target="https://en.wikipedia.org/wiki/Cardinal_priest" TargetMode="External"/><Relationship Id="rId199" Type="http://schemas.openxmlformats.org/officeDocument/2006/relationships/hyperlink" Target="https://en.wikipedia.org/wiki/Cardinal_priest" TargetMode="External"/><Relationship Id="rId150" Type="http://schemas.openxmlformats.org/officeDocument/2006/relationships/hyperlink" Target="https://en.wikipedia.org/wiki/Peru" TargetMode="External"/><Relationship Id="rId392" Type="http://schemas.openxmlformats.org/officeDocument/2006/relationships/hyperlink" Target="https://en.wikipedia.org/wiki/Roman_Catholic_Archdiocese_of_Utrecht" TargetMode="External"/><Relationship Id="rId391" Type="http://schemas.openxmlformats.org/officeDocument/2006/relationships/hyperlink" Target="https://en.wikipedia.org/wiki/Cardinal_priest" TargetMode="External"/><Relationship Id="rId390" Type="http://schemas.openxmlformats.org/officeDocument/2006/relationships/hyperlink" Target="https://en.wikipedia.org/wiki/Netherlands" TargetMode="External"/><Relationship Id="rId1" Type="http://schemas.openxmlformats.org/officeDocument/2006/relationships/hyperlink" Target="https://en.wikipedia.org/wiki/Giovanni_Battista_Re" TargetMode="External"/><Relationship Id="rId2" Type="http://schemas.openxmlformats.org/officeDocument/2006/relationships/hyperlink" Target="https://en.wikipedia.org/wiki/Italy" TargetMode="External"/><Relationship Id="rId3" Type="http://schemas.openxmlformats.org/officeDocument/2006/relationships/hyperlink" Target="https://en.wikipedia.org/wiki/Cardinal_bishop" TargetMode="External"/><Relationship Id="rId149" Type="http://schemas.openxmlformats.org/officeDocument/2006/relationships/hyperlink" Target="https://en.wikipedia.org/wiki/Juan_Luis_Cipriani_Thorne" TargetMode="External"/><Relationship Id="rId4" Type="http://schemas.openxmlformats.org/officeDocument/2006/relationships/hyperlink" Target="https://en.wikipedia.org/wiki/Congregation_for_Bishops" TargetMode="External"/><Relationship Id="rId148" Type="http://schemas.openxmlformats.org/officeDocument/2006/relationships/hyperlink" Target="https://en.wikipedia.org/wiki/Roman_Catholic_Archdiocese_of_Tegucigalpa" TargetMode="External"/><Relationship Id="rId9" Type="http://schemas.openxmlformats.org/officeDocument/2006/relationships/hyperlink" Target="https://en.wikipedia.org/wiki/Francis_Arinze" TargetMode="External"/><Relationship Id="rId143" Type="http://schemas.openxmlformats.org/officeDocument/2006/relationships/hyperlink" Target="https://en.wikipedia.org/wiki/Cardinal_priest" TargetMode="External"/><Relationship Id="rId385" Type="http://schemas.openxmlformats.org/officeDocument/2006/relationships/hyperlink" Target="https://en.wikipedia.org/wiki/Dominik_Duka" TargetMode="External"/><Relationship Id="rId142" Type="http://schemas.openxmlformats.org/officeDocument/2006/relationships/hyperlink" Target="https://en.wikipedia.org/wiki/South_Africa" TargetMode="External"/><Relationship Id="rId384" Type="http://schemas.openxmlformats.org/officeDocument/2006/relationships/hyperlink" Target="https://en.wikipedia.org/wiki/Roman_Catholic_Archdiocese_of_Toronto" TargetMode="External"/><Relationship Id="rId141" Type="http://schemas.openxmlformats.org/officeDocument/2006/relationships/hyperlink" Target="https://en.wikipedia.org/wiki/Wilfrid_Napier" TargetMode="External"/><Relationship Id="rId383" Type="http://schemas.openxmlformats.org/officeDocument/2006/relationships/hyperlink" Target="https://en.wikipedia.org/wiki/Cardinal_priest" TargetMode="External"/><Relationship Id="rId140" Type="http://schemas.openxmlformats.org/officeDocument/2006/relationships/hyperlink" Target="https://en.wikipedia.org/wiki/Roman_Catholic_Archdiocese_of_Santiago_de_Chile" TargetMode="External"/><Relationship Id="rId382" Type="http://schemas.openxmlformats.org/officeDocument/2006/relationships/hyperlink" Target="https://en.wikipedia.org/wiki/Canada" TargetMode="External"/><Relationship Id="rId5" Type="http://schemas.openxmlformats.org/officeDocument/2006/relationships/hyperlink" Target="https://en.wikipedia.org/wiki/Leonardo_Sandri" TargetMode="External"/><Relationship Id="rId147" Type="http://schemas.openxmlformats.org/officeDocument/2006/relationships/hyperlink" Target="https://en.wikipedia.org/wiki/Cardinal_priest" TargetMode="External"/><Relationship Id="rId389" Type="http://schemas.openxmlformats.org/officeDocument/2006/relationships/hyperlink" Target="https://en.wikipedia.org/wiki/Wim_Eijk" TargetMode="External"/><Relationship Id="rId6" Type="http://schemas.openxmlformats.org/officeDocument/2006/relationships/hyperlink" Target="https://en.wikipedia.org/wiki/Argentina" TargetMode="External"/><Relationship Id="rId146" Type="http://schemas.openxmlformats.org/officeDocument/2006/relationships/hyperlink" Target="https://en.wikipedia.org/wiki/Honduras" TargetMode="External"/><Relationship Id="rId388" Type="http://schemas.openxmlformats.org/officeDocument/2006/relationships/hyperlink" Target="https://en.wikipedia.org/wiki/Roman_Catholic_Archdiocese_of_Prague" TargetMode="External"/><Relationship Id="rId7" Type="http://schemas.openxmlformats.org/officeDocument/2006/relationships/hyperlink" Target="https://en.wikipedia.org/wiki/Cardinal_bishop" TargetMode="External"/><Relationship Id="rId145" Type="http://schemas.openxmlformats.org/officeDocument/2006/relationships/hyperlink" Target="https://en.wikipedia.org/wiki/%C3%93scar_Rodr%C3%ADguez_Maradiaga" TargetMode="External"/><Relationship Id="rId387" Type="http://schemas.openxmlformats.org/officeDocument/2006/relationships/hyperlink" Target="https://en.wikipedia.org/wiki/Cardinal_priest" TargetMode="External"/><Relationship Id="rId8" Type="http://schemas.openxmlformats.org/officeDocument/2006/relationships/hyperlink" Target="https://en.wikipedia.org/wiki/Dicastery_for_the_Eastern_Churches" TargetMode="External"/><Relationship Id="rId144" Type="http://schemas.openxmlformats.org/officeDocument/2006/relationships/hyperlink" Target="https://en.wikipedia.org/wiki/Roman_Catholic_Archdiocese_of_Durban" TargetMode="External"/><Relationship Id="rId386" Type="http://schemas.openxmlformats.org/officeDocument/2006/relationships/hyperlink" Target="https://en.wikipedia.org/wiki/Czech_Republic" TargetMode="External"/><Relationship Id="rId381" Type="http://schemas.openxmlformats.org/officeDocument/2006/relationships/hyperlink" Target="https://en.wikipedia.org/wiki/Thomas_Collins_(cardinal)" TargetMode="External"/><Relationship Id="rId380" Type="http://schemas.openxmlformats.org/officeDocument/2006/relationships/hyperlink" Target="https://en.wikipedia.org/wiki/Syro-Malabar_Catholic_Major_Archeparchy_of_Ernakulam%E2%80%93Angamaly" TargetMode="External"/><Relationship Id="rId139" Type="http://schemas.openxmlformats.org/officeDocument/2006/relationships/hyperlink" Target="https://en.wikipedia.org/wiki/Cardinal_priest" TargetMode="External"/><Relationship Id="rId138" Type="http://schemas.openxmlformats.org/officeDocument/2006/relationships/hyperlink" Target="https://en.wikipedia.org/wiki/Chile" TargetMode="External"/><Relationship Id="rId137" Type="http://schemas.openxmlformats.org/officeDocument/2006/relationships/hyperlink" Target="https://en.wikipedia.org/wiki/Francisco_Javier_Err%C3%A1zuriz_Ossa" TargetMode="External"/><Relationship Id="rId379" Type="http://schemas.openxmlformats.org/officeDocument/2006/relationships/hyperlink" Target="https://en.wikipedia.org/wiki/Cardinal_priest" TargetMode="External"/><Relationship Id="rId132" Type="http://schemas.openxmlformats.org/officeDocument/2006/relationships/hyperlink" Target="https://en.wikipedia.org/wiki/Pontifical_Council_for_Promoting_Christian_Unity" TargetMode="External"/><Relationship Id="rId374" Type="http://schemas.openxmlformats.org/officeDocument/2006/relationships/hyperlink" Target="https://en.wikipedia.org/wiki/Italy" TargetMode="External"/><Relationship Id="rId131" Type="http://schemas.openxmlformats.org/officeDocument/2006/relationships/hyperlink" Target="https://en.wikipedia.org/wiki/Cardinal_priest" TargetMode="External"/><Relationship Id="rId373" Type="http://schemas.openxmlformats.org/officeDocument/2006/relationships/hyperlink" Target="https://en.wikipedia.org/wiki/Giuseppe_Versaldi" TargetMode="External"/><Relationship Id="rId130" Type="http://schemas.openxmlformats.org/officeDocument/2006/relationships/hyperlink" Target="https://en.wikipedia.org/wiki/Germany" TargetMode="External"/><Relationship Id="rId372" Type="http://schemas.openxmlformats.org/officeDocument/2006/relationships/hyperlink" Target="https://en.wikipedia.org/wiki/Administration_of_the_Patrimony_of_the_Apostolic_See" TargetMode="External"/><Relationship Id="rId371" Type="http://schemas.openxmlformats.org/officeDocument/2006/relationships/hyperlink" Target="https://en.wikipedia.org/wiki/Cardinal_priest" TargetMode="External"/><Relationship Id="rId136" Type="http://schemas.openxmlformats.org/officeDocument/2006/relationships/hyperlink" Target="https://en.wikipedia.org/wiki/Roman_Catholic_Archdiocese_of_Vilnius" TargetMode="External"/><Relationship Id="rId378" Type="http://schemas.openxmlformats.org/officeDocument/2006/relationships/hyperlink" Target="https://en.wikipedia.org/wiki/India" TargetMode="External"/><Relationship Id="rId135" Type="http://schemas.openxmlformats.org/officeDocument/2006/relationships/hyperlink" Target="https://en.wikipedia.org/wiki/Cardinal_priest" TargetMode="External"/><Relationship Id="rId377" Type="http://schemas.openxmlformats.org/officeDocument/2006/relationships/hyperlink" Target="https://en.wikipedia.org/wiki/George_Alencherry" TargetMode="External"/><Relationship Id="rId134" Type="http://schemas.openxmlformats.org/officeDocument/2006/relationships/hyperlink" Target="https://en.wikipedia.org/wiki/Lithuania" TargetMode="External"/><Relationship Id="rId376" Type="http://schemas.openxmlformats.org/officeDocument/2006/relationships/hyperlink" Target="https://en.wikipedia.org/wiki/Congregation_for_Catholic_Education" TargetMode="External"/><Relationship Id="rId133" Type="http://schemas.openxmlformats.org/officeDocument/2006/relationships/hyperlink" Target="https://en.wikipedia.org/wiki/Audrys_Ba%C4%8Dkis" TargetMode="External"/><Relationship Id="rId375" Type="http://schemas.openxmlformats.org/officeDocument/2006/relationships/hyperlink" Target="https://en.wikipedia.org/wiki/Cardinal_priest" TargetMode="External"/><Relationship Id="rId172" Type="http://schemas.openxmlformats.org/officeDocument/2006/relationships/hyperlink" Target="https://en.wikipedia.org/wiki/Roman_Catholic_Archdiocese_of_Philadelphia" TargetMode="External"/><Relationship Id="rId171" Type="http://schemas.openxmlformats.org/officeDocument/2006/relationships/hyperlink" Target="https://en.wikipedia.org/wiki/Cardinal_priest" TargetMode="External"/><Relationship Id="rId170" Type="http://schemas.openxmlformats.org/officeDocument/2006/relationships/hyperlink" Target="https://en.wikipedia.org/wiki/United_States" TargetMode="External"/><Relationship Id="rId165" Type="http://schemas.openxmlformats.org/officeDocument/2006/relationships/hyperlink" Target="https://en.wikipedia.org/wiki/Gabriel_Zubeir_Wako" TargetMode="External"/><Relationship Id="rId164" Type="http://schemas.openxmlformats.org/officeDocument/2006/relationships/hyperlink" Target="https://en.wikipedia.org/wiki/Roman_Catholic_Archdiocese_of_Lagos" TargetMode="External"/><Relationship Id="rId163" Type="http://schemas.openxmlformats.org/officeDocument/2006/relationships/hyperlink" Target="https://en.wikipedia.org/wiki/Cardinal_priest" TargetMode="External"/><Relationship Id="rId162" Type="http://schemas.openxmlformats.org/officeDocument/2006/relationships/hyperlink" Target="https://en.wikipedia.org/wiki/Nigeria" TargetMode="External"/><Relationship Id="rId169" Type="http://schemas.openxmlformats.org/officeDocument/2006/relationships/hyperlink" Target="https://en.wikipedia.org/wiki/Justin_Rigali" TargetMode="External"/><Relationship Id="rId168" Type="http://schemas.openxmlformats.org/officeDocument/2006/relationships/hyperlink" Target="https://en.wikipedia.org/wiki/Roman_Catholic_Archdiocese_of_Khartoum" TargetMode="External"/><Relationship Id="rId167" Type="http://schemas.openxmlformats.org/officeDocument/2006/relationships/hyperlink" Target="https://en.wikipedia.org/wiki/Cardinal_priest" TargetMode="External"/><Relationship Id="rId166" Type="http://schemas.openxmlformats.org/officeDocument/2006/relationships/hyperlink" Target="https://en.wikipedia.org/wiki/Sudan" TargetMode="External"/><Relationship Id="rId161" Type="http://schemas.openxmlformats.org/officeDocument/2006/relationships/hyperlink" Target="https://en.wikipedia.org/wiki/Anthony_Olubunmi_Okogie" TargetMode="External"/><Relationship Id="rId160" Type="http://schemas.openxmlformats.org/officeDocument/2006/relationships/hyperlink" Target="https://en.wikipedia.org/wiki/Roman_Catholic_Archdiocese_of_Milan" TargetMode="External"/><Relationship Id="rId159" Type="http://schemas.openxmlformats.org/officeDocument/2006/relationships/hyperlink" Target="https://en.wikipedia.org/wiki/Cardinal_priest" TargetMode="External"/><Relationship Id="rId154" Type="http://schemas.openxmlformats.org/officeDocument/2006/relationships/hyperlink" Target="https://en.wikipedia.org/wiki/Spain" TargetMode="External"/><Relationship Id="rId396" Type="http://schemas.openxmlformats.org/officeDocument/2006/relationships/hyperlink" Target="https://en.wikipedia.org/wiki/Roman_Catholic_Archdiocese_of_Florence" TargetMode="External"/><Relationship Id="rId153" Type="http://schemas.openxmlformats.org/officeDocument/2006/relationships/hyperlink" Target="https://en.wikipedia.org/wiki/Juli%C3%A1n_Herranz_Casado" TargetMode="External"/><Relationship Id="rId395" Type="http://schemas.openxmlformats.org/officeDocument/2006/relationships/hyperlink" Target="https://en.wikipedia.org/wiki/Cardinal_priest" TargetMode="External"/><Relationship Id="rId152" Type="http://schemas.openxmlformats.org/officeDocument/2006/relationships/hyperlink" Target="https://en.wikipedia.org/wiki/Roman_Catholic_Archdiocese_of_Lima" TargetMode="External"/><Relationship Id="rId394" Type="http://schemas.openxmlformats.org/officeDocument/2006/relationships/hyperlink" Target="https://en.wikipedia.org/wiki/Italy" TargetMode="External"/><Relationship Id="rId151" Type="http://schemas.openxmlformats.org/officeDocument/2006/relationships/hyperlink" Target="https://en.wikipedia.org/wiki/Cardinal_priest" TargetMode="External"/><Relationship Id="rId393" Type="http://schemas.openxmlformats.org/officeDocument/2006/relationships/hyperlink" Target="https://en.wikipedia.org/wiki/Giuseppe_Betori" TargetMode="External"/><Relationship Id="rId158" Type="http://schemas.openxmlformats.org/officeDocument/2006/relationships/hyperlink" Target="https://en.wikipedia.org/wiki/Italy" TargetMode="External"/><Relationship Id="rId157" Type="http://schemas.openxmlformats.org/officeDocument/2006/relationships/hyperlink" Target="https://en.wikipedia.org/wiki/Angelo_Scola" TargetMode="External"/><Relationship Id="rId399" Type="http://schemas.openxmlformats.org/officeDocument/2006/relationships/hyperlink" Target="https://en.wikipedia.org/wiki/Cardinal_priest" TargetMode="External"/><Relationship Id="rId156" Type="http://schemas.openxmlformats.org/officeDocument/2006/relationships/hyperlink" Target="https://en.wikipedia.org/wiki/Pontifical_Council_for_Legislative_Texts" TargetMode="External"/><Relationship Id="rId398" Type="http://schemas.openxmlformats.org/officeDocument/2006/relationships/hyperlink" Target="https://en.wikipedia.org/wiki/United_States" TargetMode="External"/><Relationship Id="rId155" Type="http://schemas.openxmlformats.org/officeDocument/2006/relationships/hyperlink" Target="https://en.wikipedia.org/wiki/Cardinal_priest" TargetMode="External"/><Relationship Id="rId397" Type="http://schemas.openxmlformats.org/officeDocument/2006/relationships/hyperlink" Target="https://en.wikipedia.org/wiki/Timothy_M._Dolan" TargetMode="External"/><Relationship Id="rId808" Type="http://schemas.openxmlformats.org/officeDocument/2006/relationships/hyperlink" Target="https://en.wikipedia.org/wiki/Carlos_Castillo_Mattasoglio" TargetMode="External"/><Relationship Id="rId807" Type="http://schemas.openxmlformats.org/officeDocument/2006/relationships/hyperlink" Target="https://en.wikipedia.org/wiki/Roman_Catholic_Archdiocese_of_Cuman%C3%A1" TargetMode="External"/><Relationship Id="rId806" Type="http://schemas.openxmlformats.org/officeDocument/2006/relationships/hyperlink" Target="https://en.wikipedia.org/wiki/Cardinal_priest" TargetMode="External"/><Relationship Id="rId805" Type="http://schemas.openxmlformats.org/officeDocument/2006/relationships/hyperlink" Target="https://en.wikipedia.org/wiki/Venezuela" TargetMode="External"/><Relationship Id="rId809" Type="http://schemas.openxmlformats.org/officeDocument/2006/relationships/hyperlink" Target="https://en.wikipedia.org/wiki/Peru" TargetMode="External"/><Relationship Id="rId800" Type="http://schemas.openxmlformats.org/officeDocument/2006/relationships/hyperlink" Target="https://en.wikipedia.org/wiki/Am%C3%A9rico_Aguiar" TargetMode="External"/><Relationship Id="rId804" Type="http://schemas.openxmlformats.org/officeDocument/2006/relationships/hyperlink" Target="https://en.wikipedia.org/wiki/Diego_Padr%C3%B3n" TargetMode="External"/><Relationship Id="rId803" Type="http://schemas.openxmlformats.org/officeDocument/2006/relationships/hyperlink" Target="https://en.wikipedia.org/wiki/Roman_Catholic_Diocese_of_Set%C3%BAbal" TargetMode="External"/><Relationship Id="rId802" Type="http://schemas.openxmlformats.org/officeDocument/2006/relationships/hyperlink" Target="https://en.wikipedia.org/wiki/Cardinal_priest" TargetMode="External"/><Relationship Id="rId801" Type="http://schemas.openxmlformats.org/officeDocument/2006/relationships/hyperlink" Target="https://en.wikipedia.org/wiki/Portugal" TargetMode="External"/><Relationship Id="rId40" Type="http://schemas.openxmlformats.org/officeDocument/2006/relationships/hyperlink" Target="https://en.wikipedia.org/wiki/Dicastery_for_Evangelization" TargetMode="External"/><Relationship Id="rId42" Type="http://schemas.openxmlformats.org/officeDocument/2006/relationships/hyperlink" Target="https://en.wikipedia.org/wiki/United_States" TargetMode="External"/><Relationship Id="rId41" Type="http://schemas.openxmlformats.org/officeDocument/2006/relationships/hyperlink" Target="https://en.wikipedia.org/wiki/Robert_Francis_Prevost" TargetMode="External"/><Relationship Id="rId44" Type="http://schemas.openxmlformats.org/officeDocument/2006/relationships/hyperlink" Target="https://en.wikipedia.org/wiki/Dicastery_for_Bishops" TargetMode="External"/><Relationship Id="rId43" Type="http://schemas.openxmlformats.org/officeDocument/2006/relationships/hyperlink" Target="https://en.wikipedia.org/wiki/Cardinal_bishop" TargetMode="External"/><Relationship Id="rId46" Type="http://schemas.openxmlformats.org/officeDocument/2006/relationships/hyperlink" Target="https://en.wikipedia.org/wiki/Lebanon" TargetMode="External"/><Relationship Id="rId45" Type="http://schemas.openxmlformats.org/officeDocument/2006/relationships/hyperlink" Target="https://en.wikipedia.org/wiki/Bechara_Boutros_al-Rahi" TargetMode="External"/><Relationship Id="rId509" Type="http://schemas.openxmlformats.org/officeDocument/2006/relationships/hyperlink" Target="https://en.wikipedia.org/wiki/Charles_Maung_Bo" TargetMode="External"/><Relationship Id="rId508" Type="http://schemas.openxmlformats.org/officeDocument/2006/relationships/hyperlink" Target="https://en.wikipedia.org/wiki/Roman_Catholic_Archdiocese_of_Morelia" TargetMode="External"/><Relationship Id="rId503" Type="http://schemas.openxmlformats.org/officeDocument/2006/relationships/hyperlink" Target="https://en.wikipedia.org/wiki/Cardinal_priest" TargetMode="External"/><Relationship Id="rId745" Type="http://schemas.openxmlformats.org/officeDocument/2006/relationships/hyperlink" Target="https://en.wikipedia.org/wiki/Giorgio_Marengo" TargetMode="External"/><Relationship Id="rId987" Type="http://schemas.openxmlformats.org/officeDocument/2006/relationships/hyperlink" Target="https://en.wikipedia.org/w/index.php?title=Shrine_of_Our_Lady_of_Pompei_(Buenos_Aires)&amp;action=edit&amp;redlink=1" TargetMode="External"/><Relationship Id="rId502" Type="http://schemas.openxmlformats.org/officeDocument/2006/relationships/hyperlink" Target="https://en.wikipedia.org/wiki/Vietnam" TargetMode="External"/><Relationship Id="rId744" Type="http://schemas.openxmlformats.org/officeDocument/2006/relationships/hyperlink" Target="https://en.wikipedia.org/wiki/Roman_Catholic_Archdiocese_of_Asunci%C3%B3n" TargetMode="External"/><Relationship Id="rId986" Type="http://schemas.openxmlformats.org/officeDocument/2006/relationships/hyperlink" Target="https://en.wikipedia.org/wiki/Cardinal_deacon" TargetMode="External"/><Relationship Id="rId501" Type="http://schemas.openxmlformats.org/officeDocument/2006/relationships/hyperlink" Target="https://en.wikipedia.org/wiki/Pierre_Nguy%E1%BB%85n_V%C4%83n_Nh%C6%A1n" TargetMode="External"/><Relationship Id="rId743" Type="http://schemas.openxmlformats.org/officeDocument/2006/relationships/hyperlink" Target="https://en.wikipedia.org/wiki/Cardinal_priest" TargetMode="External"/><Relationship Id="rId985" Type="http://schemas.openxmlformats.org/officeDocument/2006/relationships/hyperlink" Target="https://en.wikipedia.org/wiki/Argentina" TargetMode="External"/><Relationship Id="rId500" Type="http://schemas.openxmlformats.org/officeDocument/2006/relationships/hyperlink" Target="https://en.wikipedia.org/wiki/Roman_Catholic_Archdiocese_of_Ancona%E2%80%93Osimo" TargetMode="External"/><Relationship Id="rId742" Type="http://schemas.openxmlformats.org/officeDocument/2006/relationships/hyperlink" Target="https://en.wikipedia.org/wiki/Paraguay" TargetMode="External"/><Relationship Id="rId984" Type="http://schemas.openxmlformats.org/officeDocument/2006/relationships/hyperlink" Target="https://en.wikipedia.org/wiki/Luis_Pascual_Dri" TargetMode="External"/><Relationship Id="rId507" Type="http://schemas.openxmlformats.org/officeDocument/2006/relationships/hyperlink" Target="https://en.wikipedia.org/wiki/Cardinal_priest" TargetMode="External"/><Relationship Id="rId749" Type="http://schemas.openxmlformats.org/officeDocument/2006/relationships/hyperlink" Target="https://en.wikipedia.org/wiki/Jorge_Enrique_Jim%C3%A9nez_Carvajal" TargetMode="External"/><Relationship Id="rId506" Type="http://schemas.openxmlformats.org/officeDocument/2006/relationships/hyperlink" Target="https://en.wikipedia.org/wiki/Mexico" TargetMode="External"/><Relationship Id="rId748" Type="http://schemas.openxmlformats.org/officeDocument/2006/relationships/hyperlink" Target="https://en.wikipedia.org/wiki/Apostolic_Prefecture_of_Ulaanbaatar" TargetMode="External"/><Relationship Id="rId505" Type="http://schemas.openxmlformats.org/officeDocument/2006/relationships/hyperlink" Target="https://en.wikipedia.org/wiki/Alberto_Su%C3%A1rez_Inda" TargetMode="External"/><Relationship Id="rId747" Type="http://schemas.openxmlformats.org/officeDocument/2006/relationships/hyperlink" Target="https://en.wikipedia.org/wiki/Cardinal_priest" TargetMode="External"/><Relationship Id="rId989" Type="http://schemas.openxmlformats.org/officeDocument/2006/relationships/hyperlink" Target="https://en.wikipedia.org/wiki/Italy" TargetMode="External"/><Relationship Id="rId504" Type="http://schemas.openxmlformats.org/officeDocument/2006/relationships/hyperlink" Target="https://en.wikipedia.org/wiki/Roman_Catholic_Archdiocese_of_Hanoi" TargetMode="External"/><Relationship Id="rId746" Type="http://schemas.openxmlformats.org/officeDocument/2006/relationships/hyperlink" Target="https://en.wikipedia.org/wiki/Mongolia" TargetMode="External"/><Relationship Id="rId988" Type="http://schemas.openxmlformats.org/officeDocument/2006/relationships/hyperlink" Target="https://en.wikipedia.org/wiki/Angelo_Acerbi" TargetMode="External"/><Relationship Id="rId48" Type="http://schemas.openxmlformats.org/officeDocument/2006/relationships/hyperlink" Target="https://en.wikipedia.org/wiki/Maronite_Catholic_Patriarchate_of_Antioch" TargetMode="External"/><Relationship Id="rId47" Type="http://schemas.openxmlformats.org/officeDocument/2006/relationships/hyperlink" Target="https://en.wikipedia.org/wiki/Cardinal_bishop" TargetMode="External"/><Relationship Id="rId49" Type="http://schemas.openxmlformats.org/officeDocument/2006/relationships/hyperlink" Target="https://en.wikipedia.org/wiki/Louis_Rapha%C3%ABl_I_Sako" TargetMode="External"/><Relationship Id="rId741" Type="http://schemas.openxmlformats.org/officeDocument/2006/relationships/hyperlink" Target="https://en.wikipedia.org/wiki/Adalberto_Mart%C3%ADnez_Flores" TargetMode="External"/><Relationship Id="rId983" Type="http://schemas.openxmlformats.org/officeDocument/2006/relationships/hyperlink" Target="https://en.wikipedia.org/wiki/Pontifical_Council_for_the_Pastoral_Care_of_Migrants_and_Itinerant_People" TargetMode="External"/><Relationship Id="rId740" Type="http://schemas.openxmlformats.org/officeDocument/2006/relationships/hyperlink" Target="https://en.wikipedia.org/wiki/Roman_Catholic_Archdiocese_of_Singapore" TargetMode="External"/><Relationship Id="rId982" Type="http://schemas.openxmlformats.org/officeDocument/2006/relationships/hyperlink" Target="https://en.wikipedia.org/wiki/Cardinal_deacon" TargetMode="External"/><Relationship Id="rId981" Type="http://schemas.openxmlformats.org/officeDocument/2006/relationships/hyperlink" Target="https://en.wikipedia.org/wiki/Italy" TargetMode="External"/><Relationship Id="rId980" Type="http://schemas.openxmlformats.org/officeDocument/2006/relationships/hyperlink" Target="https://en.wikipedia.org/wiki/Agostino_Marchetto" TargetMode="External"/><Relationship Id="rId31" Type="http://schemas.openxmlformats.org/officeDocument/2006/relationships/hyperlink" Target="https://en.wikipedia.org/wiki/Cardinal_bishop" TargetMode="External"/><Relationship Id="rId30" Type="http://schemas.openxmlformats.org/officeDocument/2006/relationships/hyperlink" Target="https://en.wikipedia.org/wiki/Italy" TargetMode="External"/><Relationship Id="rId33" Type="http://schemas.openxmlformats.org/officeDocument/2006/relationships/hyperlink" Target="https://en.wikipedia.org/wiki/Beniamino_Stella" TargetMode="External"/><Relationship Id="rId32" Type="http://schemas.openxmlformats.org/officeDocument/2006/relationships/hyperlink" Target="https://en.wikipedia.org/wiki/Order_of_the_Holy_Sepulchre" TargetMode="External"/><Relationship Id="rId35" Type="http://schemas.openxmlformats.org/officeDocument/2006/relationships/hyperlink" Target="https://en.wikipedia.org/wiki/Cardinal_bishop" TargetMode="External"/><Relationship Id="rId34" Type="http://schemas.openxmlformats.org/officeDocument/2006/relationships/hyperlink" Target="https://en.wikipedia.org/wiki/Italy" TargetMode="External"/><Relationship Id="rId739" Type="http://schemas.openxmlformats.org/officeDocument/2006/relationships/hyperlink" Target="https://en.wikipedia.org/wiki/Cardinal_priest" TargetMode="External"/><Relationship Id="rId734" Type="http://schemas.openxmlformats.org/officeDocument/2006/relationships/hyperlink" Target="https://en.wikipedia.org/wiki/Brazil" TargetMode="External"/><Relationship Id="rId976" Type="http://schemas.openxmlformats.org/officeDocument/2006/relationships/hyperlink" Target="https://en.wikipedia.org/wiki/%C3%81ngel_Fern%C3%A1ndez_Artime" TargetMode="External"/><Relationship Id="rId733" Type="http://schemas.openxmlformats.org/officeDocument/2006/relationships/hyperlink" Target="https://en.wikipedia.org/wiki/Paulo_Cezar_Costa" TargetMode="External"/><Relationship Id="rId975" Type="http://schemas.openxmlformats.org/officeDocument/2006/relationships/hyperlink" Target="https://en.wikipedia.org/wiki/Apostolic_Nunciature_to_the_United_States" TargetMode="External"/><Relationship Id="rId732" Type="http://schemas.openxmlformats.org/officeDocument/2006/relationships/hyperlink" Target="https://en.wikipedia.org/wiki/Roman_Catholic_Archdiocese_of_Hyderabad" TargetMode="External"/><Relationship Id="rId974" Type="http://schemas.openxmlformats.org/officeDocument/2006/relationships/hyperlink" Target="https://en.wikipedia.org/wiki/Cardinal_deacon" TargetMode="External"/><Relationship Id="rId731" Type="http://schemas.openxmlformats.org/officeDocument/2006/relationships/hyperlink" Target="https://en.wikipedia.org/wiki/Cardinal_priest" TargetMode="External"/><Relationship Id="rId973" Type="http://schemas.openxmlformats.org/officeDocument/2006/relationships/hyperlink" Target="https://en.wikipedia.org/wiki/France" TargetMode="External"/><Relationship Id="rId738" Type="http://schemas.openxmlformats.org/officeDocument/2006/relationships/hyperlink" Target="https://en.wikipedia.org/wiki/Singapore" TargetMode="External"/><Relationship Id="rId737" Type="http://schemas.openxmlformats.org/officeDocument/2006/relationships/hyperlink" Target="https://en.wikipedia.org/wiki/William_Goh" TargetMode="External"/><Relationship Id="rId979" Type="http://schemas.openxmlformats.org/officeDocument/2006/relationships/hyperlink" Target="https://en.wikipedia.org/wiki/Dicastery_for_Institutes_of_Consecrated_Life_and_Societies_of_Apostolic_Life" TargetMode="External"/><Relationship Id="rId736" Type="http://schemas.openxmlformats.org/officeDocument/2006/relationships/hyperlink" Target="https://en.wikipedia.org/wiki/Roman_Catholic_Archdiocese_of_Bras%C3%ADlia" TargetMode="External"/><Relationship Id="rId978" Type="http://schemas.openxmlformats.org/officeDocument/2006/relationships/hyperlink" Target="https://en.wikipedia.org/wiki/Cardinal_deacon" TargetMode="External"/><Relationship Id="rId735" Type="http://schemas.openxmlformats.org/officeDocument/2006/relationships/hyperlink" Target="https://en.wikipedia.org/wiki/Cardinal_priest" TargetMode="External"/><Relationship Id="rId977" Type="http://schemas.openxmlformats.org/officeDocument/2006/relationships/hyperlink" Target="https://en.wikipedia.org/wiki/Spain" TargetMode="External"/><Relationship Id="rId37" Type="http://schemas.openxmlformats.org/officeDocument/2006/relationships/hyperlink" Target="https://en.wikipedia.org/wiki/Luis_Antonio_Tagle" TargetMode="External"/><Relationship Id="rId36" Type="http://schemas.openxmlformats.org/officeDocument/2006/relationships/hyperlink" Target="https://en.wikipedia.org/wiki/Congregation_for_the_Clergy" TargetMode="External"/><Relationship Id="rId39" Type="http://schemas.openxmlformats.org/officeDocument/2006/relationships/hyperlink" Target="https://en.wikipedia.org/wiki/Cardinal_bishop" TargetMode="External"/><Relationship Id="rId38" Type="http://schemas.openxmlformats.org/officeDocument/2006/relationships/hyperlink" Target="https://en.wikipedia.org/wiki/Philippines" TargetMode="External"/><Relationship Id="rId730" Type="http://schemas.openxmlformats.org/officeDocument/2006/relationships/hyperlink" Target="https://en.wikipedia.org/wiki/India" TargetMode="External"/><Relationship Id="rId972" Type="http://schemas.openxmlformats.org/officeDocument/2006/relationships/hyperlink" Target="https://en.wikipedia.org/wiki/Christophe_Pierre" TargetMode="External"/><Relationship Id="rId971" Type="http://schemas.openxmlformats.org/officeDocument/2006/relationships/hyperlink" Target="https://en.wikipedia.org/wiki/Apostolic_Nunciature_to_Italy" TargetMode="External"/><Relationship Id="rId970" Type="http://schemas.openxmlformats.org/officeDocument/2006/relationships/hyperlink" Target="https://en.wikipedia.org/wiki/Cardinal_deacon" TargetMode="External"/><Relationship Id="rId20" Type="http://schemas.openxmlformats.org/officeDocument/2006/relationships/hyperlink" Target="https://en.wikipedia.org/wiki/Congregation_for_the_Causes_of_Saints" TargetMode="External"/><Relationship Id="rId22" Type="http://schemas.openxmlformats.org/officeDocument/2006/relationships/hyperlink" Target="https://en.wikipedia.org/wiki/Italy" TargetMode="External"/><Relationship Id="rId21" Type="http://schemas.openxmlformats.org/officeDocument/2006/relationships/hyperlink" Target="https://en.wikipedia.org/wiki/Pietro_Parolin" TargetMode="External"/><Relationship Id="rId24" Type="http://schemas.openxmlformats.org/officeDocument/2006/relationships/hyperlink" Target="https://en.wikipedia.org/wiki/Cardinal_Secretary_of_State" TargetMode="External"/><Relationship Id="rId23" Type="http://schemas.openxmlformats.org/officeDocument/2006/relationships/hyperlink" Target="https://en.wikipedia.org/wiki/Cardinal_bishop" TargetMode="External"/><Relationship Id="rId525" Type="http://schemas.openxmlformats.org/officeDocument/2006/relationships/hyperlink" Target="https://en.wikipedia.org/wiki/Ricardo_Bl%C3%A1zquez" TargetMode="External"/><Relationship Id="rId767" Type="http://schemas.openxmlformats.org/officeDocument/2006/relationships/hyperlink" Target="https://en.wikipedia.org/wiki/Roman_Catholic_Archdiocese_of_C%C3%B3rdoba" TargetMode="External"/><Relationship Id="rId524" Type="http://schemas.openxmlformats.org/officeDocument/2006/relationships/hyperlink" Target="https://en.wikipedia.org/wiki/Roman_Catholic_Archdiocese_of_Montevideo" TargetMode="External"/><Relationship Id="rId766" Type="http://schemas.openxmlformats.org/officeDocument/2006/relationships/hyperlink" Target="https://en.wikipedia.org/wiki/Cardinal_priest" TargetMode="External"/><Relationship Id="rId523" Type="http://schemas.openxmlformats.org/officeDocument/2006/relationships/hyperlink" Target="https://en.wikipedia.org/wiki/Cardinal_priest" TargetMode="External"/><Relationship Id="rId765" Type="http://schemas.openxmlformats.org/officeDocument/2006/relationships/hyperlink" Target="https://en.wikipedia.org/wiki/Argentina" TargetMode="External"/><Relationship Id="rId522" Type="http://schemas.openxmlformats.org/officeDocument/2006/relationships/hyperlink" Target="https://en.wikipedia.org/wiki/Uruguay" TargetMode="External"/><Relationship Id="rId764" Type="http://schemas.openxmlformats.org/officeDocument/2006/relationships/hyperlink" Target="https://en.wikipedia.org/wiki/%C3%81ngel_Sixto_Rossi" TargetMode="External"/><Relationship Id="rId529" Type="http://schemas.openxmlformats.org/officeDocument/2006/relationships/hyperlink" Target="https://en.wikipedia.org/wiki/Jos%C3%A9_Luis_Lacunza_Maestroju%C3%A1n" TargetMode="External"/><Relationship Id="rId528" Type="http://schemas.openxmlformats.org/officeDocument/2006/relationships/hyperlink" Target="https://en.wikipedia.org/wiki/Roman_Catholic_Archdiocese_of_Valladolid" TargetMode="External"/><Relationship Id="rId527" Type="http://schemas.openxmlformats.org/officeDocument/2006/relationships/hyperlink" Target="https://en.wikipedia.org/wiki/Cardinal_priest" TargetMode="External"/><Relationship Id="rId769" Type="http://schemas.openxmlformats.org/officeDocument/2006/relationships/hyperlink" Target="https://en.wikipedia.org/wiki/Colombia" TargetMode="External"/><Relationship Id="rId526" Type="http://schemas.openxmlformats.org/officeDocument/2006/relationships/hyperlink" Target="https://en.wikipedia.org/wiki/Spain" TargetMode="External"/><Relationship Id="rId768" Type="http://schemas.openxmlformats.org/officeDocument/2006/relationships/hyperlink" Target="https://en.wikipedia.org/wiki/Luis_Jos%C3%A9_Rueda_Aparicio" TargetMode="External"/><Relationship Id="rId26" Type="http://schemas.openxmlformats.org/officeDocument/2006/relationships/hyperlink" Target="https://en.wikipedia.org/wiki/Canada" TargetMode="External"/><Relationship Id="rId25" Type="http://schemas.openxmlformats.org/officeDocument/2006/relationships/hyperlink" Target="https://en.wikipedia.org/wiki/Marc_Ouellet" TargetMode="External"/><Relationship Id="rId28" Type="http://schemas.openxmlformats.org/officeDocument/2006/relationships/hyperlink" Target="https://en.wikipedia.org/wiki/Dicastery_for_Bishops" TargetMode="External"/><Relationship Id="rId27" Type="http://schemas.openxmlformats.org/officeDocument/2006/relationships/hyperlink" Target="https://en.wikipedia.org/wiki/Cardinal_bishop" TargetMode="External"/><Relationship Id="rId521" Type="http://schemas.openxmlformats.org/officeDocument/2006/relationships/hyperlink" Target="https://en.wikipedia.org/wiki/Daniel_Sturla" TargetMode="External"/><Relationship Id="rId763" Type="http://schemas.openxmlformats.org/officeDocument/2006/relationships/hyperlink" Target="https://en.wikipedia.org/wiki/Roman_Catholic_Archdiocese_of_Johannesburg" TargetMode="External"/><Relationship Id="rId29" Type="http://schemas.openxmlformats.org/officeDocument/2006/relationships/hyperlink" Target="https://en.wikipedia.org/wiki/Fernando_Filoni" TargetMode="External"/><Relationship Id="rId520" Type="http://schemas.openxmlformats.org/officeDocument/2006/relationships/hyperlink" Target="https://en.wikipedia.org/wiki/Roman_Catholic_Archdiocese_of_Agrigento" TargetMode="External"/><Relationship Id="rId762" Type="http://schemas.openxmlformats.org/officeDocument/2006/relationships/hyperlink" Target="https://en.wikipedia.org/wiki/Cardinal_priest" TargetMode="External"/><Relationship Id="rId761" Type="http://schemas.openxmlformats.org/officeDocument/2006/relationships/hyperlink" Target="https://en.wikipedia.org/wiki/South_Africa" TargetMode="External"/><Relationship Id="rId760" Type="http://schemas.openxmlformats.org/officeDocument/2006/relationships/hyperlink" Target="https://en.wikipedia.org/wiki/Stephen_Brislin" TargetMode="External"/><Relationship Id="rId11" Type="http://schemas.openxmlformats.org/officeDocument/2006/relationships/hyperlink" Target="https://en.wikipedia.org/wiki/Cardinal_bishop" TargetMode="External"/><Relationship Id="rId10" Type="http://schemas.openxmlformats.org/officeDocument/2006/relationships/hyperlink" Target="https://en.wikipedia.org/wiki/Nigeria" TargetMode="External"/><Relationship Id="rId13" Type="http://schemas.openxmlformats.org/officeDocument/2006/relationships/hyperlink" Target="https://en.wikipedia.org/wiki/Tarcisio_Bertone" TargetMode="External"/><Relationship Id="rId12" Type="http://schemas.openxmlformats.org/officeDocument/2006/relationships/hyperlink" Target="https://en.wikipedia.org/wiki/Congregation_for_Divine_Worship_and_the_Discipline_of_the_Sacraments" TargetMode="External"/><Relationship Id="rId519" Type="http://schemas.openxmlformats.org/officeDocument/2006/relationships/hyperlink" Target="https://en.wikipedia.org/wiki/Cardinal_priest" TargetMode="External"/><Relationship Id="rId514" Type="http://schemas.openxmlformats.org/officeDocument/2006/relationships/hyperlink" Target="https://en.wikipedia.org/wiki/Thailand" TargetMode="External"/><Relationship Id="rId756" Type="http://schemas.openxmlformats.org/officeDocument/2006/relationships/hyperlink" Target="https://en.wikipedia.org/wiki/Roman_Catholic_Archdiocese_of_Cagliari" TargetMode="External"/><Relationship Id="rId998" Type="http://schemas.openxmlformats.org/officeDocument/2006/relationships/hyperlink" Target="https://en.wikipedia.org/wiki/Cardinal_deacon" TargetMode="External"/><Relationship Id="rId513" Type="http://schemas.openxmlformats.org/officeDocument/2006/relationships/hyperlink" Target="https://en.wikipedia.org/wiki/Kriengsak_Kovitvanit" TargetMode="External"/><Relationship Id="rId755" Type="http://schemas.openxmlformats.org/officeDocument/2006/relationships/hyperlink" Target="https://en.wikipedia.org/wiki/Cardinal_priest" TargetMode="External"/><Relationship Id="rId997" Type="http://schemas.openxmlformats.org/officeDocument/2006/relationships/hyperlink" Target="https://en.wikipedia.org/wiki/United_Kingdom" TargetMode="External"/><Relationship Id="rId512" Type="http://schemas.openxmlformats.org/officeDocument/2006/relationships/hyperlink" Target="https://en.wikipedia.org/wiki/Roman_Catholic_Archdiocese_of_Yangon" TargetMode="External"/><Relationship Id="rId754" Type="http://schemas.openxmlformats.org/officeDocument/2006/relationships/hyperlink" Target="https://en.wikipedia.org/wiki/Italy" TargetMode="External"/><Relationship Id="rId996" Type="http://schemas.openxmlformats.org/officeDocument/2006/relationships/hyperlink" Target="https://en.wikipedia.org/wiki/Timothy_Radcliffe" TargetMode="External"/><Relationship Id="rId511" Type="http://schemas.openxmlformats.org/officeDocument/2006/relationships/hyperlink" Target="https://en.wikipedia.org/wiki/Cardinal_priest" TargetMode="External"/><Relationship Id="rId753" Type="http://schemas.openxmlformats.org/officeDocument/2006/relationships/hyperlink" Target="https://en.wikipedia.org/wiki/Arrigo_Miglio" TargetMode="External"/><Relationship Id="rId995" Type="http://schemas.openxmlformats.org/officeDocument/2006/relationships/hyperlink" Target="https://en.wikipedia.org/wiki/Papal_Basilica_of_Saint_Mary_Major" TargetMode="External"/><Relationship Id="rId518" Type="http://schemas.openxmlformats.org/officeDocument/2006/relationships/hyperlink" Target="https://en.wikipedia.org/wiki/Italy" TargetMode="External"/><Relationship Id="rId517" Type="http://schemas.openxmlformats.org/officeDocument/2006/relationships/hyperlink" Target="https://en.wikipedia.org/wiki/Francesco_Montenegro" TargetMode="External"/><Relationship Id="rId759" Type="http://schemas.openxmlformats.org/officeDocument/2006/relationships/hyperlink" Target="https://en.wikipedia.org/wiki/Latin_Patriarchate_of_Jerusalem" TargetMode="External"/><Relationship Id="rId516" Type="http://schemas.openxmlformats.org/officeDocument/2006/relationships/hyperlink" Target="https://en.wikipedia.org/wiki/Roman_Catholic_Archdiocese_of_Bangkok" TargetMode="External"/><Relationship Id="rId758" Type="http://schemas.openxmlformats.org/officeDocument/2006/relationships/hyperlink" Target="https://en.wikipedia.org/wiki/Cardinal_priest" TargetMode="External"/><Relationship Id="rId515" Type="http://schemas.openxmlformats.org/officeDocument/2006/relationships/hyperlink" Target="https://en.wikipedia.org/wiki/Cardinal_priest" TargetMode="External"/><Relationship Id="rId757" Type="http://schemas.openxmlformats.org/officeDocument/2006/relationships/hyperlink" Target="https://en.wikipedia.org/wiki/Jerusalem" TargetMode="External"/><Relationship Id="rId999" Type="http://schemas.openxmlformats.org/officeDocument/2006/relationships/hyperlink" Target="https://en.wikipedia.org/wiki/Master_of_the_Order_of_Preachers" TargetMode="External"/><Relationship Id="rId15" Type="http://schemas.openxmlformats.org/officeDocument/2006/relationships/hyperlink" Target="https://en.wikipedia.org/wiki/Cardinal_bishop" TargetMode="External"/><Relationship Id="rId990" Type="http://schemas.openxmlformats.org/officeDocument/2006/relationships/hyperlink" Target="https://en.wikipedia.org/wiki/Cardinal_deacon" TargetMode="External"/><Relationship Id="rId14" Type="http://schemas.openxmlformats.org/officeDocument/2006/relationships/hyperlink" Target="https://en.wikipedia.org/wiki/Italy" TargetMode="External"/><Relationship Id="rId17" Type="http://schemas.openxmlformats.org/officeDocument/2006/relationships/hyperlink" Target="https://en.wikipedia.org/wiki/Jos%C3%A9_Saraiva_Martins" TargetMode="External"/><Relationship Id="rId16" Type="http://schemas.openxmlformats.org/officeDocument/2006/relationships/hyperlink" Target="https://en.wikipedia.org/wiki/Cardinal_Secretary_of_State" TargetMode="External"/><Relationship Id="rId19" Type="http://schemas.openxmlformats.org/officeDocument/2006/relationships/hyperlink" Target="https://en.wikipedia.org/wiki/Cardinal_bishop" TargetMode="External"/><Relationship Id="rId510" Type="http://schemas.openxmlformats.org/officeDocument/2006/relationships/hyperlink" Target="https://en.wikipedia.org/wiki/Myanmar" TargetMode="External"/><Relationship Id="rId752" Type="http://schemas.openxmlformats.org/officeDocument/2006/relationships/hyperlink" Target="https://en.wikipedia.org/wiki/Roman_Catholic_Archdiocese_of_Cartagena" TargetMode="External"/><Relationship Id="rId994" Type="http://schemas.openxmlformats.org/officeDocument/2006/relationships/hyperlink" Target="https://en.wikipedia.org/wiki/Cardinal_deacon" TargetMode="External"/><Relationship Id="rId18" Type="http://schemas.openxmlformats.org/officeDocument/2006/relationships/hyperlink" Target="https://en.wikipedia.org/wiki/Portugal" TargetMode="External"/><Relationship Id="rId751" Type="http://schemas.openxmlformats.org/officeDocument/2006/relationships/hyperlink" Target="https://en.wikipedia.org/wiki/Cardinal_priest" TargetMode="External"/><Relationship Id="rId993" Type="http://schemas.openxmlformats.org/officeDocument/2006/relationships/hyperlink" Target="https://en.wikipedia.org/wiki/Lithuania" TargetMode="External"/><Relationship Id="rId750" Type="http://schemas.openxmlformats.org/officeDocument/2006/relationships/hyperlink" Target="https://en.wikipedia.org/wiki/Colombia" TargetMode="External"/><Relationship Id="rId992" Type="http://schemas.openxmlformats.org/officeDocument/2006/relationships/hyperlink" Target="https://en.wikipedia.org/wiki/Rolandas_Makrickas" TargetMode="External"/><Relationship Id="rId991" Type="http://schemas.openxmlformats.org/officeDocument/2006/relationships/hyperlink" Target="https://en.wikipedia.org/wiki/Apostolic_Nuncio" TargetMode="External"/><Relationship Id="rId84" Type="http://schemas.openxmlformats.org/officeDocument/2006/relationships/hyperlink" Target="https://en.wikipedia.org/wiki/Roman_Catholic_Archdiocese_of_Kampala" TargetMode="External"/><Relationship Id="rId83" Type="http://schemas.openxmlformats.org/officeDocument/2006/relationships/hyperlink" Target="https://en.wikipedia.org/wiki/Cardinal_priest" TargetMode="External"/><Relationship Id="rId86" Type="http://schemas.openxmlformats.org/officeDocument/2006/relationships/hyperlink" Target="https://en.wikipedia.org/wiki/United_States" TargetMode="External"/><Relationship Id="rId85" Type="http://schemas.openxmlformats.org/officeDocument/2006/relationships/hyperlink" Target="https://en.wikipedia.org/wiki/Adam_Maida" TargetMode="External"/><Relationship Id="rId88" Type="http://schemas.openxmlformats.org/officeDocument/2006/relationships/hyperlink" Target="https://en.wikipedia.org/wiki/Roman_Catholic_Archdiocese_of_Detroit" TargetMode="External"/><Relationship Id="rId87" Type="http://schemas.openxmlformats.org/officeDocument/2006/relationships/hyperlink" Target="https://en.wikipedia.org/wiki/Cardinal_priest" TargetMode="External"/><Relationship Id="rId89" Type="http://schemas.openxmlformats.org/officeDocument/2006/relationships/hyperlink" Target="https://en.wikipedia.org/wiki/Vinko_Pulji%C4%87" TargetMode="External"/><Relationship Id="rId709" Type="http://schemas.openxmlformats.org/officeDocument/2006/relationships/hyperlink" Target="https://en.wikipedia.org/wiki/Leonardo_Ulrich_Steiner" TargetMode="External"/><Relationship Id="rId708" Type="http://schemas.openxmlformats.org/officeDocument/2006/relationships/hyperlink" Target="https://en.wikipedia.org/wiki/Roman_Catholic_Diocese_of_Ekwulobia" TargetMode="External"/><Relationship Id="rId707" Type="http://schemas.openxmlformats.org/officeDocument/2006/relationships/hyperlink" Target="https://en.wikipedia.org/wiki/Cardinal_priest" TargetMode="External"/><Relationship Id="rId949" Type="http://schemas.openxmlformats.org/officeDocument/2006/relationships/hyperlink" Target="https://en.wikipedia.org/wiki/Spain" TargetMode="External"/><Relationship Id="rId706" Type="http://schemas.openxmlformats.org/officeDocument/2006/relationships/hyperlink" Target="https://en.wikipedia.org/wiki/Nigeria" TargetMode="External"/><Relationship Id="rId948" Type="http://schemas.openxmlformats.org/officeDocument/2006/relationships/hyperlink" Target="https://en.wikipedia.org/wiki/Fernando_V%C3%A9rgez_Alzaga" TargetMode="External"/><Relationship Id="rId80" Type="http://schemas.openxmlformats.org/officeDocument/2006/relationships/hyperlink" Target="https://en.wikipedia.org/wiki/Roman_Catholic_Archdiocese_of_Jakarta" TargetMode="External"/><Relationship Id="rId82" Type="http://schemas.openxmlformats.org/officeDocument/2006/relationships/hyperlink" Target="https://en.wikipedia.org/wiki/Uganda" TargetMode="External"/><Relationship Id="rId81" Type="http://schemas.openxmlformats.org/officeDocument/2006/relationships/hyperlink" Target="https://en.wikipedia.org/wiki/Emmanuel_Wamala" TargetMode="External"/><Relationship Id="rId701" Type="http://schemas.openxmlformats.org/officeDocument/2006/relationships/hyperlink" Target="https://en.wikipedia.org/wiki/Jean-Marc_Aveline" TargetMode="External"/><Relationship Id="rId943" Type="http://schemas.openxmlformats.org/officeDocument/2006/relationships/hyperlink" Target="https://en.wikipedia.org/wiki/Dicastery_for_Divine_Worship_and_the_Discipline_of_the_Sacraments" TargetMode="External"/><Relationship Id="rId700" Type="http://schemas.openxmlformats.org/officeDocument/2006/relationships/hyperlink" Target="https://en.wikipedia.org/wiki/Roman_Catholic_Diocese_of_San_Crist%C3%B3bal_de_Las_Casas" TargetMode="External"/><Relationship Id="rId942" Type="http://schemas.openxmlformats.org/officeDocument/2006/relationships/hyperlink" Target="https://en.wikipedia.org/wiki/Cardinal_deacon" TargetMode="External"/><Relationship Id="rId941" Type="http://schemas.openxmlformats.org/officeDocument/2006/relationships/hyperlink" Target="https://en.wikipedia.org/wiki/United_Kingdom" TargetMode="External"/><Relationship Id="rId940" Type="http://schemas.openxmlformats.org/officeDocument/2006/relationships/hyperlink" Target="https://en.wikipedia.org/wiki/Arthur_Roche" TargetMode="External"/><Relationship Id="rId705" Type="http://schemas.openxmlformats.org/officeDocument/2006/relationships/hyperlink" Target="https://en.wikipedia.org/wiki/Peter_Okpaleke" TargetMode="External"/><Relationship Id="rId947" Type="http://schemas.openxmlformats.org/officeDocument/2006/relationships/hyperlink" Target="https://en.wikipedia.org/wiki/Dicastery_for_the_Clergy" TargetMode="External"/><Relationship Id="rId704" Type="http://schemas.openxmlformats.org/officeDocument/2006/relationships/hyperlink" Target="https://en.wikipedia.org/wiki/Roman_Catholic_Archdiocese_of_Marseille" TargetMode="External"/><Relationship Id="rId946" Type="http://schemas.openxmlformats.org/officeDocument/2006/relationships/hyperlink" Target="https://en.wikipedia.org/wiki/Cardinal_deacon" TargetMode="External"/><Relationship Id="rId703" Type="http://schemas.openxmlformats.org/officeDocument/2006/relationships/hyperlink" Target="https://en.wikipedia.org/wiki/Cardinal_priest" TargetMode="External"/><Relationship Id="rId945" Type="http://schemas.openxmlformats.org/officeDocument/2006/relationships/hyperlink" Target="https://en.wikipedia.org/wiki/South_Korea" TargetMode="External"/><Relationship Id="rId702" Type="http://schemas.openxmlformats.org/officeDocument/2006/relationships/hyperlink" Target="https://en.wikipedia.org/wiki/France" TargetMode="External"/><Relationship Id="rId944" Type="http://schemas.openxmlformats.org/officeDocument/2006/relationships/hyperlink" Target="https://en.wikipedia.org/wiki/Lazarus_You_Heung-sik" TargetMode="External"/><Relationship Id="rId73" Type="http://schemas.openxmlformats.org/officeDocument/2006/relationships/hyperlink" Target="https://en.wikipedia.org/wiki/Camillo_Ruini" TargetMode="External"/><Relationship Id="rId72" Type="http://schemas.openxmlformats.org/officeDocument/2006/relationships/hyperlink" Target="https://en.wikipedia.org/wiki/Roman_Catholic_Archdiocese_of_Los_Angeles" TargetMode="External"/><Relationship Id="rId75" Type="http://schemas.openxmlformats.org/officeDocument/2006/relationships/hyperlink" Target="https://en.wikipedia.org/wiki/Cardinal_priest" TargetMode="External"/><Relationship Id="rId74" Type="http://schemas.openxmlformats.org/officeDocument/2006/relationships/hyperlink" Target="https://en.wikipedia.org/wiki/Italy" TargetMode="External"/><Relationship Id="rId77" Type="http://schemas.openxmlformats.org/officeDocument/2006/relationships/hyperlink" Target="https://en.wikipedia.org/wiki/Julius_Darmaatmadja" TargetMode="External"/><Relationship Id="rId76" Type="http://schemas.openxmlformats.org/officeDocument/2006/relationships/hyperlink" Target="https://en.wikipedia.org/wiki/Vicar_General_for_Rome" TargetMode="External"/><Relationship Id="rId79" Type="http://schemas.openxmlformats.org/officeDocument/2006/relationships/hyperlink" Target="https://en.wikipedia.org/wiki/Cardinal_priest" TargetMode="External"/><Relationship Id="rId78" Type="http://schemas.openxmlformats.org/officeDocument/2006/relationships/hyperlink" Target="https://en.wikipedia.org/wiki/Indonesia" TargetMode="External"/><Relationship Id="rId939" Type="http://schemas.openxmlformats.org/officeDocument/2006/relationships/hyperlink" Target="https://en.wikipedia.org/wiki/Santuario_della_Madonna_del_Divino_Amore" TargetMode="External"/><Relationship Id="rId938" Type="http://schemas.openxmlformats.org/officeDocument/2006/relationships/hyperlink" Target="https://en.wikipedia.org/wiki/Cardinal_deacon" TargetMode="External"/><Relationship Id="rId937" Type="http://schemas.openxmlformats.org/officeDocument/2006/relationships/hyperlink" Target="https://en.wikipedia.org/wiki/Italy" TargetMode="External"/><Relationship Id="rId71" Type="http://schemas.openxmlformats.org/officeDocument/2006/relationships/hyperlink" Target="https://en.wikipedia.org/wiki/Cardinal_priest" TargetMode="External"/><Relationship Id="rId70" Type="http://schemas.openxmlformats.org/officeDocument/2006/relationships/hyperlink" Target="https://en.wikipedia.org/wiki/United_States" TargetMode="External"/><Relationship Id="rId932" Type="http://schemas.openxmlformats.org/officeDocument/2006/relationships/hyperlink" Target="https://en.wikipedia.org/wiki/Raniero_Cantalamessa" TargetMode="External"/><Relationship Id="rId931" Type="http://schemas.openxmlformats.org/officeDocument/2006/relationships/hyperlink" Target="https://en.wikipedia.org/wiki/Sovereign_Military_Order_of_Malta" TargetMode="External"/><Relationship Id="rId930" Type="http://schemas.openxmlformats.org/officeDocument/2006/relationships/hyperlink" Target="https://en.wikipedia.org/wiki/Cardinal_deacon" TargetMode="External"/><Relationship Id="rId936" Type="http://schemas.openxmlformats.org/officeDocument/2006/relationships/hyperlink" Target="https://en.wikipedia.org/wiki/Enrico_Feroci" TargetMode="External"/><Relationship Id="rId935" Type="http://schemas.openxmlformats.org/officeDocument/2006/relationships/hyperlink" Target="https://en.wikipedia.org/wiki/Preacher_of_the_Papal_Household" TargetMode="External"/><Relationship Id="rId934" Type="http://schemas.openxmlformats.org/officeDocument/2006/relationships/hyperlink" Target="https://en.wikipedia.org/wiki/Cardinal_deacon" TargetMode="External"/><Relationship Id="rId933" Type="http://schemas.openxmlformats.org/officeDocument/2006/relationships/hyperlink" Target="https://en.wikipedia.org/wiki/Italy" TargetMode="External"/><Relationship Id="rId62" Type="http://schemas.openxmlformats.org/officeDocument/2006/relationships/hyperlink" Target="https://en.wikipedia.org/wiki/Germany" TargetMode="External"/><Relationship Id="rId61" Type="http://schemas.openxmlformats.org/officeDocument/2006/relationships/hyperlink" Target="https://en.wikipedia.org/wiki/Friedrich_Wetter" TargetMode="External"/><Relationship Id="rId64" Type="http://schemas.openxmlformats.org/officeDocument/2006/relationships/hyperlink" Target="https://en.wikipedia.org/wiki/Roman_Catholic_Archdiocese_of_Munich_and_Freising" TargetMode="External"/><Relationship Id="rId63" Type="http://schemas.openxmlformats.org/officeDocument/2006/relationships/hyperlink" Target="https://en.wikipedia.org/wiki/Cardinal_priest" TargetMode="External"/><Relationship Id="rId66" Type="http://schemas.openxmlformats.org/officeDocument/2006/relationships/hyperlink" Target="https://en.wikipedia.org/wiki/Dominican_Republic" TargetMode="External"/><Relationship Id="rId65" Type="http://schemas.openxmlformats.org/officeDocument/2006/relationships/hyperlink" Target="https://en.wikipedia.org/wiki/Nicol%C3%A1s_de_Jes%C3%BAs_L%C3%B3pez_Rodr%C3%ADguez" TargetMode="External"/><Relationship Id="rId68" Type="http://schemas.openxmlformats.org/officeDocument/2006/relationships/hyperlink" Target="https://en.wikipedia.org/wiki/Roman_Catholic_Archdiocese_of_Santo_Domingo" TargetMode="External"/><Relationship Id="rId67" Type="http://schemas.openxmlformats.org/officeDocument/2006/relationships/hyperlink" Target="https://en.wikipedia.org/wiki/Cardinal_priest" TargetMode="External"/><Relationship Id="rId729" Type="http://schemas.openxmlformats.org/officeDocument/2006/relationships/hyperlink" Target="https://en.wikipedia.org/wiki/Anthony_Poola" TargetMode="External"/><Relationship Id="rId728" Type="http://schemas.openxmlformats.org/officeDocument/2006/relationships/hyperlink" Target="https://en.wikipedia.org/wiki/Roman_Catholic_Diocese_of_Como" TargetMode="External"/><Relationship Id="rId60" Type="http://schemas.openxmlformats.org/officeDocument/2006/relationships/hyperlink" Target="https://en.wikipedia.org/wiki/Pontifical_Council_for_Culture" TargetMode="External"/><Relationship Id="rId723" Type="http://schemas.openxmlformats.org/officeDocument/2006/relationships/hyperlink" Target="https://en.wikipedia.org/wiki/Cardinal_priest" TargetMode="External"/><Relationship Id="rId965" Type="http://schemas.openxmlformats.org/officeDocument/2006/relationships/hyperlink" Target="https://en.wikipedia.org/wiki/Argentina" TargetMode="External"/><Relationship Id="rId722" Type="http://schemas.openxmlformats.org/officeDocument/2006/relationships/hyperlink" Target="https://en.wikipedia.org/wiki/East_Timor" TargetMode="External"/><Relationship Id="rId964" Type="http://schemas.openxmlformats.org/officeDocument/2006/relationships/hyperlink" Target="https://en.wikipedia.org/wiki/V%C3%ADctor_Manuel_Fern%C3%A1ndez" TargetMode="External"/><Relationship Id="rId721" Type="http://schemas.openxmlformats.org/officeDocument/2006/relationships/hyperlink" Target="https://en.wikipedia.org/wiki/Virg%C3%ADlio_do_Carmo_da_Silva" TargetMode="External"/><Relationship Id="rId963" Type="http://schemas.openxmlformats.org/officeDocument/2006/relationships/hyperlink" Target="https://en.wikipedia.org/wiki/Dicastery_for_the_Eastern_Churches" TargetMode="External"/><Relationship Id="rId720" Type="http://schemas.openxmlformats.org/officeDocument/2006/relationships/hyperlink" Target="https://en.wikipedia.org/wiki/Roman_Catholic_Archdiocese_of_Washington" TargetMode="External"/><Relationship Id="rId962" Type="http://schemas.openxmlformats.org/officeDocument/2006/relationships/hyperlink" Target="https://en.wikipedia.org/wiki/Cardinal_deacon" TargetMode="External"/><Relationship Id="rId727" Type="http://schemas.openxmlformats.org/officeDocument/2006/relationships/hyperlink" Target="https://en.wikipedia.org/wiki/Cardinal_priest" TargetMode="External"/><Relationship Id="rId969" Type="http://schemas.openxmlformats.org/officeDocument/2006/relationships/hyperlink" Target="https://en.wikipedia.org/wiki/Switzerland" TargetMode="External"/><Relationship Id="rId726" Type="http://schemas.openxmlformats.org/officeDocument/2006/relationships/hyperlink" Target="https://en.wikipedia.org/wiki/Italy" TargetMode="External"/><Relationship Id="rId968" Type="http://schemas.openxmlformats.org/officeDocument/2006/relationships/hyperlink" Target="https://en.wikipedia.org/wiki/Emil_Paul_Tscherrig" TargetMode="External"/><Relationship Id="rId725" Type="http://schemas.openxmlformats.org/officeDocument/2006/relationships/hyperlink" Target="https://en.wikipedia.org/wiki/Oscar_Cantoni" TargetMode="External"/><Relationship Id="rId967" Type="http://schemas.openxmlformats.org/officeDocument/2006/relationships/hyperlink" Target="https://en.wikipedia.org/wiki/Dicastery_for_the_Doctrine_of_the_Faith" TargetMode="External"/><Relationship Id="rId724" Type="http://schemas.openxmlformats.org/officeDocument/2006/relationships/hyperlink" Target="https://en.wikipedia.org/wiki/Roman_Catholic_Archdiocese_of_D%C3%ADli" TargetMode="External"/><Relationship Id="rId966" Type="http://schemas.openxmlformats.org/officeDocument/2006/relationships/hyperlink" Target="https://en.wikipedia.org/wiki/Cardinal_deacon" TargetMode="External"/><Relationship Id="rId69" Type="http://schemas.openxmlformats.org/officeDocument/2006/relationships/hyperlink" Target="https://en.wikipedia.org/wiki/Roger_Mahony" TargetMode="External"/><Relationship Id="rId961" Type="http://schemas.openxmlformats.org/officeDocument/2006/relationships/hyperlink" Target="https://en.wikipedia.org/wiki/Italy" TargetMode="External"/><Relationship Id="rId960" Type="http://schemas.openxmlformats.org/officeDocument/2006/relationships/hyperlink" Target="https://en.wikipedia.org/wiki/Claudio_Gugerotti" TargetMode="External"/><Relationship Id="rId51" Type="http://schemas.openxmlformats.org/officeDocument/2006/relationships/hyperlink" Target="https://en.wikipedia.org/wiki/Cardinal_bishop" TargetMode="External"/><Relationship Id="rId50" Type="http://schemas.openxmlformats.org/officeDocument/2006/relationships/hyperlink" Target="https://en.wikipedia.org/wiki/Iraq" TargetMode="External"/><Relationship Id="rId53" Type="http://schemas.openxmlformats.org/officeDocument/2006/relationships/hyperlink" Target="https://en.wikipedia.org/wiki/Michael_Michai_Kitbunchu" TargetMode="External"/><Relationship Id="rId52" Type="http://schemas.openxmlformats.org/officeDocument/2006/relationships/hyperlink" Target="https://en.wikipedia.org/wiki/Chaldean_Catholic_Patriarchate_of_Baghdad" TargetMode="External"/><Relationship Id="rId55" Type="http://schemas.openxmlformats.org/officeDocument/2006/relationships/hyperlink" Target="https://en.wikipedia.org/wiki/Cardinal_priest" TargetMode="External"/><Relationship Id="rId54" Type="http://schemas.openxmlformats.org/officeDocument/2006/relationships/hyperlink" Target="https://en.wikipedia.org/wiki/Thailand" TargetMode="External"/><Relationship Id="rId57" Type="http://schemas.openxmlformats.org/officeDocument/2006/relationships/hyperlink" Target="https://en.wikipedia.org/wiki/Paul_Poupard" TargetMode="External"/><Relationship Id="rId56" Type="http://schemas.openxmlformats.org/officeDocument/2006/relationships/hyperlink" Target="https://en.wikipedia.org/wiki/Roman_Catholic_Archdiocese_of_Bangkok" TargetMode="External"/><Relationship Id="rId719" Type="http://schemas.openxmlformats.org/officeDocument/2006/relationships/hyperlink" Target="https://en.wikipedia.org/wiki/Cardinal_priest" TargetMode="External"/><Relationship Id="rId718" Type="http://schemas.openxmlformats.org/officeDocument/2006/relationships/hyperlink" Target="https://en.wikipedia.org/wiki/United_States" TargetMode="External"/><Relationship Id="rId717" Type="http://schemas.openxmlformats.org/officeDocument/2006/relationships/hyperlink" Target="https://en.wikipedia.org/wiki/Robert_W._McElroy" TargetMode="External"/><Relationship Id="rId959" Type="http://schemas.openxmlformats.org/officeDocument/2006/relationships/hyperlink" Target="https://en.wikipedia.org/wiki/Papal_Basilica_of_Saint_Peter" TargetMode="External"/><Relationship Id="rId712" Type="http://schemas.openxmlformats.org/officeDocument/2006/relationships/hyperlink" Target="https://en.wikipedia.org/wiki/Roman_Catholic_Archdiocese_of_Manaus" TargetMode="External"/><Relationship Id="rId954" Type="http://schemas.openxmlformats.org/officeDocument/2006/relationships/hyperlink" Target="https://en.wikipedia.org/wiki/Cardinal_deacon" TargetMode="External"/><Relationship Id="rId711" Type="http://schemas.openxmlformats.org/officeDocument/2006/relationships/hyperlink" Target="https://en.wikipedia.org/wiki/Cardinal_priest" TargetMode="External"/><Relationship Id="rId953" Type="http://schemas.openxmlformats.org/officeDocument/2006/relationships/hyperlink" Target="https://en.wikipedia.org/wiki/Italy" TargetMode="External"/><Relationship Id="rId710" Type="http://schemas.openxmlformats.org/officeDocument/2006/relationships/hyperlink" Target="https://en.wikipedia.org/wiki/Brazil" TargetMode="External"/><Relationship Id="rId952" Type="http://schemas.openxmlformats.org/officeDocument/2006/relationships/hyperlink" Target="https://en.wikipedia.org/wiki/Gianfranco_Ghirlanda" TargetMode="External"/><Relationship Id="rId951" Type="http://schemas.openxmlformats.org/officeDocument/2006/relationships/hyperlink" Target="https://en.wikipedia.org/wiki/Pontifical_Commission_for_Vatican_City_State" TargetMode="External"/><Relationship Id="rId716" Type="http://schemas.openxmlformats.org/officeDocument/2006/relationships/hyperlink" Target="https://en.wikipedia.org/wiki/Roman_Catholic_Archdiocese_of_Goa_and_Daman" TargetMode="External"/><Relationship Id="rId958" Type="http://schemas.openxmlformats.org/officeDocument/2006/relationships/hyperlink" Target="https://en.wikipedia.org/wiki/Cardinal_deacon" TargetMode="External"/><Relationship Id="rId715" Type="http://schemas.openxmlformats.org/officeDocument/2006/relationships/hyperlink" Target="https://en.wikipedia.org/wiki/Cardinal_priest" TargetMode="External"/><Relationship Id="rId957" Type="http://schemas.openxmlformats.org/officeDocument/2006/relationships/hyperlink" Target="https://en.wikipedia.org/wiki/Italy" TargetMode="External"/><Relationship Id="rId714" Type="http://schemas.openxmlformats.org/officeDocument/2006/relationships/hyperlink" Target="https://en.wikipedia.org/wiki/India" TargetMode="External"/><Relationship Id="rId956" Type="http://schemas.openxmlformats.org/officeDocument/2006/relationships/hyperlink" Target="https://en.wikipedia.org/wiki/Fortunato_Frezza" TargetMode="External"/><Relationship Id="rId713" Type="http://schemas.openxmlformats.org/officeDocument/2006/relationships/hyperlink" Target="https://en.wikipedia.org/wiki/Filipe_Neri_Ferr%C3%A3o" TargetMode="External"/><Relationship Id="rId955" Type="http://schemas.openxmlformats.org/officeDocument/2006/relationships/hyperlink" Target="https://en.wikipedia.org/wiki/Sovereign_Military_Order_of_Malta" TargetMode="External"/><Relationship Id="rId59" Type="http://schemas.openxmlformats.org/officeDocument/2006/relationships/hyperlink" Target="https://en.wikipedia.org/wiki/Cardinal_priest" TargetMode="External"/><Relationship Id="rId58" Type="http://schemas.openxmlformats.org/officeDocument/2006/relationships/hyperlink" Target="https://en.wikipedia.org/wiki/France" TargetMode="External"/><Relationship Id="rId950" Type="http://schemas.openxmlformats.org/officeDocument/2006/relationships/hyperlink" Target="https://en.wikipedia.org/wiki/Cardinal_deacon" TargetMode="External"/><Relationship Id="rId590" Type="http://schemas.openxmlformats.org/officeDocument/2006/relationships/hyperlink" Target="https://en.wikipedia.org/wiki/United_States" TargetMode="External"/><Relationship Id="rId107" Type="http://schemas.openxmlformats.org/officeDocument/2006/relationships/hyperlink" Target="https://en.wikipedia.org/wiki/Cardinal_priest" TargetMode="External"/><Relationship Id="rId349" Type="http://schemas.openxmlformats.org/officeDocument/2006/relationships/hyperlink" Target="https://en.wikipedia.org/wiki/Antonio_Maria_Vegli%C3%B2" TargetMode="External"/><Relationship Id="rId106" Type="http://schemas.openxmlformats.org/officeDocument/2006/relationships/hyperlink" Target="https://en.wikipedia.org/wiki/Spain" TargetMode="External"/><Relationship Id="rId348" Type="http://schemas.openxmlformats.org/officeDocument/2006/relationships/hyperlink" Target="https://en.wikipedia.org/wiki/Papal_Basilica_of_Saint_Mary_Major" TargetMode="External"/><Relationship Id="rId105" Type="http://schemas.openxmlformats.org/officeDocument/2006/relationships/hyperlink" Target="https://en.wikipedia.org/wiki/Antonio_Mar%C3%ADa_Rouco_Varela" TargetMode="External"/><Relationship Id="rId347" Type="http://schemas.openxmlformats.org/officeDocument/2006/relationships/hyperlink" Target="https://en.wikipedia.org/wiki/Cardinal_priest" TargetMode="External"/><Relationship Id="rId589" Type="http://schemas.openxmlformats.org/officeDocument/2006/relationships/hyperlink" Target="https://en.wikipedia.org/wiki/Joseph_W._Tobin" TargetMode="External"/><Relationship Id="rId104" Type="http://schemas.openxmlformats.org/officeDocument/2006/relationships/hyperlink" Target="https://en.wikipedia.org/wiki/Roman_Catholic_Archdiocese_of_Palermo" TargetMode="External"/><Relationship Id="rId346" Type="http://schemas.openxmlformats.org/officeDocument/2006/relationships/hyperlink" Target="https://en.wikipedia.org/wiki/Spain" TargetMode="External"/><Relationship Id="rId588" Type="http://schemas.openxmlformats.org/officeDocument/2006/relationships/hyperlink" Target="https://en.wikipedia.org/wiki/Roman_Catholic_Archdiocese_of_Port_Moresby" TargetMode="External"/><Relationship Id="rId109" Type="http://schemas.openxmlformats.org/officeDocument/2006/relationships/hyperlink" Target="https://en.wikipedia.org/wiki/Polycarp_Pengo" TargetMode="External"/><Relationship Id="rId108" Type="http://schemas.openxmlformats.org/officeDocument/2006/relationships/hyperlink" Target="https://en.wikipedia.org/wiki/Roman_Catholic_Archdiocese_of_Madrid" TargetMode="External"/><Relationship Id="rId341" Type="http://schemas.openxmlformats.org/officeDocument/2006/relationships/hyperlink" Target="https://en.wikipedia.org/wiki/Manuel_Monteiro_de_Castro" TargetMode="External"/><Relationship Id="rId583" Type="http://schemas.openxmlformats.org/officeDocument/2006/relationships/hyperlink" Target="https://en.wikipedia.org/wiki/Cardinal_priest" TargetMode="External"/><Relationship Id="rId340" Type="http://schemas.openxmlformats.org/officeDocument/2006/relationships/hyperlink" Target="https://en.wikipedia.org/wiki/Pontifical_Committee_for_Historical_Sciences" TargetMode="External"/><Relationship Id="rId582" Type="http://schemas.openxmlformats.org/officeDocument/2006/relationships/hyperlink" Target="https://en.wikipedia.org/wiki/Mexico" TargetMode="External"/><Relationship Id="rId581" Type="http://schemas.openxmlformats.org/officeDocument/2006/relationships/hyperlink" Target="https://en.wikipedia.org/wiki/Carlos_Aguiar_Retes" TargetMode="External"/><Relationship Id="rId580" Type="http://schemas.openxmlformats.org/officeDocument/2006/relationships/hyperlink" Target="https://en.wikipedia.org/wiki/Roman_Catholic_Diocese_of_Port-Louis" TargetMode="External"/><Relationship Id="rId103" Type="http://schemas.openxmlformats.org/officeDocument/2006/relationships/hyperlink" Target="https://en.wikipedia.org/wiki/Cardinal_priest" TargetMode="External"/><Relationship Id="rId345" Type="http://schemas.openxmlformats.org/officeDocument/2006/relationships/hyperlink" Target="https://en.wikipedia.org/wiki/Santos_Abril_y_Castell%C3%B3" TargetMode="External"/><Relationship Id="rId587" Type="http://schemas.openxmlformats.org/officeDocument/2006/relationships/hyperlink" Target="https://en.wikipedia.org/wiki/Cardinal_priest" TargetMode="External"/><Relationship Id="rId102" Type="http://schemas.openxmlformats.org/officeDocument/2006/relationships/hyperlink" Target="https://en.wikipedia.org/wiki/Italy" TargetMode="External"/><Relationship Id="rId344" Type="http://schemas.openxmlformats.org/officeDocument/2006/relationships/hyperlink" Target="https://en.wikipedia.org/wiki/Apostolic_Penitentiary" TargetMode="External"/><Relationship Id="rId586" Type="http://schemas.openxmlformats.org/officeDocument/2006/relationships/hyperlink" Target="https://en.wikipedia.org/wiki/Papua_New_Guinea" TargetMode="External"/><Relationship Id="rId101" Type="http://schemas.openxmlformats.org/officeDocument/2006/relationships/hyperlink" Target="https://en.wikipedia.org/wiki/Salvatore_De_Giorgi" TargetMode="External"/><Relationship Id="rId343" Type="http://schemas.openxmlformats.org/officeDocument/2006/relationships/hyperlink" Target="https://en.wikipedia.org/wiki/Cardinal_priest" TargetMode="External"/><Relationship Id="rId585" Type="http://schemas.openxmlformats.org/officeDocument/2006/relationships/hyperlink" Target="https://en.wikipedia.org/wiki/John_Ribat" TargetMode="External"/><Relationship Id="rId100" Type="http://schemas.openxmlformats.org/officeDocument/2006/relationships/hyperlink" Target="https://en.wikipedia.org/wiki/Apostolic_Penitentiary" TargetMode="External"/><Relationship Id="rId342" Type="http://schemas.openxmlformats.org/officeDocument/2006/relationships/hyperlink" Target="https://en.wikipedia.org/wiki/Portugal" TargetMode="External"/><Relationship Id="rId584" Type="http://schemas.openxmlformats.org/officeDocument/2006/relationships/hyperlink" Target="https://en.wikipedia.org/wiki/Roman_Catholic_Archdiocese_of_Mexico" TargetMode="External"/><Relationship Id="rId338" Type="http://schemas.openxmlformats.org/officeDocument/2006/relationships/hyperlink" Target="https://en.wikipedia.org/wiki/Germany" TargetMode="External"/><Relationship Id="rId337" Type="http://schemas.openxmlformats.org/officeDocument/2006/relationships/hyperlink" Target="https://en.wikipedia.org/wiki/Walter_Brandm%C3%BCller" TargetMode="External"/><Relationship Id="rId579" Type="http://schemas.openxmlformats.org/officeDocument/2006/relationships/hyperlink" Target="https://en.wikipedia.org/wiki/Cardinal_priest" TargetMode="External"/><Relationship Id="rId336" Type="http://schemas.openxmlformats.org/officeDocument/2006/relationships/hyperlink" Target="https://en.wikipedia.org/wiki/Roman_Catholic_Archdiocese_of_Munich_and_Freising" TargetMode="External"/><Relationship Id="rId578" Type="http://schemas.openxmlformats.org/officeDocument/2006/relationships/hyperlink" Target="https://en.wikipedia.org/wiki/Mauritius" TargetMode="External"/><Relationship Id="rId335" Type="http://schemas.openxmlformats.org/officeDocument/2006/relationships/hyperlink" Target="https://en.wikipedia.org/wiki/Cardinal_priest" TargetMode="External"/><Relationship Id="rId577" Type="http://schemas.openxmlformats.org/officeDocument/2006/relationships/hyperlink" Target="https://en.wikipedia.org/wiki/Maurice_Piat" TargetMode="External"/><Relationship Id="rId339" Type="http://schemas.openxmlformats.org/officeDocument/2006/relationships/hyperlink" Target="https://en.wikipedia.org/wiki/Cardinal_priest" TargetMode="External"/><Relationship Id="rId330" Type="http://schemas.openxmlformats.org/officeDocument/2006/relationships/hyperlink" Target="https://en.wikipedia.org/wiki/Sri_Lanka" TargetMode="External"/><Relationship Id="rId572" Type="http://schemas.openxmlformats.org/officeDocument/2006/relationships/hyperlink" Target="https://en.wikipedia.org/wiki/Roman_Catholic_Archdiocese_of_Caracas" TargetMode="External"/><Relationship Id="rId571" Type="http://schemas.openxmlformats.org/officeDocument/2006/relationships/hyperlink" Target="https://en.wikipedia.org/wiki/Cardinal_priest" TargetMode="External"/><Relationship Id="rId570" Type="http://schemas.openxmlformats.org/officeDocument/2006/relationships/hyperlink" Target="https://en.wikipedia.org/wiki/Venezuela" TargetMode="External"/><Relationship Id="rId334" Type="http://schemas.openxmlformats.org/officeDocument/2006/relationships/hyperlink" Target="https://en.wikipedia.org/wiki/Germany" TargetMode="External"/><Relationship Id="rId576" Type="http://schemas.openxmlformats.org/officeDocument/2006/relationships/hyperlink" Target="https://en.wikipedia.org/wiki/Roman_Catholic_Archdiocese_of_Mechelen%E2%80%93Brussels" TargetMode="External"/><Relationship Id="rId333" Type="http://schemas.openxmlformats.org/officeDocument/2006/relationships/hyperlink" Target="https://en.wikipedia.org/wiki/Reinhard_Marx" TargetMode="External"/><Relationship Id="rId575" Type="http://schemas.openxmlformats.org/officeDocument/2006/relationships/hyperlink" Target="https://en.wikipedia.org/wiki/Cardinal_priest" TargetMode="External"/><Relationship Id="rId332" Type="http://schemas.openxmlformats.org/officeDocument/2006/relationships/hyperlink" Target="https://en.wikipedia.org/wiki/Roman_Catholic_Archdiocese_of_Colombo" TargetMode="External"/><Relationship Id="rId574" Type="http://schemas.openxmlformats.org/officeDocument/2006/relationships/hyperlink" Target="https://en.wikipedia.org/wiki/Belgium" TargetMode="External"/><Relationship Id="rId331" Type="http://schemas.openxmlformats.org/officeDocument/2006/relationships/hyperlink" Target="https://en.wikipedia.org/wiki/Cardinal_priest" TargetMode="External"/><Relationship Id="rId573" Type="http://schemas.openxmlformats.org/officeDocument/2006/relationships/hyperlink" Target="https://en.wikipedia.org/wiki/Jozef_De_Kesel" TargetMode="External"/><Relationship Id="rId370" Type="http://schemas.openxmlformats.org/officeDocument/2006/relationships/hyperlink" Target="https://en.wikipedia.org/wiki/Italy" TargetMode="External"/><Relationship Id="rId129" Type="http://schemas.openxmlformats.org/officeDocument/2006/relationships/hyperlink" Target="https://en.wikipedia.org/wiki/Walter_Kasper" TargetMode="External"/><Relationship Id="rId128" Type="http://schemas.openxmlformats.org/officeDocument/2006/relationships/hyperlink" Target="https://en.wikipedia.org/wiki/Roman_Catholic_Archdiocese_of_Naples" TargetMode="External"/><Relationship Id="rId127" Type="http://schemas.openxmlformats.org/officeDocument/2006/relationships/hyperlink" Target="https://en.wikipedia.org/wiki/Cardinal_priest" TargetMode="External"/><Relationship Id="rId369" Type="http://schemas.openxmlformats.org/officeDocument/2006/relationships/hyperlink" Target="https://en.wikipedia.org/wiki/Domenico_Calcagno" TargetMode="External"/><Relationship Id="rId126" Type="http://schemas.openxmlformats.org/officeDocument/2006/relationships/hyperlink" Target="https://en.wikipedia.org/wiki/Italy" TargetMode="External"/><Relationship Id="rId368" Type="http://schemas.openxmlformats.org/officeDocument/2006/relationships/hyperlink" Target="https://en.wikipedia.org/wiki/Order_of_the_Holy_Sepulchre" TargetMode="External"/><Relationship Id="rId121" Type="http://schemas.openxmlformats.org/officeDocument/2006/relationships/hyperlink" Target="https://en.wikipedia.org/wiki/J%C4%81nis_Pujats" TargetMode="External"/><Relationship Id="rId363" Type="http://schemas.openxmlformats.org/officeDocument/2006/relationships/hyperlink" Target="https://en.wikipedia.org/wiki/Cardinal_priest" TargetMode="External"/><Relationship Id="rId120" Type="http://schemas.openxmlformats.org/officeDocument/2006/relationships/hyperlink" Target="https://en.wikipedia.org/wiki/Roman_Catholic_Archdiocese_of_Mexico" TargetMode="External"/><Relationship Id="rId362" Type="http://schemas.openxmlformats.org/officeDocument/2006/relationships/hyperlink" Target="https://en.wikipedia.org/wiki/Brazil" TargetMode="External"/><Relationship Id="rId361" Type="http://schemas.openxmlformats.org/officeDocument/2006/relationships/hyperlink" Target="https://en.wikipedia.org/wiki/Jo%C3%A3o_Braz_de_Aviz" TargetMode="External"/><Relationship Id="rId360" Type="http://schemas.openxmlformats.org/officeDocument/2006/relationships/hyperlink" Target="https://en.wikipedia.org/wiki/Pontifical_Council_for_Legislative_Texts" TargetMode="External"/><Relationship Id="rId125" Type="http://schemas.openxmlformats.org/officeDocument/2006/relationships/hyperlink" Target="https://en.wikipedia.org/wiki/Crescenzio_Sepe" TargetMode="External"/><Relationship Id="rId367" Type="http://schemas.openxmlformats.org/officeDocument/2006/relationships/hyperlink" Target="https://en.wikipedia.org/wiki/Cardinal_priest" TargetMode="External"/><Relationship Id="rId124" Type="http://schemas.openxmlformats.org/officeDocument/2006/relationships/hyperlink" Target="https://en.wikipedia.org/wiki/Roman_Catholic_Archdiocese_of_Riga" TargetMode="External"/><Relationship Id="rId366" Type="http://schemas.openxmlformats.org/officeDocument/2006/relationships/hyperlink" Target="https://en.wikipedia.org/wiki/United_States" TargetMode="External"/><Relationship Id="rId123" Type="http://schemas.openxmlformats.org/officeDocument/2006/relationships/hyperlink" Target="https://en.wikipedia.org/wiki/Cardinal_priest" TargetMode="External"/><Relationship Id="rId365" Type="http://schemas.openxmlformats.org/officeDocument/2006/relationships/hyperlink" Target="https://en.wikipedia.org/wiki/Edwin_Frederick_O%27Brien" TargetMode="External"/><Relationship Id="rId122" Type="http://schemas.openxmlformats.org/officeDocument/2006/relationships/hyperlink" Target="https://en.wikipedia.org/wiki/Latvia" TargetMode="External"/><Relationship Id="rId364" Type="http://schemas.openxmlformats.org/officeDocument/2006/relationships/hyperlink" Target="https://en.wikipedia.org/wiki/Dicastery_for_Institutes_of_Consecrated_Life_and_Societies_of_Apostolic_Life" TargetMode="External"/><Relationship Id="rId95" Type="http://schemas.openxmlformats.org/officeDocument/2006/relationships/hyperlink" Target="https://en.wikipedia.org/wiki/Cardinal_priest" TargetMode="External"/><Relationship Id="rId94" Type="http://schemas.openxmlformats.org/officeDocument/2006/relationships/hyperlink" Target="https://en.wikipedia.org/wiki/Mexico" TargetMode="External"/><Relationship Id="rId97" Type="http://schemas.openxmlformats.org/officeDocument/2006/relationships/hyperlink" Target="https://en.wikipedia.org/wiki/James_Stafford" TargetMode="External"/><Relationship Id="rId96" Type="http://schemas.openxmlformats.org/officeDocument/2006/relationships/hyperlink" Target="https://en.wikipedia.org/wiki/Roman_Catholic_Archdiocese_of_Guadalajara" TargetMode="External"/><Relationship Id="rId99" Type="http://schemas.openxmlformats.org/officeDocument/2006/relationships/hyperlink" Target="https://en.wikipedia.org/wiki/Cardinal_priest" TargetMode="External"/><Relationship Id="rId98" Type="http://schemas.openxmlformats.org/officeDocument/2006/relationships/hyperlink" Target="https://en.wikipedia.org/wiki/United_States" TargetMode="External"/><Relationship Id="rId91" Type="http://schemas.openxmlformats.org/officeDocument/2006/relationships/hyperlink" Target="https://en.wikipedia.org/wiki/Cardinal_priest" TargetMode="External"/><Relationship Id="rId90" Type="http://schemas.openxmlformats.org/officeDocument/2006/relationships/hyperlink" Target="https://en.wikipedia.org/wiki/Bosnia_and_Herzegovina" TargetMode="External"/><Relationship Id="rId93" Type="http://schemas.openxmlformats.org/officeDocument/2006/relationships/hyperlink" Target="https://en.wikipedia.org/wiki/Juan_Sandoval_%C3%8D%C3%B1iguez" TargetMode="External"/><Relationship Id="rId92" Type="http://schemas.openxmlformats.org/officeDocument/2006/relationships/hyperlink" Target="https://en.wikipedia.org/wiki/Roman_Catholic_Archdiocese_of_Vrhbosna" TargetMode="External"/><Relationship Id="rId118" Type="http://schemas.openxmlformats.org/officeDocument/2006/relationships/hyperlink" Target="https://en.wikipedia.org/wiki/Mexico" TargetMode="External"/><Relationship Id="rId117" Type="http://schemas.openxmlformats.org/officeDocument/2006/relationships/hyperlink" Target="https://en.wikipedia.org/wiki/Norberto_Rivera_Carrera" TargetMode="External"/><Relationship Id="rId359" Type="http://schemas.openxmlformats.org/officeDocument/2006/relationships/hyperlink" Target="https://en.wikipedia.org/wiki/Cardinal_priest" TargetMode="External"/><Relationship Id="rId116" Type="http://schemas.openxmlformats.org/officeDocument/2006/relationships/hyperlink" Target="https://en.wikipedia.org/wiki/Roman_Catholic_Archdiocese_of_Vienna" TargetMode="External"/><Relationship Id="rId358" Type="http://schemas.openxmlformats.org/officeDocument/2006/relationships/hyperlink" Target="https://en.wikipedia.org/wiki/Italy" TargetMode="External"/><Relationship Id="rId115" Type="http://schemas.openxmlformats.org/officeDocument/2006/relationships/hyperlink" Target="https://en.wikipedia.org/wiki/Cardinal_priest" TargetMode="External"/><Relationship Id="rId357" Type="http://schemas.openxmlformats.org/officeDocument/2006/relationships/hyperlink" Target="https://en.wikipedia.org/wiki/Francesco_Coccopalmerio" TargetMode="External"/><Relationship Id="rId599" Type="http://schemas.openxmlformats.org/officeDocument/2006/relationships/hyperlink" Target="https://en.wikipedia.org/wiki/Cardinal_priest" TargetMode="External"/><Relationship Id="rId119" Type="http://schemas.openxmlformats.org/officeDocument/2006/relationships/hyperlink" Target="https://en.wikipedia.org/wiki/Cardinal_priest" TargetMode="External"/><Relationship Id="rId110" Type="http://schemas.openxmlformats.org/officeDocument/2006/relationships/hyperlink" Target="https://en.wikipedia.org/wiki/Tanzania" TargetMode="External"/><Relationship Id="rId352" Type="http://schemas.openxmlformats.org/officeDocument/2006/relationships/hyperlink" Target="https://en.wikipedia.org/wiki/Pontifical_Council_for_the_Pastoral_Care_of_Migrants_and_Itinerant_People" TargetMode="External"/><Relationship Id="rId594" Type="http://schemas.openxmlformats.org/officeDocument/2006/relationships/hyperlink" Target="https://en.wikipedia.org/wiki/Mali" TargetMode="External"/><Relationship Id="rId351" Type="http://schemas.openxmlformats.org/officeDocument/2006/relationships/hyperlink" Target="https://en.wikipedia.org/wiki/Cardinal_priest" TargetMode="External"/><Relationship Id="rId593" Type="http://schemas.openxmlformats.org/officeDocument/2006/relationships/hyperlink" Target="https://en.wikipedia.org/wiki/Jean_Zerbo" TargetMode="External"/><Relationship Id="rId350" Type="http://schemas.openxmlformats.org/officeDocument/2006/relationships/hyperlink" Target="https://en.wikipedia.org/wiki/Italy" TargetMode="External"/><Relationship Id="rId592" Type="http://schemas.openxmlformats.org/officeDocument/2006/relationships/hyperlink" Target="https://en.wikipedia.org/wiki/Roman_Catholic_Archdiocese_of_Newark" TargetMode="External"/><Relationship Id="rId591" Type="http://schemas.openxmlformats.org/officeDocument/2006/relationships/hyperlink" Target="https://en.wikipedia.org/wiki/Cardinal_priest" TargetMode="External"/><Relationship Id="rId114" Type="http://schemas.openxmlformats.org/officeDocument/2006/relationships/hyperlink" Target="https://en.wikipedia.org/wiki/Austria" TargetMode="External"/><Relationship Id="rId356" Type="http://schemas.openxmlformats.org/officeDocument/2006/relationships/hyperlink" Target="https://en.wikipedia.org/wiki/Pontifical_Commission_for_Vatican_City_State" TargetMode="External"/><Relationship Id="rId598" Type="http://schemas.openxmlformats.org/officeDocument/2006/relationships/hyperlink" Target="https://en.wikipedia.org/wiki/Spain" TargetMode="External"/><Relationship Id="rId113" Type="http://schemas.openxmlformats.org/officeDocument/2006/relationships/hyperlink" Target="https://en.wikipedia.org/wiki/Christoph_Sch%C3%B6nborn" TargetMode="External"/><Relationship Id="rId355" Type="http://schemas.openxmlformats.org/officeDocument/2006/relationships/hyperlink" Target="https://en.wikipedia.org/wiki/Cardinal_priest" TargetMode="External"/><Relationship Id="rId597" Type="http://schemas.openxmlformats.org/officeDocument/2006/relationships/hyperlink" Target="https://en.wikipedia.org/wiki/Juan_Jos%C3%A9_Omella" TargetMode="External"/><Relationship Id="rId112" Type="http://schemas.openxmlformats.org/officeDocument/2006/relationships/hyperlink" Target="https://en.wikipedia.org/wiki/Roman_Catholic_Archdiocese_of_Dar-es-Salaam" TargetMode="External"/><Relationship Id="rId354" Type="http://schemas.openxmlformats.org/officeDocument/2006/relationships/hyperlink" Target="https://en.wikipedia.org/wiki/Italy" TargetMode="External"/><Relationship Id="rId596" Type="http://schemas.openxmlformats.org/officeDocument/2006/relationships/hyperlink" Target="https://en.wikipedia.org/wiki/Roman_Catholic_Archdiocese_of_Bamako" TargetMode="External"/><Relationship Id="rId111" Type="http://schemas.openxmlformats.org/officeDocument/2006/relationships/hyperlink" Target="https://en.wikipedia.org/wiki/Cardinal_priest" TargetMode="External"/><Relationship Id="rId353" Type="http://schemas.openxmlformats.org/officeDocument/2006/relationships/hyperlink" Target="https://en.wikipedia.org/wiki/Giuseppe_Bertello" TargetMode="External"/><Relationship Id="rId595" Type="http://schemas.openxmlformats.org/officeDocument/2006/relationships/hyperlink" Target="https://en.wikipedia.org/wiki/Cardinal_priest" TargetMode="External"/><Relationship Id="rId305" Type="http://schemas.openxmlformats.org/officeDocument/2006/relationships/hyperlink" Target="https://en.wikipedia.org/wiki/Mauro_Piacenza" TargetMode="External"/><Relationship Id="rId547" Type="http://schemas.openxmlformats.org/officeDocument/2006/relationships/hyperlink" Target="https://en.wikipedia.org/wiki/Cardinal_priest" TargetMode="External"/><Relationship Id="rId789" Type="http://schemas.openxmlformats.org/officeDocument/2006/relationships/hyperlink" Target="https://en.wikipedia.org/wiki/Malaysia" TargetMode="External"/><Relationship Id="rId304" Type="http://schemas.openxmlformats.org/officeDocument/2006/relationships/hyperlink" Target="https://en.wikipedia.org/wiki/Dicastery_for_Promoting_Christian_Unity" TargetMode="External"/><Relationship Id="rId546" Type="http://schemas.openxmlformats.org/officeDocument/2006/relationships/hyperlink" Target="https://en.wikipedia.org/wiki/Mozambique" TargetMode="External"/><Relationship Id="rId788" Type="http://schemas.openxmlformats.org/officeDocument/2006/relationships/hyperlink" Target="https://en.wikipedia.org/wiki/Sebastian_Francis" TargetMode="External"/><Relationship Id="rId303" Type="http://schemas.openxmlformats.org/officeDocument/2006/relationships/hyperlink" Target="https://en.wikipedia.org/wiki/Cardinal_priest" TargetMode="External"/><Relationship Id="rId545" Type="http://schemas.openxmlformats.org/officeDocument/2006/relationships/hyperlink" Target="https://en.wikipedia.org/wiki/J%C3%BAlio_Duarte_Langa" TargetMode="External"/><Relationship Id="rId787" Type="http://schemas.openxmlformats.org/officeDocument/2006/relationships/hyperlink" Target="https://en.wikipedia.org/wiki/Roman_Catholic_Archdiocese_of_Tabora" TargetMode="External"/><Relationship Id="rId302" Type="http://schemas.openxmlformats.org/officeDocument/2006/relationships/hyperlink" Target="https://en.wikipedia.org/wiki/Switzerland" TargetMode="External"/><Relationship Id="rId544" Type="http://schemas.openxmlformats.org/officeDocument/2006/relationships/hyperlink" Target="https://en.wikipedia.org/wiki/Roman_Catholic_Archdiocese_of_Tucum%C3%A1n" TargetMode="External"/><Relationship Id="rId786" Type="http://schemas.openxmlformats.org/officeDocument/2006/relationships/hyperlink" Target="https://en.wikipedia.org/wiki/Cardinal_priest" TargetMode="External"/><Relationship Id="rId309" Type="http://schemas.openxmlformats.org/officeDocument/2006/relationships/hyperlink" Target="https://en.wikipedia.org/wiki/Gianfranco_Ravasi" TargetMode="External"/><Relationship Id="rId308" Type="http://schemas.openxmlformats.org/officeDocument/2006/relationships/hyperlink" Target="https://en.wikipedia.org/wiki/Apostolic_Penitentiary" TargetMode="External"/><Relationship Id="rId307" Type="http://schemas.openxmlformats.org/officeDocument/2006/relationships/hyperlink" Target="https://en.wikipedia.org/wiki/Cardinal_priest" TargetMode="External"/><Relationship Id="rId549" Type="http://schemas.openxmlformats.org/officeDocument/2006/relationships/hyperlink" Target="https://en.wikipedia.org/wiki/Dieudonn%C3%A9_Nzapalainga" TargetMode="External"/><Relationship Id="rId306" Type="http://schemas.openxmlformats.org/officeDocument/2006/relationships/hyperlink" Target="https://en.wikipedia.org/wiki/Italy" TargetMode="External"/><Relationship Id="rId548" Type="http://schemas.openxmlformats.org/officeDocument/2006/relationships/hyperlink" Target="https://en.wikipedia.org/wiki/Roman_Catholic_Diocese_of_Xai-Xai" TargetMode="External"/><Relationship Id="rId781" Type="http://schemas.openxmlformats.org/officeDocument/2006/relationships/hyperlink" Target="https://en.wikipedia.org/wiki/Spain" TargetMode="External"/><Relationship Id="rId780" Type="http://schemas.openxmlformats.org/officeDocument/2006/relationships/hyperlink" Target="https://en.wikipedia.org/wiki/Jos%C3%A9_Cobo_Cano" TargetMode="External"/><Relationship Id="rId301" Type="http://schemas.openxmlformats.org/officeDocument/2006/relationships/hyperlink" Target="https://en.wikipedia.org/wiki/Kurt_Koch" TargetMode="External"/><Relationship Id="rId543" Type="http://schemas.openxmlformats.org/officeDocument/2006/relationships/hyperlink" Target="https://en.wikipedia.org/wiki/Cardinal_priest" TargetMode="External"/><Relationship Id="rId785" Type="http://schemas.openxmlformats.org/officeDocument/2006/relationships/hyperlink" Target="https://en.wikipedia.org/wiki/Tanzania" TargetMode="External"/><Relationship Id="rId300" Type="http://schemas.openxmlformats.org/officeDocument/2006/relationships/hyperlink" Target="https://en.wikipedia.org/wiki/Sovereign_Military_Order_of_Malta" TargetMode="External"/><Relationship Id="rId542" Type="http://schemas.openxmlformats.org/officeDocument/2006/relationships/hyperlink" Target="https://en.wikipedia.org/wiki/Argentina" TargetMode="External"/><Relationship Id="rId784" Type="http://schemas.openxmlformats.org/officeDocument/2006/relationships/hyperlink" Target="https://en.wikipedia.org/wiki/Protase_Rugambwa" TargetMode="External"/><Relationship Id="rId541" Type="http://schemas.openxmlformats.org/officeDocument/2006/relationships/hyperlink" Target="https://en.wikipedia.org/wiki/Luis_H%C3%A9ctor_Villalba" TargetMode="External"/><Relationship Id="rId783" Type="http://schemas.openxmlformats.org/officeDocument/2006/relationships/hyperlink" Target="https://en.wikipedia.org/wiki/Roman_Catholic_Archdiocese_of_Madrid" TargetMode="External"/><Relationship Id="rId540" Type="http://schemas.openxmlformats.org/officeDocument/2006/relationships/hyperlink" Target="https://en.wikipedia.org/wiki/Roman_Catholic_Diocese_of_Tonga" TargetMode="External"/><Relationship Id="rId782" Type="http://schemas.openxmlformats.org/officeDocument/2006/relationships/hyperlink" Target="https://en.wikipedia.org/wiki/Cardinal_priest" TargetMode="External"/><Relationship Id="rId536" Type="http://schemas.openxmlformats.org/officeDocument/2006/relationships/hyperlink" Target="https://en.wikipedia.org/wiki/Roman_Catholic_Diocese_of_Santiago_de_Cabo_Verde" TargetMode="External"/><Relationship Id="rId778" Type="http://schemas.openxmlformats.org/officeDocument/2006/relationships/hyperlink" Target="https://en.wikipedia.org/wiki/Cardinal_priest" TargetMode="External"/><Relationship Id="rId535" Type="http://schemas.openxmlformats.org/officeDocument/2006/relationships/hyperlink" Target="https://en.wikipedia.org/wiki/Cardinal_priest" TargetMode="External"/><Relationship Id="rId777" Type="http://schemas.openxmlformats.org/officeDocument/2006/relationships/hyperlink" Target="https://en.wikipedia.org/wiki/South_Sudan" TargetMode="External"/><Relationship Id="rId534" Type="http://schemas.openxmlformats.org/officeDocument/2006/relationships/hyperlink" Target="https://en.wikipedia.org/wiki/Cape_Verde" TargetMode="External"/><Relationship Id="rId776" Type="http://schemas.openxmlformats.org/officeDocument/2006/relationships/hyperlink" Target="https://en.wikipedia.org/wiki/Stephen_Ameyu_Martin_Mulla" TargetMode="External"/><Relationship Id="rId533" Type="http://schemas.openxmlformats.org/officeDocument/2006/relationships/hyperlink" Target="https://en.wikipedia.org/wiki/Arlindo_Gomes_Furtado" TargetMode="External"/><Relationship Id="rId775" Type="http://schemas.openxmlformats.org/officeDocument/2006/relationships/hyperlink" Target="https://en.wikipedia.org/wiki/Roman_Catholic_Archdiocese_of_%C5%81%C3%B3d%C5%BA" TargetMode="External"/><Relationship Id="rId539" Type="http://schemas.openxmlformats.org/officeDocument/2006/relationships/hyperlink" Target="https://en.wikipedia.org/wiki/Cardinal_priest" TargetMode="External"/><Relationship Id="rId538" Type="http://schemas.openxmlformats.org/officeDocument/2006/relationships/hyperlink" Target="https://en.wikipedia.org/wiki/Tonga" TargetMode="External"/><Relationship Id="rId537" Type="http://schemas.openxmlformats.org/officeDocument/2006/relationships/hyperlink" Target="https://en.wikipedia.org/wiki/Soane_Patita_Paini_Mafi" TargetMode="External"/><Relationship Id="rId779" Type="http://schemas.openxmlformats.org/officeDocument/2006/relationships/hyperlink" Target="https://en.wikipedia.org/wiki/Roman_Catholic_Archdiocese_of_Juba" TargetMode="External"/><Relationship Id="rId770" Type="http://schemas.openxmlformats.org/officeDocument/2006/relationships/hyperlink" Target="https://en.wikipedia.org/wiki/Cardinal_priest" TargetMode="External"/><Relationship Id="rId532" Type="http://schemas.openxmlformats.org/officeDocument/2006/relationships/hyperlink" Target="https://en.wikipedia.org/wiki/Roman_Catholic_Diocese_of_David" TargetMode="External"/><Relationship Id="rId774" Type="http://schemas.openxmlformats.org/officeDocument/2006/relationships/hyperlink" Target="https://en.wikipedia.org/wiki/Cardinal_priest" TargetMode="External"/><Relationship Id="rId531" Type="http://schemas.openxmlformats.org/officeDocument/2006/relationships/hyperlink" Target="https://en.wikipedia.org/wiki/Cardinal_priest" TargetMode="External"/><Relationship Id="rId773" Type="http://schemas.openxmlformats.org/officeDocument/2006/relationships/hyperlink" Target="https://en.wikipedia.org/wiki/Poland" TargetMode="External"/><Relationship Id="rId530" Type="http://schemas.openxmlformats.org/officeDocument/2006/relationships/hyperlink" Target="https://en.wikipedia.org/wiki/Panama" TargetMode="External"/><Relationship Id="rId772" Type="http://schemas.openxmlformats.org/officeDocument/2006/relationships/hyperlink" Target="https://en.wikipedia.org/wiki/Grzegorz_Ry%C5%9B" TargetMode="External"/><Relationship Id="rId771" Type="http://schemas.openxmlformats.org/officeDocument/2006/relationships/hyperlink" Target="https://en.wikipedia.org/wiki/Roman_Catholic_Archdiocese_of_Bogot%C3%A1" TargetMode="External"/><Relationship Id="rId327" Type="http://schemas.openxmlformats.org/officeDocument/2006/relationships/hyperlink" Target="https://en.wikipedia.org/wiki/Cardinal_priest" TargetMode="External"/><Relationship Id="rId569" Type="http://schemas.openxmlformats.org/officeDocument/2006/relationships/hyperlink" Target="https://en.wikipedia.org/wiki/Baltazar_Enrique_Porras_Cardozo" TargetMode="External"/><Relationship Id="rId326" Type="http://schemas.openxmlformats.org/officeDocument/2006/relationships/hyperlink" Target="https://en.wikipedia.org/wiki/Poland" TargetMode="External"/><Relationship Id="rId568" Type="http://schemas.openxmlformats.org/officeDocument/2006/relationships/hyperlink" Target="https://en.wikipedia.org/wiki/Roman_Catholic_Archdiocese_of_Dhaka" TargetMode="External"/><Relationship Id="rId325" Type="http://schemas.openxmlformats.org/officeDocument/2006/relationships/hyperlink" Target="https://en.wikipedia.org/wiki/Kazimierz_Nycz" TargetMode="External"/><Relationship Id="rId567" Type="http://schemas.openxmlformats.org/officeDocument/2006/relationships/hyperlink" Target="https://en.wikipedia.org/wiki/Cardinal_priest" TargetMode="External"/><Relationship Id="rId324" Type="http://schemas.openxmlformats.org/officeDocument/2006/relationships/hyperlink" Target="https://en.wikipedia.org/wiki/Roman_Catholic_Archdiocese_of_Aparecida" TargetMode="External"/><Relationship Id="rId566" Type="http://schemas.openxmlformats.org/officeDocument/2006/relationships/hyperlink" Target="https://en.wikipedia.org/wiki/Bangladesh" TargetMode="External"/><Relationship Id="rId329" Type="http://schemas.openxmlformats.org/officeDocument/2006/relationships/hyperlink" Target="https://en.wikipedia.org/wiki/Malcolm_Ranjith" TargetMode="External"/><Relationship Id="rId328" Type="http://schemas.openxmlformats.org/officeDocument/2006/relationships/hyperlink" Target="https://en.wikipedia.org/wiki/Roman_Catholic_Archdiocese_of_Warsaw" TargetMode="External"/><Relationship Id="rId561" Type="http://schemas.openxmlformats.org/officeDocument/2006/relationships/hyperlink" Target="https://en.wikipedia.org/wiki/Blase_J._Cupich" TargetMode="External"/><Relationship Id="rId560" Type="http://schemas.openxmlformats.org/officeDocument/2006/relationships/hyperlink" Target="https://en.wikipedia.org/wiki/Roman_Catholic_Archdiocese_of_S%C3%A3o_Salvador_da_Bahia" TargetMode="External"/><Relationship Id="rId323" Type="http://schemas.openxmlformats.org/officeDocument/2006/relationships/hyperlink" Target="https://en.wikipedia.org/wiki/Cardinal_priest" TargetMode="External"/><Relationship Id="rId565" Type="http://schemas.openxmlformats.org/officeDocument/2006/relationships/hyperlink" Target="https://en.wikipedia.org/wiki/Patrick_D%27Rozario" TargetMode="External"/><Relationship Id="rId322" Type="http://schemas.openxmlformats.org/officeDocument/2006/relationships/hyperlink" Target="https://en.wikipedia.org/wiki/Brazil" TargetMode="External"/><Relationship Id="rId564" Type="http://schemas.openxmlformats.org/officeDocument/2006/relationships/hyperlink" Target="https://en.wikipedia.org/wiki/Roman_Catholic_Archdiocese_of_Chicago" TargetMode="External"/><Relationship Id="rId321" Type="http://schemas.openxmlformats.org/officeDocument/2006/relationships/hyperlink" Target="https://en.wikipedia.org/wiki/Raymundo_Damasceno_Assis" TargetMode="External"/><Relationship Id="rId563" Type="http://schemas.openxmlformats.org/officeDocument/2006/relationships/hyperlink" Target="https://en.wikipedia.org/wiki/Cardinal_priest" TargetMode="External"/><Relationship Id="rId320" Type="http://schemas.openxmlformats.org/officeDocument/2006/relationships/hyperlink" Target="https://en.wikipedia.org/wiki/Roman_Catholic_Archdiocese_of_Washington" TargetMode="External"/><Relationship Id="rId562" Type="http://schemas.openxmlformats.org/officeDocument/2006/relationships/hyperlink" Target="https://en.wikipedia.org/wiki/United_States" TargetMode="External"/><Relationship Id="rId316" Type="http://schemas.openxmlformats.org/officeDocument/2006/relationships/hyperlink" Target="https://en.wikipedia.org/wiki/Roman_Catholic_Archdiocese_of_Palermo" TargetMode="External"/><Relationship Id="rId558" Type="http://schemas.openxmlformats.org/officeDocument/2006/relationships/hyperlink" Target="https://en.wikipedia.org/wiki/Brazil" TargetMode="External"/><Relationship Id="rId315" Type="http://schemas.openxmlformats.org/officeDocument/2006/relationships/hyperlink" Target="https://en.wikipedia.org/wiki/Cardinal_priest" TargetMode="External"/><Relationship Id="rId557" Type="http://schemas.openxmlformats.org/officeDocument/2006/relationships/hyperlink" Target="https://en.wikipedia.org/wiki/S%C3%A9rgio_da_Rocha" TargetMode="External"/><Relationship Id="rId799" Type="http://schemas.openxmlformats.org/officeDocument/2006/relationships/hyperlink" Target="https://en.wikipedia.org/wiki/Roman_Catholic_Diocese_of_Ajaccio" TargetMode="External"/><Relationship Id="rId314" Type="http://schemas.openxmlformats.org/officeDocument/2006/relationships/hyperlink" Target="https://en.wikipedia.org/wiki/Italy" TargetMode="External"/><Relationship Id="rId556" Type="http://schemas.openxmlformats.org/officeDocument/2006/relationships/hyperlink" Target="https://en.wikipedia.org/wiki/Roman_Catholic_Archdiocese_of_Madrid" TargetMode="External"/><Relationship Id="rId798" Type="http://schemas.openxmlformats.org/officeDocument/2006/relationships/hyperlink" Target="https://en.wikipedia.org/wiki/Cardinal_priest" TargetMode="External"/><Relationship Id="rId313" Type="http://schemas.openxmlformats.org/officeDocument/2006/relationships/hyperlink" Target="https://en.wikipedia.org/wiki/Paolo_Romeo" TargetMode="External"/><Relationship Id="rId555" Type="http://schemas.openxmlformats.org/officeDocument/2006/relationships/hyperlink" Target="https://en.wikipedia.org/wiki/Cardinal_priest" TargetMode="External"/><Relationship Id="rId797" Type="http://schemas.openxmlformats.org/officeDocument/2006/relationships/hyperlink" Target="https://en.wikipedia.org/wiki/France" TargetMode="External"/><Relationship Id="rId319" Type="http://schemas.openxmlformats.org/officeDocument/2006/relationships/hyperlink" Target="https://en.wikipedia.org/wiki/Cardinal_priest" TargetMode="External"/><Relationship Id="rId318" Type="http://schemas.openxmlformats.org/officeDocument/2006/relationships/hyperlink" Target="https://en.wikipedia.org/wiki/United_States" TargetMode="External"/><Relationship Id="rId317" Type="http://schemas.openxmlformats.org/officeDocument/2006/relationships/hyperlink" Target="https://en.wikipedia.org/wiki/Donald_Wuerl" TargetMode="External"/><Relationship Id="rId559" Type="http://schemas.openxmlformats.org/officeDocument/2006/relationships/hyperlink" Target="https://en.wikipedia.org/wiki/Cardinal_priest" TargetMode="External"/><Relationship Id="rId550" Type="http://schemas.openxmlformats.org/officeDocument/2006/relationships/hyperlink" Target="https://en.wikipedia.org/wiki/Central_African_Republic" TargetMode="External"/><Relationship Id="rId792" Type="http://schemas.openxmlformats.org/officeDocument/2006/relationships/hyperlink" Target="https://en.wikipedia.org/wiki/Stephen_Chow_(bishop)" TargetMode="External"/><Relationship Id="rId791" Type="http://schemas.openxmlformats.org/officeDocument/2006/relationships/hyperlink" Target="https://en.wikipedia.org/wiki/Roman_Catholic_Diocese_of_Penang" TargetMode="External"/><Relationship Id="rId790" Type="http://schemas.openxmlformats.org/officeDocument/2006/relationships/hyperlink" Target="https://en.wikipedia.org/wiki/Cardinal_priest" TargetMode="External"/><Relationship Id="rId312" Type="http://schemas.openxmlformats.org/officeDocument/2006/relationships/hyperlink" Target="https://en.wikipedia.org/wiki/Pontifical_Council_for_Culture" TargetMode="External"/><Relationship Id="rId554" Type="http://schemas.openxmlformats.org/officeDocument/2006/relationships/hyperlink" Target="https://en.wikipedia.org/wiki/Spain" TargetMode="External"/><Relationship Id="rId796" Type="http://schemas.openxmlformats.org/officeDocument/2006/relationships/hyperlink" Target="https://en.wikipedia.org/wiki/Fran%C3%A7ois-Xavier_Bustillo" TargetMode="External"/><Relationship Id="rId311" Type="http://schemas.openxmlformats.org/officeDocument/2006/relationships/hyperlink" Target="https://en.wikipedia.org/wiki/Cardinal_priest" TargetMode="External"/><Relationship Id="rId553" Type="http://schemas.openxmlformats.org/officeDocument/2006/relationships/hyperlink" Target="https://en.wikipedia.org/wiki/Carlos_Osoro_Sierra" TargetMode="External"/><Relationship Id="rId795" Type="http://schemas.openxmlformats.org/officeDocument/2006/relationships/hyperlink" Target="https://en.wikipedia.org/wiki/Roman_Catholic_Diocese_of_Hong_Kong" TargetMode="External"/><Relationship Id="rId310" Type="http://schemas.openxmlformats.org/officeDocument/2006/relationships/hyperlink" Target="https://en.wikipedia.org/wiki/Italy" TargetMode="External"/><Relationship Id="rId552" Type="http://schemas.openxmlformats.org/officeDocument/2006/relationships/hyperlink" Target="https://en.wikipedia.org/wiki/Roman_Catholic_Archdiocese_of_Bangui" TargetMode="External"/><Relationship Id="rId794" Type="http://schemas.openxmlformats.org/officeDocument/2006/relationships/hyperlink" Target="https://en.wikipedia.org/wiki/Cardinal_priest" TargetMode="External"/><Relationship Id="rId551" Type="http://schemas.openxmlformats.org/officeDocument/2006/relationships/hyperlink" Target="https://en.wikipedia.org/wiki/Cardinal_priest" TargetMode="External"/><Relationship Id="rId793" Type="http://schemas.openxmlformats.org/officeDocument/2006/relationships/hyperlink" Target="https://en.wikipedia.org/wiki/China" TargetMode="External"/><Relationship Id="rId297" Type="http://schemas.openxmlformats.org/officeDocument/2006/relationships/hyperlink" Target="https://en.wikipedia.org/wiki/Raymond_Leo_Burke" TargetMode="External"/><Relationship Id="rId296" Type="http://schemas.openxmlformats.org/officeDocument/2006/relationships/hyperlink" Target="https://en.wikipedia.org/wiki/Papal_Basilica_of_Saint_Paul_Outside_the_Walls" TargetMode="External"/><Relationship Id="rId295" Type="http://schemas.openxmlformats.org/officeDocument/2006/relationships/hyperlink" Target="https://en.wikipedia.org/wiki/Cardinal_priest" TargetMode="External"/><Relationship Id="rId294" Type="http://schemas.openxmlformats.org/officeDocument/2006/relationships/hyperlink" Target="https://en.wikipedia.org/wiki/Italy" TargetMode="External"/><Relationship Id="rId299" Type="http://schemas.openxmlformats.org/officeDocument/2006/relationships/hyperlink" Target="https://en.wikipedia.org/wiki/Cardinal_priest" TargetMode="External"/><Relationship Id="rId298" Type="http://schemas.openxmlformats.org/officeDocument/2006/relationships/hyperlink" Target="https://en.wikipedia.org/wiki/United_States" TargetMode="External"/><Relationship Id="rId271" Type="http://schemas.openxmlformats.org/officeDocument/2006/relationships/hyperlink" Target="https://en.wikipedia.org/wiki/Cardinal_priest" TargetMode="External"/><Relationship Id="rId270" Type="http://schemas.openxmlformats.org/officeDocument/2006/relationships/hyperlink" Target="https://en.wikipedia.org/wiki/Mexico" TargetMode="External"/><Relationship Id="rId269" Type="http://schemas.openxmlformats.org/officeDocument/2006/relationships/hyperlink" Target="https://en.wikipedia.org/wiki/Francisco_Robles_Ortega" TargetMode="External"/><Relationship Id="rId264" Type="http://schemas.openxmlformats.org/officeDocument/2006/relationships/hyperlink" Target="https://en.wikipedia.org/wiki/Roman_Catholic_Archdiocese_of_Dakar" TargetMode="External"/><Relationship Id="rId263" Type="http://schemas.openxmlformats.org/officeDocument/2006/relationships/hyperlink" Target="https://en.wikipedia.org/wiki/Cardinal_priest" TargetMode="External"/><Relationship Id="rId262" Type="http://schemas.openxmlformats.org/officeDocument/2006/relationships/hyperlink" Target="https://en.wikipedia.org/wiki/Senegal" TargetMode="External"/><Relationship Id="rId261" Type="http://schemas.openxmlformats.org/officeDocument/2006/relationships/hyperlink" Target="https://en.wikipedia.org/wiki/Th%C3%A9odore-Adrien_Sarr" TargetMode="External"/><Relationship Id="rId268" Type="http://schemas.openxmlformats.org/officeDocument/2006/relationships/hyperlink" Target="https://en.wikipedia.org/wiki/Roman_Catholic_Archdiocese_of_Bombay" TargetMode="External"/><Relationship Id="rId267" Type="http://schemas.openxmlformats.org/officeDocument/2006/relationships/hyperlink" Target="https://en.wikipedia.org/wiki/Cardinal_priest" TargetMode="External"/><Relationship Id="rId266" Type="http://schemas.openxmlformats.org/officeDocument/2006/relationships/hyperlink" Target="https://en.wikipedia.org/wiki/India" TargetMode="External"/><Relationship Id="rId265" Type="http://schemas.openxmlformats.org/officeDocument/2006/relationships/hyperlink" Target="https://en.wikipedia.org/wiki/Oswald_Gracias" TargetMode="External"/><Relationship Id="rId260" Type="http://schemas.openxmlformats.org/officeDocument/2006/relationships/hyperlink" Target="https://en.wikipedia.org/wiki/Roman_Catholic_Archdiocese_of_Genoa" TargetMode="External"/><Relationship Id="rId259" Type="http://schemas.openxmlformats.org/officeDocument/2006/relationships/hyperlink" Target="https://en.wikipedia.org/wiki/Cardinal_priest" TargetMode="External"/><Relationship Id="rId258" Type="http://schemas.openxmlformats.org/officeDocument/2006/relationships/hyperlink" Target="https://en.wikipedia.org/wiki/Italy" TargetMode="External"/><Relationship Id="rId253" Type="http://schemas.openxmlformats.org/officeDocument/2006/relationships/hyperlink" Target="https://en.wikipedia.org/wiki/Andr%C3%A9_Vingt-Trois" TargetMode="External"/><Relationship Id="rId495" Type="http://schemas.openxmlformats.org/officeDocument/2006/relationships/hyperlink" Target="https://en.wikipedia.org/wiki/Cardinal_priest" TargetMode="External"/><Relationship Id="rId252" Type="http://schemas.openxmlformats.org/officeDocument/2006/relationships/hyperlink" Target="https://en.wikipedia.org/wiki/Roman_Catholic_Archdiocese_of_Barcelona" TargetMode="External"/><Relationship Id="rId494" Type="http://schemas.openxmlformats.org/officeDocument/2006/relationships/hyperlink" Target="https://en.wikipedia.org/wiki/New_Zealand" TargetMode="External"/><Relationship Id="rId251" Type="http://schemas.openxmlformats.org/officeDocument/2006/relationships/hyperlink" Target="https://en.wikipedia.org/wiki/Cardinal_priest" TargetMode="External"/><Relationship Id="rId493" Type="http://schemas.openxmlformats.org/officeDocument/2006/relationships/hyperlink" Target="https://en.wikipedia.org/wiki/John_Dew_(cardinal)" TargetMode="External"/><Relationship Id="rId250" Type="http://schemas.openxmlformats.org/officeDocument/2006/relationships/hyperlink" Target="https://en.wikipedia.org/wiki/Spain" TargetMode="External"/><Relationship Id="rId492" Type="http://schemas.openxmlformats.org/officeDocument/2006/relationships/hyperlink" Target="https://en.wikipedia.org/wiki/Ethiopian_Catholic_Archeparchy_of_Addis_Abeba" TargetMode="External"/><Relationship Id="rId257" Type="http://schemas.openxmlformats.org/officeDocument/2006/relationships/hyperlink" Target="https://en.wikipedia.org/wiki/Angelo_Bagnasco" TargetMode="External"/><Relationship Id="rId499" Type="http://schemas.openxmlformats.org/officeDocument/2006/relationships/hyperlink" Target="https://en.wikipedia.org/wiki/Cardinal_priest" TargetMode="External"/><Relationship Id="rId256" Type="http://schemas.openxmlformats.org/officeDocument/2006/relationships/hyperlink" Target="https://en.wikipedia.org/wiki/Roman_Catholic_Archdiocese_of_Paris" TargetMode="External"/><Relationship Id="rId498" Type="http://schemas.openxmlformats.org/officeDocument/2006/relationships/hyperlink" Target="https://en.wikipedia.org/wiki/Italy" TargetMode="External"/><Relationship Id="rId255" Type="http://schemas.openxmlformats.org/officeDocument/2006/relationships/hyperlink" Target="https://en.wikipedia.org/wiki/Cardinal_priest" TargetMode="External"/><Relationship Id="rId497" Type="http://schemas.openxmlformats.org/officeDocument/2006/relationships/hyperlink" Target="https://en.wikipedia.org/wiki/Edoardo_Menichelli" TargetMode="External"/><Relationship Id="rId254" Type="http://schemas.openxmlformats.org/officeDocument/2006/relationships/hyperlink" Target="https://en.wikipedia.org/wiki/France" TargetMode="External"/><Relationship Id="rId496" Type="http://schemas.openxmlformats.org/officeDocument/2006/relationships/hyperlink" Target="https://en.wikipedia.org/wiki/Roman_Catholic_Archdiocese_of_Wellington" TargetMode="External"/><Relationship Id="rId293" Type="http://schemas.openxmlformats.org/officeDocument/2006/relationships/hyperlink" Target="https://en.wikipedia.org/wiki/Francesco_Monterisi" TargetMode="External"/><Relationship Id="rId292" Type="http://schemas.openxmlformats.org/officeDocument/2006/relationships/hyperlink" Target="https://en.wikipedia.org/wiki/Congregation_for_Divine_Worship_and_the_Discipline_of_the_Sacraments" TargetMode="External"/><Relationship Id="rId291" Type="http://schemas.openxmlformats.org/officeDocument/2006/relationships/hyperlink" Target="https://en.wikipedia.org/wiki/Cardinal_priest" TargetMode="External"/><Relationship Id="rId290" Type="http://schemas.openxmlformats.org/officeDocument/2006/relationships/hyperlink" Target="https://en.wikipedia.org/wiki/Guinea" TargetMode="External"/><Relationship Id="rId286" Type="http://schemas.openxmlformats.org/officeDocument/2006/relationships/hyperlink" Target="https://en.wikipedia.org/wiki/Argentina" TargetMode="External"/><Relationship Id="rId285" Type="http://schemas.openxmlformats.org/officeDocument/2006/relationships/hyperlink" Target="https://en.wikipedia.org/wiki/Estanislao_Esteban_Karlic" TargetMode="External"/><Relationship Id="rId284" Type="http://schemas.openxmlformats.org/officeDocument/2006/relationships/hyperlink" Target="https://en.wikipedia.org/wiki/Roman_Catholic_Archdiocese_of_Nairobi" TargetMode="External"/><Relationship Id="rId283" Type="http://schemas.openxmlformats.org/officeDocument/2006/relationships/hyperlink" Target="https://en.wikipedia.org/wiki/Cardinal_priest" TargetMode="External"/><Relationship Id="rId289" Type="http://schemas.openxmlformats.org/officeDocument/2006/relationships/hyperlink" Target="https://en.wikipedia.org/wiki/Robert_Sarah" TargetMode="External"/><Relationship Id="rId288" Type="http://schemas.openxmlformats.org/officeDocument/2006/relationships/hyperlink" Target="https://en.wikipedia.org/wiki/Roman_Catholic_Archdiocese_of_Paran%C3%A1" TargetMode="External"/><Relationship Id="rId287" Type="http://schemas.openxmlformats.org/officeDocument/2006/relationships/hyperlink" Target="https://en.wikipedia.org/wiki/Cardinal_priest" TargetMode="External"/><Relationship Id="rId282" Type="http://schemas.openxmlformats.org/officeDocument/2006/relationships/hyperlink" Target="https://en.wikipedia.org/wiki/Kenya" TargetMode="External"/><Relationship Id="rId281" Type="http://schemas.openxmlformats.org/officeDocument/2006/relationships/hyperlink" Target="https://en.wikipedia.org/wiki/John_Njue" TargetMode="External"/><Relationship Id="rId280" Type="http://schemas.openxmlformats.org/officeDocument/2006/relationships/hyperlink" Target="https://en.wikipedia.org/wiki/Roman_Catholic_Archdiocese_of_S%C3%A3o_Paulo" TargetMode="External"/><Relationship Id="rId275" Type="http://schemas.openxmlformats.org/officeDocument/2006/relationships/hyperlink" Target="https://en.wikipedia.org/wiki/Cardinal_priest" TargetMode="External"/><Relationship Id="rId274" Type="http://schemas.openxmlformats.org/officeDocument/2006/relationships/hyperlink" Target="https://en.wikipedia.org/wiki/United_States" TargetMode="External"/><Relationship Id="rId273" Type="http://schemas.openxmlformats.org/officeDocument/2006/relationships/hyperlink" Target="https://en.wikipedia.org/wiki/Daniel_DiNardo" TargetMode="External"/><Relationship Id="rId272" Type="http://schemas.openxmlformats.org/officeDocument/2006/relationships/hyperlink" Target="https://en.wikipedia.org/wiki/Roman_Catholic_Archdiocese_of_Guadalajara" TargetMode="External"/><Relationship Id="rId279" Type="http://schemas.openxmlformats.org/officeDocument/2006/relationships/hyperlink" Target="https://en.wikipedia.org/wiki/Cardinal_priest" TargetMode="External"/><Relationship Id="rId278" Type="http://schemas.openxmlformats.org/officeDocument/2006/relationships/hyperlink" Target="https://en.wikipedia.org/wiki/Brazil" TargetMode="External"/><Relationship Id="rId277" Type="http://schemas.openxmlformats.org/officeDocument/2006/relationships/hyperlink" Target="https://en.wikipedia.org/wiki/Odilo_Scherer" TargetMode="External"/><Relationship Id="rId276" Type="http://schemas.openxmlformats.org/officeDocument/2006/relationships/hyperlink" Target="https://en.wikipedia.org/wiki/Roman_Catholic_Archdiocese_of_Galveston%E2%80%93Houston" TargetMode="External"/><Relationship Id="rId907" Type="http://schemas.openxmlformats.org/officeDocument/2006/relationships/hyperlink" Target="https://en.wikipedia.org/wiki/Dicastery_for_Culture_and_Education" TargetMode="External"/><Relationship Id="rId906" Type="http://schemas.openxmlformats.org/officeDocument/2006/relationships/hyperlink" Target="https://en.wikipedia.org/wiki/Cardinal_deacon" TargetMode="External"/><Relationship Id="rId905" Type="http://schemas.openxmlformats.org/officeDocument/2006/relationships/hyperlink" Target="https://en.wikipedia.org/wiki/Portugal" TargetMode="External"/><Relationship Id="rId904" Type="http://schemas.openxmlformats.org/officeDocument/2006/relationships/hyperlink" Target="https://en.wikipedia.org/wiki/Jos%C3%A9_Tolentino_de_Mendon%C3%A7a" TargetMode="External"/><Relationship Id="rId909" Type="http://schemas.openxmlformats.org/officeDocument/2006/relationships/hyperlink" Target="https://en.wikipedia.org/wiki/Canada" TargetMode="External"/><Relationship Id="rId908" Type="http://schemas.openxmlformats.org/officeDocument/2006/relationships/hyperlink" Target="https://en.wikipedia.org/wiki/Michael_Czerny" TargetMode="External"/><Relationship Id="rId903" Type="http://schemas.openxmlformats.org/officeDocument/2006/relationships/hyperlink" Target="https://en.wikipedia.org/wiki/Missionary_Sons_of_the_Immaculate_Heart_of_Mary" TargetMode="External"/><Relationship Id="rId902" Type="http://schemas.openxmlformats.org/officeDocument/2006/relationships/hyperlink" Target="https://en.wikipedia.org/wiki/Cardinal_deacon" TargetMode="External"/><Relationship Id="rId901" Type="http://schemas.openxmlformats.org/officeDocument/2006/relationships/hyperlink" Target="https://en.wikipedia.org/wiki/Spain" TargetMode="External"/><Relationship Id="rId900" Type="http://schemas.openxmlformats.org/officeDocument/2006/relationships/hyperlink" Target="https://en.wikipedia.org/wiki/Aquilino_Bocos_Merino" TargetMode="External"/><Relationship Id="rId929" Type="http://schemas.openxmlformats.org/officeDocument/2006/relationships/hyperlink" Target="https://en.wikipedia.org/wiki/Italy" TargetMode="External"/><Relationship Id="rId928" Type="http://schemas.openxmlformats.org/officeDocument/2006/relationships/hyperlink" Target="https://en.wikipedia.org/wiki/Silvano_Maria_Tomasi" TargetMode="External"/><Relationship Id="rId927" Type="http://schemas.openxmlformats.org/officeDocument/2006/relationships/hyperlink" Target="https://en.wikipedia.org/wiki/Vicar_General_for_Vatican_City" TargetMode="External"/><Relationship Id="rId926" Type="http://schemas.openxmlformats.org/officeDocument/2006/relationships/hyperlink" Target="https://en.wikipedia.org/wiki/Cardinal_deacon" TargetMode="External"/><Relationship Id="rId921" Type="http://schemas.openxmlformats.org/officeDocument/2006/relationships/hyperlink" Target="https://en.wikipedia.org/wiki/Italy" TargetMode="External"/><Relationship Id="rId920" Type="http://schemas.openxmlformats.org/officeDocument/2006/relationships/hyperlink" Target="https://en.wikipedia.org/wiki/Marcello_Semeraro" TargetMode="External"/><Relationship Id="rId925" Type="http://schemas.openxmlformats.org/officeDocument/2006/relationships/hyperlink" Target="https://en.wikipedia.org/wiki/Italy" TargetMode="External"/><Relationship Id="rId924" Type="http://schemas.openxmlformats.org/officeDocument/2006/relationships/hyperlink" Target="https://en.wikipedia.org/wiki/Mauro_Gambetti" TargetMode="External"/><Relationship Id="rId923" Type="http://schemas.openxmlformats.org/officeDocument/2006/relationships/hyperlink" Target="https://en.wikipedia.org/wiki/Dicastery_for_the_Causes_of_Saints" TargetMode="External"/><Relationship Id="rId922" Type="http://schemas.openxmlformats.org/officeDocument/2006/relationships/hyperlink" Target="https://en.wikipedia.org/wiki/Cardinal_deacon" TargetMode="External"/><Relationship Id="rId918" Type="http://schemas.openxmlformats.org/officeDocument/2006/relationships/hyperlink" Target="https://en.wikipedia.org/wiki/Cardinal_deacon" TargetMode="External"/><Relationship Id="rId917" Type="http://schemas.openxmlformats.org/officeDocument/2006/relationships/hyperlink" Target="https://en.wikipedia.org/wiki/Malta" TargetMode="External"/><Relationship Id="rId916" Type="http://schemas.openxmlformats.org/officeDocument/2006/relationships/hyperlink" Target="https://en.wikipedia.org/wiki/Mario_Grech" TargetMode="External"/><Relationship Id="rId915" Type="http://schemas.openxmlformats.org/officeDocument/2006/relationships/hyperlink" Target="https://en.wikipedia.org/wiki/Apostolic_Nunciature_to_Egypt" TargetMode="External"/><Relationship Id="rId919" Type="http://schemas.openxmlformats.org/officeDocument/2006/relationships/hyperlink" Target="https://en.wikipedia.org/wiki/Synod_of_Bishops_in_the_Catholic_Church" TargetMode="External"/><Relationship Id="rId910" Type="http://schemas.openxmlformats.org/officeDocument/2006/relationships/hyperlink" Target="https://en.wikipedia.org/wiki/Cardinal_deacon" TargetMode="External"/><Relationship Id="rId914" Type="http://schemas.openxmlformats.org/officeDocument/2006/relationships/hyperlink" Target="https://en.wikipedia.org/wiki/Cardinal_deacon" TargetMode="External"/><Relationship Id="rId913" Type="http://schemas.openxmlformats.org/officeDocument/2006/relationships/hyperlink" Target="https://en.wikipedia.org/wiki/United_Kingdom" TargetMode="External"/><Relationship Id="rId912" Type="http://schemas.openxmlformats.org/officeDocument/2006/relationships/hyperlink" Target="https://en.wikipedia.org/wiki/Michael_Fitzgerald_(cardinal)" TargetMode="External"/><Relationship Id="rId911" Type="http://schemas.openxmlformats.org/officeDocument/2006/relationships/hyperlink" Target="https://en.wikipedia.org/wiki/Dicastery_for_Promoting_Integral_Human_Development" TargetMode="External"/><Relationship Id="rId629" Type="http://schemas.openxmlformats.org/officeDocument/2006/relationships/hyperlink" Target="https://en.wikipedia.org/wiki/D%C3%A9sir%C3%A9_Tsarahazana" TargetMode="External"/><Relationship Id="rId624" Type="http://schemas.openxmlformats.org/officeDocument/2006/relationships/hyperlink" Target="https://en.wikipedia.org/wiki/Roman_Catholic_Diocese_of_Leiria%E2%80%93F%C3%A1tima" TargetMode="External"/><Relationship Id="rId866" Type="http://schemas.openxmlformats.org/officeDocument/2006/relationships/hyperlink" Target="https://en.wikipedia.org/wiki/Cardinal_priest" TargetMode="External"/><Relationship Id="rId623" Type="http://schemas.openxmlformats.org/officeDocument/2006/relationships/hyperlink" Target="https://en.wikipedia.org/wiki/Cardinal_priest" TargetMode="External"/><Relationship Id="rId865" Type="http://schemas.openxmlformats.org/officeDocument/2006/relationships/hyperlink" Target="https://en.wikipedia.org/wiki/Australia" TargetMode="External"/><Relationship Id="rId622" Type="http://schemas.openxmlformats.org/officeDocument/2006/relationships/hyperlink" Target="https://en.wikipedia.org/wiki/Portugal" TargetMode="External"/><Relationship Id="rId864" Type="http://schemas.openxmlformats.org/officeDocument/2006/relationships/hyperlink" Target="https://en.wikipedia.org/wiki/Mykola_Bychok" TargetMode="External"/><Relationship Id="rId621" Type="http://schemas.openxmlformats.org/officeDocument/2006/relationships/hyperlink" Target="https://en.wikipedia.org/wiki/Ant%C3%B3nio_Marto" TargetMode="External"/><Relationship Id="rId863" Type="http://schemas.openxmlformats.org/officeDocument/2006/relationships/hyperlink" Target="https://en.wikipedia.org/wiki/Roman_Catholic_Archdiocese_of_Toronto" TargetMode="External"/><Relationship Id="rId628" Type="http://schemas.openxmlformats.org/officeDocument/2006/relationships/hyperlink" Target="https://en.wikipedia.org/wiki/Roman_Catholic_Archdiocese_of_Huancayo" TargetMode="External"/><Relationship Id="rId627" Type="http://schemas.openxmlformats.org/officeDocument/2006/relationships/hyperlink" Target="https://en.wikipedia.org/wiki/Cardinal_priest" TargetMode="External"/><Relationship Id="rId869" Type="http://schemas.openxmlformats.org/officeDocument/2006/relationships/hyperlink" Target="https://en.wikipedia.org/wiki/Italy" TargetMode="External"/><Relationship Id="rId626" Type="http://schemas.openxmlformats.org/officeDocument/2006/relationships/hyperlink" Target="https://en.wikipedia.org/wiki/Peru" TargetMode="External"/><Relationship Id="rId868" Type="http://schemas.openxmlformats.org/officeDocument/2006/relationships/hyperlink" Target="https://en.wikipedia.org/wiki/Domenico_Battaglia_(bishop)" TargetMode="External"/><Relationship Id="rId625" Type="http://schemas.openxmlformats.org/officeDocument/2006/relationships/hyperlink" Target="https://en.wikipedia.org/wiki/Pedro_Barreto" TargetMode="External"/><Relationship Id="rId867" Type="http://schemas.openxmlformats.org/officeDocument/2006/relationships/hyperlink" Target="https://en.wikipedia.org/wiki/Ukrainian_Catholic_Eparchy_of_Saints_Peter_and_Paul_of_Melbourne" TargetMode="External"/><Relationship Id="rId620" Type="http://schemas.openxmlformats.org/officeDocument/2006/relationships/hyperlink" Target="https://en.wikipedia.org/wiki/Roman_Catholic_Archdiocese_of_Karachi" TargetMode="External"/><Relationship Id="rId862" Type="http://schemas.openxmlformats.org/officeDocument/2006/relationships/hyperlink" Target="https://en.wikipedia.org/wiki/Cardinal_priest" TargetMode="External"/><Relationship Id="rId861" Type="http://schemas.openxmlformats.org/officeDocument/2006/relationships/hyperlink" Target="https://en.wikipedia.org/wiki/Canada" TargetMode="External"/><Relationship Id="rId860" Type="http://schemas.openxmlformats.org/officeDocument/2006/relationships/hyperlink" Target="https://en.wikipedia.org/wiki/Frank_Leo" TargetMode="External"/><Relationship Id="rId619" Type="http://schemas.openxmlformats.org/officeDocument/2006/relationships/hyperlink" Target="https://en.wikipedia.org/wiki/Cardinal_priest" TargetMode="External"/><Relationship Id="rId618" Type="http://schemas.openxmlformats.org/officeDocument/2006/relationships/hyperlink" Target="https://en.wikipedia.org/wiki/Pakistan" TargetMode="External"/><Relationship Id="rId613" Type="http://schemas.openxmlformats.org/officeDocument/2006/relationships/hyperlink" Target="https://en.wikipedia.org/wiki/Angelo_De_Donatis" TargetMode="External"/><Relationship Id="rId855" Type="http://schemas.openxmlformats.org/officeDocument/2006/relationships/hyperlink" Target="https://en.wikipedia.org/wiki/Roman_Catholic_Archdiocese_of_Turin" TargetMode="External"/><Relationship Id="rId612" Type="http://schemas.openxmlformats.org/officeDocument/2006/relationships/hyperlink" Target="https://en.wikipedia.org/wiki/Roman_Catholic_Archdiocese_of_San_Salvador" TargetMode="External"/><Relationship Id="rId854" Type="http://schemas.openxmlformats.org/officeDocument/2006/relationships/hyperlink" Target="https://en.wikipedia.org/wiki/Cardinal_priest" TargetMode="External"/><Relationship Id="rId611" Type="http://schemas.openxmlformats.org/officeDocument/2006/relationships/hyperlink" Target="https://en.wikipedia.org/wiki/Cardinal_priest" TargetMode="External"/><Relationship Id="rId853" Type="http://schemas.openxmlformats.org/officeDocument/2006/relationships/hyperlink" Target="https://en.wikipedia.org/wiki/Italy" TargetMode="External"/><Relationship Id="rId610" Type="http://schemas.openxmlformats.org/officeDocument/2006/relationships/hyperlink" Target="https://en.wikipedia.org/wiki/El_Salvador" TargetMode="External"/><Relationship Id="rId852" Type="http://schemas.openxmlformats.org/officeDocument/2006/relationships/hyperlink" Target="https://en.wikipedia.org/wiki/Roberto_Repole" TargetMode="External"/><Relationship Id="rId617" Type="http://schemas.openxmlformats.org/officeDocument/2006/relationships/hyperlink" Target="https://en.wikipedia.org/wiki/Joseph_Coutts" TargetMode="External"/><Relationship Id="rId859" Type="http://schemas.openxmlformats.org/officeDocument/2006/relationships/hyperlink" Target="https://en.wikipedia.org/wiki/Cardinal_Vicar" TargetMode="External"/><Relationship Id="rId616" Type="http://schemas.openxmlformats.org/officeDocument/2006/relationships/hyperlink" Target="https://en.wikipedia.org/wiki/Apostolic_Penitentiary" TargetMode="External"/><Relationship Id="rId858" Type="http://schemas.openxmlformats.org/officeDocument/2006/relationships/hyperlink" Target="https://en.wikipedia.org/wiki/Cardinal_priest" TargetMode="External"/><Relationship Id="rId615" Type="http://schemas.openxmlformats.org/officeDocument/2006/relationships/hyperlink" Target="https://en.wikipedia.org/wiki/Cardinal_priest" TargetMode="External"/><Relationship Id="rId857" Type="http://schemas.openxmlformats.org/officeDocument/2006/relationships/hyperlink" Target="https://en.wikipedia.org/wiki/Italy" TargetMode="External"/><Relationship Id="rId614" Type="http://schemas.openxmlformats.org/officeDocument/2006/relationships/hyperlink" Target="https://en.wikipedia.org/wiki/Italy" TargetMode="External"/><Relationship Id="rId856" Type="http://schemas.openxmlformats.org/officeDocument/2006/relationships/hyperlink" Target="https://en.wikipedia.org/wiki/Baldassare_Reina" TargetMode="External"/><Relationship Id="rId851" Type="http://schemas.openxmlformats.org/officeDocument/2006/relationships/hyperlink" Target="https://en.wikipedia.org/wiki/Roman_Catholic_Archdiocese_of_Tehran%E2%80%93Isfahan" TargetMode="External"/><Relationship Id="rId850" Type="http://schemas.openxmlformats.org/officeDocument/2006/relationships/hyperlink" Target="https://en.wikipedia.org/wiki/Cardinal_priest" TargetMode="External"/><Relationship Id="rId409" Type="http://schemas.openxmlformats.org/officeDocument/2006/relationships/hyperlink" Target="https://en.wikipedia.org/wiki/Lucian_Mure%C8%99an" TargetMode="External"/><Relationship Id="rId404" Type="http://schemas.openxmlformats.org/officeDocument/2006/relationships/hyperlink" Target="https://en.wikipedia.org/wiki/Roman_Catholic_Archdiocese_of_Cologne" TargetMode="External"/><Relationship Id="rId646" Type="http://schemas.openxmlformats.org/officeDocument/2006/relationships/hyperlink" Target="https://en.wikipedia.org/wiki/Indonesia" TargetMode="External"/><Relationship Id="rId888" Type="http://schemas.openxmlformats.org/officeDocument/2006/relationships/hyperlink" Target="https://en.wikipedia.org/wiki/Luis_Ladaria_Ferrer" TargetMode="External"/><Relationship Id="rId403" Type="http://schemas.openxmlformats.org/officeDocument/2006/relationships/hyperlink" Target="https://en.wikipedia.org/wiki/Cardinal_priest" TargetMode="External"/><Relationship Id="rId645" Type="http://schemas.openxmlformats.org/officeDocument/2006/relationships/hyperlink" Target="https://en.wikipedia.org/wiki/Ignatius_Suharyo_Hardjoatmodjo" TargetMode="External"/><Relationship Id="rId887" Type="http://schemas.openxmlformats.org/officeDocument/2006/relationships/hyperlink" Target="https://en.wikipedia.org/wiki/Roman_Catholic_Archdiocese_of_Shkod%C3%ABr%E2%80%93Pult" TargetMode="External"/><Relationship Id="rId402" Type="http://schemas.openxmlformats.org/officeDocument/2006/relationships/hyperlink" Target="https://en.wikipedia.org/wiki/Germany" TargetMode="External"/><Relationship Id="rId644" Type="http://schemas.openxmlformats.org/officeDocument/2006/relationships/hyperlink" Target="https://en.wikipedia.org/wiki/Roman_Catholic_Territorial_Prelature_of_Corocoro" TargetMode="External"/><Relationship Id="rId886" Type="http://schemas.openxmlformats.org/officeDocument/2006/relationships/hyperlink" Target="https://en.wikipedia.org/wiki/Cardinal_deacon" TargetMode="External"/><Relationship Id="rId401" Type="http://schemas.openxmlformats.org/officeDocument/2006/relationships/hyperlink" Target="https://en.wikipedia.org/wiki/Rainer_Woelki" TargetMode="External"/><Relationship Id="rId643" Type="http://schemas.openxmlformats.org/officeDocument/2006/relationships/hyperlink" Target="https://en.wikipedia.org/wiki/Cardinal_priest" TargetMode="External"/><Relationship Id="rId885" Type="http://schemas.openxmlformats.org/officeDocument/2006/relationships/hyperlink" Target="https://en.wikipedia.org/wiki/Albania" TargetMode="External"/><Relationship Id="rId408" Type="http://schemas.openxmlformats.org/officeDocument/2006/relationships/hyperlink" Target="https://en.wikipedia.org/wiki/Roman_Catholic_Diocese_of_Hong_Kong" TargetMode="External"/><Relationship Id="rId407" Type="http://schemas.openxmlformats.org/officeDocument/2006/relationships/hyperlink" Target="https://en.wikipedia.org/wiki/Cardinal_priest" TargetMode="External"/><Relationship Id="rId649" Type="http://schemas.openxmlformats.org/officeDocument/2006/relationships/hyperlink" Target="https://en.wikipedia.org/wiki/Juan_Garc%C3%ADa_Rodr%C3%ADguez" TargetMode="External"/><Relationship Id="rId406" Type="http://schemas.openxmlformats.org/officeDocument/2006/relationships/hyperlink" Target="https://en.wikipedia.org/wiki/China" TargetMode="External"/><Relationship Id="rId648" Type="http://schemas.openxmlformats.org/officeDocument/2006/relationships/hyperlink" Target="https://en.wikipedia.org/wiki/Roman_Catholic_Archdiocese_of_Jakarta" TargetMode="External"/><Relationship Id="rId405" Type="http://schemas.openxmlformats.org/officeDocument/2006/relationships/hyperlink" Target="https://en.wikipedia.org/wiki/John_Tong_Hon" TargetMode="External"/><Relationship Id="rId647" Type="http://schemas.openxmlformats.org/officeDocument/2006/relationships/hyperlink" Target="https://en.wikipedia.org/wiki/Cardinal_priest" TargetMode="External"/><Relationship Id="rId889" Type="http://schemas.openxmlformats.org/officeDocument/2006/relationships/hyperlink" Target="https://en.wikipedia.org/wiki/Spain" TargetMode="External"/><Relationship Id="rId880" Type="http://schemas.openxmlformats.org/officeDocument/2006/relationships/hyperlink" Target="https://en.wikipedia.org/wiki/Kevin_Farrell" TargetMode="External"/><Relationship Id="rId400" Type="http://schemas.openxmlformats.org/officeDocument/2006/relationships/hyperlink" Target="https://en.wikipedia.org/wiki/Roman_Catholic_Archdiocese_of_New_York" TargetMode="External"/><Relationship Id="rId642" Type="http://schemas.openxmlformats.org/officeDocument/2006/relationships/hyperlink" Target="https://en.wikipedia.org/wiki/Bolivia" TargetMode="External"/><Relationship Id="rId884" Type="http://schemas.openxmlformats.org/officeDocument/2006/relationships/hyperlink" Target="https://en.wikipedia.org/wiki/Ernest_Simoni" TargetMode="External"/><Relationship Id="rId641" Type="http://schemas.openxmlformats.org/officeDocument/2006/relationships/hyperlink" Target="https://en.wikipedia.org/wiki/Toribio_Ticona_Porco" TargetMode="External"/><Relationship Id="rId883" Type="http://schemas.openxmlformats.org/officeDocument/2006/relationships/hyperlink" Target="https://en.wikipedia.org/wiki/Dicastery_for_the_Laity,_Family_and_Life" TargetMode="External"/><Relationship Id="rId640" Type="http://schemas.openxmlformats.org/officeDocument/2006/relationships/hyperlink" Target="https://en.wikipedia.org/wiki/Roman_Catholic_Archdiocese_of_Osaka-Takamatsu" TargetMode="External"/><Relationship Id="rId882" Type="http://schemas.openxmlformats.org/officeDocument/2006/relationships/hyperlink" Target="https://en.wikipedia.org/wiki/Cardinal_deacon" TargetMode="External"/><Relationship Id="rId881" Type="http://schemas.openxmlformats.org/officeDocument/2006/relationships/hyperlink" Target="https://en.wikipedia.org/wiki/United_States" TargetMode="External"/><Relationship Id="rId635" Type="http://schemas.openxmlformats.org/officeDocument/2006/relationships/hyperlink" Target="https://en.wikipedia.org/wiki/Cardinal_priest" TargetMode="External"/><Relationship Id="rId877" Type="http://schemas.openxmlformats.org/officeDocument/2006/relationships/hyperlink" Target="https://en.wikipedia.org/wiki/Italy" TargetMode="External"/><Relationship Id="rId634" Type="http://schemas.openxmlformats.org/officeDocument/2006/relationships/hyperlink" Target="https://en.wikipedia.org/wiki/Italy" TargetMode="External"/><Relationship Id="rId876" Type="http://schemas.openxmlformats.org/officeDocument/2006/relationships/hyperlink" Target="https://en.wikipedia.org/wiki/Mario_Zenari" TargetMode="External"/><Relationship Id="rId633" Type="http://schemas.openxmlformats.org/officeDocument/2006/relationships/hyperlink" Target="https://en.wikipedia.org/wiki/Giuseppe_Petrocchi" TargetMode="External"/><Relationship Id="rId875" Type="http://schemas.openxmlformats.org/officeDocument/2006/relationships/hyperlink" Target="https://en.wikipedia.org/wiki/Supreme_Tribunal_of_the_Apostolic_Signatura" TargetMode="External"/><Relationship Id="rId632" Type="http://schemas.openxmlformats.org/officeDocument/2006/relationships/hyperlink" Target="https://en.wikipedia.org/wiki/Roman_Catholic_Archdiocese_of_Toamasina" TargetMode="External"/><Relationship Id="rId874" Type="http://schemas.openxmlformats.org/officeDocument/2006/relationships/hyperlink" Target="https://en.wikipedia.org/wiki/Cardinal_deacon" TargetMode="External"/><Relationship Id="rId639" Type="http://schemas.openxmlformats.org/officeDocument/2006/relationships/hyperlink" Target="https://en.wikipedia.org/wiki/Cardinal_priest" TargetMode="External"/><Relationship Id="rId638" Type="http://schemas.openxmlformats.org/officeDocument/2006/relationships/hyperlink" Target="https://en.wikipedia.org/wiki/Japan" TargetMode="External"/><Relationship Id="rId637" Type="http://schemas.openxmlformats.org/officeDocument/2006/relationships/hyperlink" Target="https://en.wikipedia.org/wiki/Thomas_Aquino_Manyo_Maeda" TargetMode="External"/><Relationship Id="rId879" Type="http://schemas.openxmlformats.org/officeDocument/2006/relationships/hyperlink" Target="https://en.wikipedia.org/wiki/Apostolic_Nunciature_to_Syria" TargetMode="External"/><Relationship Id="rId636" Type="http://schemas.openxmlformats.org/officeDocument/2006/relationships/hyperlink" Target="https://en.wikipedia.org/wiki/Roman_Catholic_Archdiocese_of_L%27Aquila" TargetMode="External"/><Relationship Id="rId878" Type="http://schemas.openxmlformats.org/officeDocument/2006/relationships/hyperlink" Target="https://en.wikipedia.org/wiki/Cardinal_deacon" TargetMode="External"/><Relationship Id="rId631" Type="http://schemas.openxmlformats.org/officeDocument/2006/relationships/hyperlink" Target="https://en.wikipedia.org/wiki/Cardinal_priest" TargetMode="External"/><Relationship Id="rId873" Type="http://schemas.openxmlformats.org/officeDocument/2006/relationships/hyperlink" Target="https://en.wikipedia.org/wiki/France" TargetMode="External"/><Relationship Id="rId630" Type="http://schemas.openxmlformats.org/officeDocument/2006/relationships/hyperlink" Target="https://en.wikipedia.org/wiki/Madagascar" TargetMode="External"/><Relationship Id="rId872" Type="http://schemas.openxmlformats.org/officeDocument/2006/relationships/hyperlink" Target="https://en.wikipedia.org/wiki/Dominique_Mamberti" TargetMode="External"/><Relationship Id="rId871" Type="http://schemas.openxmlformats.org/officeDocument/2006/relationships/hyperlink" Target="https://en.wikipedia.org/wiki/Roman_Catholic_Archdiocese_of_Naples" TargetMode="External"/><Relationship Id="rId870" Type="http://schemas.openxmlformats.org/officeDocument/2006/relationships/hyperlink" Target="https://en.wikipedia.org/wiki/Cardinal_priest" TargetMode="External"/><Relationship Id="rId829" Type="http://schemas.openxmlformats.org/officeDocument/2006/relationships/hyperlink" Target="https://en.wikipedia.org/wiki/Philippines" TargetMode="External"/><Relationship Id="rId828" Type="http://schemas.openxmlformats.org/officeDocument/2006/relationships/hyperlink" Target="https://en.wikipedia.org/wiki/Pablo_Virgilio_David" TargetMode="External"/><Relationship Id="rId827" Type="http://schemas.openxmlformats.org/officeDocument/2006/relationships/hyperlink" Target="https://en.wikipedia.org/wiki/Roman_Catholic_Archdiocese_of_Tokyo" TargetMode="External"/><Relationship Id="rId822" Type="http://schemas.openxmlformats.org/officeDocument/2006/relationships/hyperlink" Target="https://en.wikipedia.org/wiki/Cardinal_priest" TargetMode="External"/><Relationship Id="rId821" Type="http://schemas.openxmlformats.org/officeDocument/2006/relationships/hyperlink" Target="https://en.wikipedia.org/wiki/Chile" TargetMode="External"/><Relationship Id="rId820" Type="http://schemas.openxmlformats.org/officeDocument/2006/relationships/hyperlink" Target="https://en.wikipedia.org/wiki/Fernando_Chomal%C3%AD_Garib" TargetMode="External"/><Relationship Id="rId826" Type="http://schemas.openxmlformats.org/officeDocument/2006/relationships/hyperlink" Target="https://en.wikipedia.org/wiki/Cardinal_priest" TargetMode="External"/><Relationship Id="rId825" Type="http://schemas.openxmlformats.org/officeDocument/2006/relationships/hyperlink" Target="https://en.wikipedia.org/wiki/Japan" TargetMode="External"/><Relationship Id="rId824" Type="http://schemas.openxmlformats.org/officeDocument/2006/relationships/hyperlink" Target="https://en.wikipedia.org/wiki/Tarcisio_Isao_Kikuchi" TargetMode="External"/><Relationship Id="rId823" Type="http://schemas.openxmlformats.org/officeDocument/2006/relationships/hyperlink" Target="https://en.wikipedia.org/wiki/Roman_Catholic_Archdiocese_of_Santiago_de_Chile" TargetMode="External"/><Relationship Id="rId819" Type="http://schemas.openxmlformats.org/officeDocument/2006/relationships/hyperlink" Target="https://en.wikipedia.org/wiki/Roman_Catholic_Archdiocese_of_Guayaquil" TargetMode="External"/><Relationship Id="rId818" Type="http://schemas.openxmlformats.org/officeDocument/2006/relationships/hyperlink" Target="https://en.wikipedia.org/wiki/Cardinal_priest" TargetMode="External"/><Relationship Id="rId817" Type="http://schemas.openxmlformats.org/officeDocument/2006/relationships/hyperlink" Target="https://en.wikipedia.org/wiki/Ecuador" TargetMode="External"/><Relationship Id="rId816" Type="http://schemas.openxmlformats.org/officeDocument/2006/relationships/hyperlink" Target="https://en.wikipedia.org/wiki/Luis_Cabrera_Herrera" TargetMode="External"/><Relationship Id="rId811" Type="http://schemas.openxmlformats.org/officeDocument/2006/relationships/hyperlink" Target="https://en.wikipedia.org/wiki/Roman_Catholic_Archdiocese_of_Lima" TargetMode="External"/><Relationship Id="rId810" Type="http://schemas.openxmlformats.org/officeDocument/2006/relationships/hyperlink" Target="https://en.wikipedia.org/wiki/Cardinal_priest" TargetMode="External"/><Relationship Id="rId815" Type="http://schemas.openxmlformats.org/officeDocument/2006/relationships/hyperlink" Target="https://en.wikipedia.org/wiki/Roman_Catholic_Archdiocese_of_Santiago_del_Estero" TargetMode="External"/><Relationship Id="rId814" Type="http://schemas.openxmlformats.org/officeDocument/2006/relationships/hyperlink" Target="https://en.wikipedia.org/wiki/Cardinal_priest" TargetMode="External"/><Relationship Id="rId813" Type="http://schemas.openxmlformats.org/officeDocument/2006/relationships/hyperlink" Target="https://en.wikipedia.org/wiki/Argentina" TargetMode="External"/><Relationship Id="rId812" Type="http://schemas.openxmlformats.org/officeDocument/2006/relationships/hyperlink" Target="https://en.wikipedia.org/wiki/Vicente_Bokalic_Iglic" TargetMode="External"/><Relationship Id="rId609" Type="http://schemas.openxmlformats.org/officeDocument/2006/relationships/hyperlink" Target="https://en.wikipedia.org/wiki/Gregorio_Rosa_Ch%C3%A1vez" TargetMode="External"/><Relationship Id="rId608" Type="http://schemas.openxmlformats.org/officeDocument/2006/relationships/hyperlink" Target="https://en.wikipedia.org/wiki/Apostolic_Vicariate_of_Vientiane" TargetMode="External"/><Relationship Id="rId607" Type="http://schemas.openxmlformats.org/officeDocument/2006/relationships/hyperlink" Target="https://en.wikipedia.org/wiki/Cardinal_priest" TargetMode="External"/><Relationship Id="rId849" Type="http://schemas.openxmlformats.org/officeDocument/2006/relationships/hyperlink" Target="https://en.wikipedia.org/wiki/Iran" TargetMode="External"/><Relationship Id="rId602" Type="http://schemas.openxmlformats.org/officeDocument/2006/relationships/hyperlink" Target="https://en.wikipedia.org/wiki/Sweden" TargetMode="External"/><Relationship Id="rId844" Type="http://schemas.openxmlformats.org/officeDocument/2006/relationships/hyperlink" Target="https://en.wikipedia.org/wiki/Jean-Paul_Vesco" TargetMode="External"/><Relationship Id="rId601" Type="http://schemas.openxmlformats.org/officeDocument/2006/relationships/hyperlink" Target="https://en.wikipedia.org/wiki/Anders_Arborelius" TargetMode="External"/><Relationship Id="rId843" Type="http://schemas.openxmlformats.org/officeDocument/2006/relationships/hyperlink" Target="https://en.wikipedia.org/wiki/Roman_Catholic_Archdiocese_of_Abidjan" TargetMode="External"/><Relationship Id="rId600" Type="http://schemas.openxmlformats.org/officeDocument/2006/relationships/hyperlink" Target="https://en.wikipedia.org/wiki/Roman_Catholic_Archdiocese_of_Barcelona" TargetMode="External"/><Relationship Id="rId842" Type="http://schemas.openxmlformats.org/officeDocument/2006/relationships/hyperlink" Target="https://en.wikipedia.org/wiki/Cardinal_priest" TargetMode="External"/><Relationship Id="rId841" Type="http://schemas.openxmlformats.org/officeDocument/2006/relationships/hyperlink" Target="https://en.wikipedia.org/wiki/Ivory_Coast" TargetMode="External"/><Relationship Id="rId606" Type="http://schemas.openxmlformats.org/officeDocument/2006/relationships/hyperlink" Target="https://en.wikipedia.org/wiki/Laos" TargetMode="External"/><Relationship Id="rId848" Type="http://schemas.openxmlformats.org/officeDocument/2006/relationships/hyperlink" Target="https://en.wikipedia.org/wiki/Dominique_Mathieu" TargetMode="External"/><Relationship Id="rId605" Type="http://schemas.openxmlformats.org/officeDocument/2006/relationships/hyperlink" Target="https://en.wikipedia.org/wiki/Louis-Marie_Ling_Mangkhanekhoun" TargetMode="External"/><Relationship Id="rId847" Type="http://schemas.openxmlformats.org/officeDocument/2006/relationships/hyperlink" Target="https://en.wikipedia.org/wiki/Roman_Catholic_Archdiocese_of_Algiers" TargetMode="External"/><Relationship Id="rId604" Type="http://schemas.openxmlformats.org/officeDocument/2006/relationships/hyperlink" Target="https://en.wikipedia.org/wiki/Roman_Catholic_Diocese_of_Stockholm" TargetMode="External"/><Relationship Id="rId846" Type="http://schemas.openxmlformats.org/officeDocument/2006/relationships/hyperlink" Target="https://en.wikipedia.org/wiki/Cardinal_priest" TargetMode="External"/><Relationship Id="rId603" Type="http://schemas.openxmlformats.org/officeDocument/2006/relationships/hyperlink" Target="https://en.wikipedia.org/wiki/Cardinal_priest" TargetMode="External"/><Relationship Id="rId845" Type="http://schemas.openxmlformats.org/officeDocument/2006/relationships/hyperlink" Target="https://en.wikipedia.org/wiki/Algeria" TargetMode="External"/><Relationship Id="rId840" Type="http://schemas.openxmlformats.org/officeDocument/2006/relationships/hyperlink" Target="https://en.wikipedia.org/wiki/Ignace_Bessi_Dogbo" TargetMode="External"/><Relationship Id="rId839" Type="http://schemas.openxmlformats.org/officeDocument/2006/relationships/hyperlink" Target="https://en.wikipedia.org/wiki/Roman_Catholic_Archdiocese_of_Porto_Alegre" TargetMode="External"/><Relationship Id="rId838" Type="http://schemas.openxmlformats.org/officeDocument/2006/relationships/hyperlink" Target="https://en.wikipedia.org/wiki/Cardinal_priest" TargetMode="External"/><Relationship Id="rId833" Type="http://schemas.openxmlformats.org/officeDocument/2006/relationships/hyperlink" Target="https://en.wikipedia.org/wiki/Serbia" TargetMode="External"/><Relationship Id="rId832" Type="http://schemas.openxmlformats.org/officeDocument/2006/relationships/hyperlink" Target="https://en.wikipedia.org/wiki/Ladislav_Nemet" TargetMode="External"/><Relationship Id="rId831" Type="http://schemas.openxmlformats.org/officeDocument/2006/relationships/hyperlink" Target="https://en.wikipedia.org/wiki/Roman_Catholic_Diocese_of_Kalookan" TargetMode="External"/><Relationship Id="rId830" Type="http://schemas.openxmlformats.org/officeDocument/2006/relationships/hyperlink" Target="https://en.wikipedia.org/wiki/Cardinal_priest" TargetMode="External"/><Relationship Id="rId837" Type="http://schemas.openxmlformats.org/officeDocument/2006/relationships/hyperlink" Target="https://en.wikipedia.org/wiki/Brazil" TargetMode="External"/><Relationship Id="rId836" Type="http://schemas.openxmlformats.org/officeDocument/2006/relationships/hyperlink" Target="https://en.wikipedia.org/wiki/Jaime_Spengler" TargetMode="External"/><Relationship Id="rId835" Type="http://schemas.openxmlformats.org/officeDocument/2006/relationships/hyperlink" Target="https://en.wikipedia.org/wiki/Roman_Catholic_Archdiocese_of_Belgrade" TargetMode="External"/><Relationship Id="rId834" Type="http://schemas.openxmlformats.org/officeDocument/2006/relationships/hyperlink" Target="https://en.wikipedia.org/wiki/Cardinal_priest" TargetMode="External"/><Relationship Id="rId228" Type="http://schemas.openxmlformats.org/officeDocument/2006/relationships/hyperlink" Target="https://en.wikipedia.org/wiki/Roman_Catholic_Diocese_of_Hong_Kong" TargetMode="External"/><Relationship Id="rId227" Type="http://schemas.openxmlformats.org/officeDocument/2006/relationships/hyperlink" Target="https://en.wikipedia.org/wiki/Cardinal_priest" TargetMode="External"/><Relationship Id="rId469" Type="http://schemas.openxmlformats.org/officeDocument/2006/relationships/hyperlink" Target="https://en.wikipedia.org/wiki/Ricardo_Ezzati" TargetMode="External"/><Relationship Id="rId226" Type="http://schemas.openxmlformats.org/officeDocument/2006/relationships/hyperlink" Target="https://en.wikipedia.org/wiki/China" TargetMode="External"/><Relationship Id="rId468" Type="http://schemas.openxmlformats.org/officeDocument/2006/relationships/hyperlink" Target="https://en.wikipedia.org/wiki/Roman_Catholic_Archdiocese_of_Seoul" TargetMode="External"/><Relationship Id="rId225" Type="http://schemas.openxmlformats.org/officeDocument/2006/relationships/hyperlink" Target="https://en.wikipedia.org/wiki/Joseph_Zen_Ze-kiun" TargetMode="External"/><Relationship Id="rId467" Type="http://schemas.openxmlformats.org/officeDocument/2006/relationships/hyperlink" Target="https://en.wikipedia.org/wiki/Cardinal_priest" TargetMode="External"/><Relationship Id="rId229" Type="http://schemas.openxmlformats.org/officeDocument/2006/relationships/hyperlink" Target="https://en.wikipedia.org/wiki/Giovanni_Lajolo" TargetMode="External"/><Relationship Id="rId220" Type="http://schemas.openxmlformats.org/officeDocument/2006/relationships/hyperlink" Target="https://en.wikipedia.org/wiki/Roman_Catholic_Archdiocese_of_Boston" TargetMode="External"/><Relationship Id="rId462" Type="http://schemas.openxmlformats.org/officeDocument/2006/relationships/hyperlink" Target="https://en.wikipedia.org/wiki/Argentina" TargetMode="External"/><Relationship Id="rId461" Type="http://schemas.openxmlformats.org/officeDocument/2006/relationships/hyperlink" Target="https://en.wikipedia.org/wiki/Mario_Aurelio_Poli" TargetMode="External"/><Relationship Id="rId460" Type="http://schemas.openxmlformats.org/officeDocument/2006/relationships/hyperlink" Target="https://en.wikipedia.org/wiki/Roman_Catholic_Archdiocese_of_Perugia%E2%80%93Citt%C3%A0_della_Pieve" TargetMode="External"/><Relationship Id="rId224" Type="http://schemas.openxmlformats.org/officeDocument/2006/relationships/hyperlink" Target="https://en.wikipedia.org/wiki/Roman_Catholic_Archdiocese_of_Krak%C3%B3w" TargetMode="External"/><Relationship Id="rId466" Type="http://schemas.openxmlformats.org/officeDocument/2006/relationships/hyperlink" Target="https://en.wikipedia.org/wiki/South_Korea" TargetMode="External"/><Relationship Id="rId223" Type="http://schemas.openxmlformats.org/officeDocument/2006/relationships/hyperlink" Target="https://en.wikipedia.org/wiki/Cardinal_priest" TargetMode="External"/><Relationship Id="rId465" Type="http://schemas.openxmlformats.org/officeDocument/2006/relationships/hyperlink" Target="https://en.wikipedia.org/wiki/Andrew_Yeom_Soo-jung" TargetMode="External"/><Relationship Id="rId222" Type="http://schemas.openxmlformats.org/officeDocument/2006/relationships/hyperlink" Target="https://en.wikipedia.org/wiki/Poland" TargetMode="External"/><Relationship Id="rId464" Type="http://schemas.openxmlformats.org/officeDocument/2006/relationships/hyperlink" Target="https://en.wikipedia.org/wiki/Roman_Catholic_Archdiocese_of_Buenos_Aires" TargetMode="External"/><Relationship Id="rId221" Type="http://schemas.openxmlformats.org/officeDocument/2006/relationships/hyperlink" Target="https://en.wikipedia.org/wiki/Stanis%C5%82aw_Dziwisz" TargetMode="External"/><Relationship Id="rId463" Type="http://schemas.openxmlformats.org/officeDocument/2006/relationships/hyperlink" Target="https://en.wikipedia.org/wiki/Cardinal_priest" TargetMode="External"/><Relationship Id="rId217" Type="http://schemas.openxmlformats.org/officeDocument/2006/relationships/hyperlink" Target="https://en.wikipedia.org/wiki/Se%C3%A1n_Patrick_O%27Malley" TargetMode="External"/><Relationship Id="rId459" Type="http://schemas.openxmlformats.org/officeDocument/2006/relationships/hyperlink" Target="https://en.wikipedia.org/wiki/Cardinal_priest" TargetMode="External"/><Relationship Id="rId216" Type="http://schemas.openxmlformats.org/officeDocument/2006/relationships/hyperlink" Target="https://en.wikipedia.org/wiki/Roman_Catholic_Archdiocese_of_Valencia_in_Spain" TargetMode="External"/><Relationship Id="rId458" Type="http://schemas.openxmlformats.org/officeDocument/2006/relationships/hyperlink" Target="https://en.wikipedia.org/wiki/Italy" TargetMode="External"/><Relationship Id="rId215" Type="http://schemas.openxmlformats.org/officeDocument/2006/relationships/hyperlink" Target="https://en.wikipedia.org/wiki/Cardinal_priest" TargetMode="External"/><Relationship Id="rId457" Type="http://schemas.openxmlformats.org/officeDocument/2006/relationships/hyperlink" Target="https://en.wikipedia.org/wiki/Gualtiero_Bassetti" TargetMode="External"/><Relationship Id="rId699" Type="http://schemas.openxmlformats.org/officeDocument/2006/relationships/hyperlink" Target="https://en.wikipedia.org/wiki/Cardinal_priest" TargetMode="External"/><Relationship Id="rId214" Type="http://schemas.openxmlformats.org/officeDocument/2006/relationships/hyperlink" Target="https://en.wikipedia.org/wiki/Spain" TargetMode="External"/><Relationship Id="rId456" Type="http://schemas.openxmlformats.org/officeDocument/2006/relationships/hyperlink" Target="https://en.wikipedia.org/wiki/Roman_Catholic_Archdiocese_of_S%C3%A3o_Sebasti%C3%A3o_do_Rio_de_Janeiro" TargetMode="External"/><Relationship Id="rId698" Type="http://schemas.openxmlformats.org/officeDocument/2006/relationships/hyperlink" Target="https://en.wikipedia.org/wiki/Mexico" TargetMode="External"/><Relationship Id="rId219" Type="http://schemas.openxmlformats.org/officeDocument/2006/relationships/hyperlink" Target="https://en.wikipedia.org/wiki/Cardinal_priest" TargetMode="External"/><Relationship Id="rId218" Type="http://schemas.openxmlformats.org/officeDocument/2006/relationships/hyperlink" Target="https://en.wikipedia.org/wiki/United_States" TargetMode="External"/><Relationship Id="rId451" Type="http://schemas.openxmlformats.org/officeDocument/2006/relationships/hyperlink" Target="https://en.wikipedia.org/wiki/Cardinal_priest" TargetMode="External"/><Relationship Id="rId693" Type="http://schemas.openxmlformats.org/officeDocument/2006/relationships/hyperlink" Target="https://en.wikipedia.org/wiki/Augusto_Paolo_Lojudice" TargetMode="External"/><Relationship Id="rId450" Type="http://schemas.openxmlformats.org/officeDocument/2006/relationships/hyperlink" Target="https://en.wikipedia.org/wiki/Ivory_Coast" TargetMode="External"/><Relationship Id="rId692" Type="http://schemas.openxmlformats.org/officeDocument/2006/relationships/hyperlink" Target="https://en.wikipedia.org/wiki/Roman_Catholic_Archdiocese_of_Santiago_de_Chile" TargetMode="External"/><Relationship Id="rId691" Type="http://schemas.openxmlformats.org/officeDocument/2006/relationships/hyperlink" Target="https://en.wikipedia.org/wiki/Cardinal_priest" TargetMode="External"/><Relationship Id="rId690" Type="http://schemas.openxmlformats.org/officeDocument/2006/relationships/hyperlink" Target="https://en.wikipedia.org/wiki/Chile" TargetMode="External"/><Relationship Id="rId213" Type="http://schemas.openxmlformats.org/officeDocument/2006/relationships/hyperlink" Target="https://en.wikipedia.org/wiki/Antonio_Ca%C3%B1izares_Llovera" TargetMode="External"/><Relationship Id="rId455" Type="http://schemas.openxmlformats.org/officeDocument/2006/relationships/hyperlink" Target="https://en.wikipedia.org/wiki/Cardinal_priest" TargetMode="External"/><Relationship Id="rId697" Type="http://schemas.openxmlformats.org/officeDocument/2006/relationships/hyperlink" Target="https://en.wikipedia.org/wiki/Felipe_Arizmendi_Esquivel" TargetMode="External"/><Relationship Id="rId212" Type="http://schemas.openxmlformats.org/officeDocument/2006/relationships/hyperlink" Target="https://en.wikipedia.org/wiki/Roman_Catholic_Archdiocese_of_Bordeaux" TargetMode="External"/><Relationship Id="rId454" Type="http://schemas.openxmlformats.org/officeDocument/2006/relationships/hyperlink" Target="https://en.wikipedia.org/wiki/Brazil" TargetMode="External"/><Relationship Id="rId696" Type="http://schemas.openxmlformats.org/officeDocument/2006/relationships/hyperlink" Target="https://en.wikipedia.org/wiki/Roman_Catholic_Archdiocese_of_Siena%E2%80%93Colle_di_Val_d%27Elsa%E2%80%93Montalcino" TargetMode="External"/><Relationship Id="rId211" Type="http://schemas.openxmlformats.org/officeDocument/2006/relationships/hyperlink" Target="https://en.wikipedia.org/wiki/Cardinal_priest" TargetMode="External"/><Relationship Id="rId453" Type="http://schemas.openxmlformats.org/officeDocument/2006/relationships/hyperlink" Target="https://en.wikipedia.org/wiki/Orani_Jo%C3%A3o_Tempesta" TargetMode="External"/><Relationship Id="rId695" Type="http://schemas.openxmlformats.org/officeDocument/2006/relationships/hyperlink" Target="https://en.wikipedia.org/wiki/Cardinal_priest" TargetMode="External"/><Relationship Id="rId210" Type="http://schemas.openxmlformats.org/officeDocument/2006/relationships/hyperlink" Target="https://en.wikipedia.org/wiki/France" TargetMode="External"/><Relationship Id="rId452" Type="http://schemas.openxmlformats.org/officeDocument/2006/relationships/hyperlink" Target="https://en.wikipedia.org/wiki/Roman_Catholic_Archdiocese_of_Abidjan" TargetMode="External"/><Relationship Id="rId694" Type="http://schemas.openxmlformats.org/officeDocument/2006/relationships/hyperlink" Target="https://en.wikipedia.org/wiki/Italy" TargetMode="External"/><Relationship Id="rId491" Type="http://schemas.openxmlformats.org/officeDocument/2006/relationships/hyperlink" Target="https://en.wikipedia.org/wiki/Cardinal_priest" TargetMode="External"/><Relationship Id="rId490" Type="http://schemas.openxmlformats.org/officeDocument/2006/relationships/hyperlink" Target="https://en.wikipedia.org/wiki/Ethiopia" TargetMode="External"/><Relationship Id="rId249" Type="http://schemas.openxmlformats.org/officeDocument/2006/relationships/hyperlink" Target="https://en.wikipedia.org/wiki/Llu%C3%ADs_Mart%C3%ADnez_i_Sistach" TargetMode="External"/><Relationship Id="rId248" Type="http://schemas.openxmlformats.org/officeDocument/2006/relationships/hyperlink" Target="https://en.wikipedia.org/wiki/Roman_Catholic_Archdiocese_of_Armagh" TargetMode="External"/><Relationship Id="rId247" Type="http://schemas.openxmlformats.org/officeDocument/2006/relationships/hyperlink" Target="https://en.wikipedia.org/wiki/Cardinal_priest" TargetMode="External"/><Relationship Id="rId489" Type="http://schemas.openxmlformats.org/officeDocument/2006/relationships/hyperlink" Target="https://en.wikipedia.org/wiki/Berhaneyesus_Demerew_Souraphiel" TargetMode="External"/><Relationship Id="rId242" Type="http://schemas.openxmlformats.org/officeDocument/2006/relationships/hyperlink" Target="https://en.wikipedia.org/wiki/Italy" TargetMode="External"/><Relationship Id="rId484" Type="http://schemas.openxmlformats.org/officeDocument/2006/relationships/hyperlink" Target="https://en.wikipedia.org/wiki/Roman_Catholic_Diocese_of_Les_Cayes" TargetMode="External"/><Relationship Id="rId241" Type="http://schemas.openxmlformats.org/officeDocument/2006/relationships/hyperlink" Target="https://en.wikipedia.org/wiki/Raffaele_Farina" TargetMode="External"/><Relationship Id="rId483" Type="http://schemas.openxmlformats.org/officeDocument/2006/relationships/hyperlink" Target="https://en.wikipedia.org/wiki/Cardinal_priest" TargetMode="External"/><Relationship Id="rId240" Type="http://schemas.openxmlformats.org/officeDocument/2006/relationships/hyperlink" Target="https://en.wikipedia.org/wiki/Papal_Basilica_of_Saint_Mary_Major" TargetMode="External"/><Relationship Id="rId482" Type="http://schemas.openxmlformats.org/officeDocument/2006/relationships/hyperlink" Target="https://en.wikipedia.org/wiki/Haiti" TargetMode="External"/><Relationship Id="rId481" Type="http://schemas.openxmlformats.org/officeDocument/2006/relationships/hyperlink" Target="https://en.wikipedia.org/wiki/Chibly_Langlois" TargetMode="External"/><Relationship Id="rId246" Type="http://schemas.openxmlformats.org/officeDocument/2006/relationships/hyperlink" Target="https://en.wikipedia.org/wiki/Ireland" TargetMode="External"/><Relationship Id="rId488" Type="http://schemas.openxmlformats.org/officeDocument/2006/relationships/hyperlink" Target="https://en.wikipedia.org/wiki/Patriarchate_of_Lisbon" TargetMode="External"/><Relationship Id="rId245" Type="http://schemas.openxmlformats.org/officeDocument/2006/relationships/hyperlink" Target="https://en.wikipedia.org/wiki/Se%C3%A1n_Brady_(cardinal)" TargetMode="External"/><Relationship Id="rId487" Type="http://schemas.openxmlformats.org/officeDocument/2006/relationships/hyperlink" Target="https://en.wikipedia.org/wiki/Cardinal_priest" TargetMode="External"/><Relationship Id="rId244" Type="http://schemas.openxmlformats.org/officeDocument/2006/relationships/hyperlink" Target="https://en.wikipedia.org/wiki/Archivist_and_Librarian_of_the_Holy_Roman_Church" TargetMode="External"/><Relationship Id="rId486" Type="http://schemas.openxmlformats.org/officeDocument/2006/relationships/hyperlink" Target="https://en.wikipedia.org/wiki/Portugal" TargetMode="External"/><Relationship Id="rId243" Type="http://schemas.openxmlformats.org/officeDocument/2006/relationships/hyperlink" Target="https://en.wikipedia.org/wiki/Cardinal_priest" TargetMode="External"/><Relationship Id="rId485" Type="http://schemas.openxmlformats.org/officeDocument/2006/relationships/hyperlink" Target="https://en.wikipedia.org/wiki/Manuel_Clemente" TargetMode="External"/><Relationship Id="rId480" Type="http://schemas.openxmlformats.org/officeDocument/2006/relationships/hyperlink" Target="https://en.wikipedia.org/wiki/Roman_Catholic_Archdiocese_of_Cotabato" TargetMode="External"/><Relationship Id="rId239" Type="http://schemas.openxmlformats.org/officeDocument/2006/relationships/hyperlink" Target="https://en.wikipedia.org/wiki/Cardinal_priest" TargetMode="External"/><Relationship Id="rId238" Type="http://schemas.openxmlformats.org/officeDocument/2006/relationships/hyperlink" Target="https://en.wikipedia.org/wiki/Poland" TargetMode="External"/><Relationship Id="rId237" Type="http://schemas.openxmlformats.org/officeDocument/2006/relationships/hyperlink" Target="https://en.wikipedia.org/wiki/Stanis%C5%82aw_Ry%C5%82ko" TargetMode="External"/><Relationship Id="rId479" Type="http://schemas.openxmlformats.org/officeDocument/2006/relationships/hyperlink" Target="https://en.wikipedia.org/wiki/Cardinal_priest" TargetMode="External"/><Relationship Id="rId236" Type="http://schemas.openxmlformats.org/officeDocument/2006/relationships/hyperlink" Target="https://en.wikipedia.org/wiki/Vicar_General_for_Vatican_City" TargetMode="External"/><Relationship Id="rId478" Type="http://schemas.openxmlformats.org/officeDocument/2006/relationships/hyperlink" Target="https://en.wikipedia.org/wiki/Philippines" TargetMode="External"/><Relationship Id="rId231" Type="http://schemas.openxmlformats.org/officeDocument/2006/relationships/hyperlink" Target="https://en.wikipedia.org/wiki/Cardinal_priest" TargetMode="External"/><Relationship Id="rId473" Type="http://schemas.openxmlformats.org/officeDocument/2006/relationships/hyperlink" Target="https://en.wikipedia.org/wiki/Philippe_Ou%C3%A9draogo_(cardinal)" TargetMode="External"/><Relationship Id="rId230" Type="http://schemas.openxmlformats.org/officeDocument/2006/relationships/hyperlink" Target="https://en.wikipedia.org/wiki/Italy" TargetMode="External"/><Relationship Id="rId472" Type="http://schemas.openxmlformats.org/officeDocument/2006/relationships/hyperlink" Target="https://en.wikipedia.org/wiki/Roman_Catholic_Archdiocese_of_Santiago_de_Chile" TargetMode="External"/><Relationship Id="rId471" Type="http://schemas.openxmlformats.org/officeDocument/2006/relationships/hyperlink" Target="https://en.wikipedia.org/wiki/Cardinal_priest" TargetMode="External"/><Relationship Id="rId470" Type="http://schemas.openxmlformats.org/officeDocument/2006/relationships/hyperlink" Target="https://en.wikipedia.org/wiki/Chile" TargetMode="External"/><Relationship Id="rId235" Type="http://schemas.openxmlformats.org/officeDocument/2006/relationships/hyperlink" Target="https://en.wikipedia.org/wiki/Cardinal_priest" TargetMode="External"/><Relationship Id="rId477" Type="http://schemas.openxmlformats.org/officeDocument/2006/relationships/hyperlink" Target="https://en.wikipedia.org/wiki/Orlando_Quevedo" TargetMode="External"/><Relationship Id="rId234" Type="http://schemas.openxmlformats.org/officeDocument/2006/relationships/hyperlink" Target="https://en.wikipedia.org/wiki/Italy" TargetMode="External"/><Relationship Id="rId476" Type="http://schemas.openxmlformats.org/officeDocument/2006/relationships/hyperlink" Target="https://en.wikipedia.org/wiki/Roman_Catholic_Archdiocese_of_Ouagadougou" TargetMode="External"/><Relationship Id="rId233" Type="http://schemas.openxmlformats.org/officeDocument/2006/relationships/hyperlink" Target="https://en.wikipedia.org/wiki/Angelo_Comastri" TargetMode="External"/><Relationship Id="rId475" Type="http://schemas.openxmlformats.org/officeDocument/2006/relationships/hyperlink" Target="https://en.wikipedia.org/wiki/Cardinal_priest" TargetMode="External"/><Relationship Id="rId232" Type="http://schemas.openxmlformats.org/officeDocument/2006/relationships/hyperlink" Target="https://en.wikipedia.org/wiki/Pontifical_Commission_for_Vatican_City_State" TargetMode="External"/><Relationship Id="rId474" Type="http://schemas.openxmlformats.org/officeDocument/2006/relationships/hyperlink" Target="https://en.wikipedia.org/wiki/Burkina_Faso" TargetMode="External"/><Relationship Id="rId426" Type="http://schemas.openxmlformats.org/officeDocument/2006/relationships/hyperlink" Target="https://en.wikipedia.org/wiki/Colombia" TargetMode="External"/><Relationship Id="rId668" Type="http://schemas.openxmlformats.org/officeDocument/2006/relationships/hyperlink" Target="https://en.wikipedia.org/wiki/Roman_Catholic_Archdiocese_of_Bologna" TargetMode="External"/><Relationship Id="rId425" Type="http://schemas.openxmlformats.org/officeDocument/2006/relationships/hyperlink" Target="https://en.wikipedia.org/wiki/Rub%C3%A9n_Salazar_G%C3%B3mez" TargetMode="External"/><Relationship Id="rId667" Type="http://schemas.openxmlformats.org/officeDocument/2006/relationships/hyperlink" Target="https://en.wikipedia.org/wiki/Cardinal_priest" TargetMode="External"/><Relationship Id="rId424" Type="http://schemas.openxmlformats.org/officeDocument/2006/relationships/hyperlink" Target="https://en.wikipedia.org/wiki/Roman_Catholic_Archdiocese_of_Abuja" TargetMode="External"/><Relationship Id="rId666" Type="http://schemas.openxmlformats.org/officeDocument/2006/relationships/hyperlink" Target="https://en.wikipedia.org/wiki/Italy" TargetMode="External"/><Relationship Id="rId423" Type="http://schemas.openxmlformats.org/officeDocument/2006/relationships/hyperlink" Target="https://en.wikipedia.org/wiki/Cardinal_priest" TargetMode="External"/><Relationship Id="rId665" Type="http://schemas.openxmlformats.org/officeDocument/2006/relationships/hyperlink" Target="https://en.wikipedia.org/wiki/Matteo_Zuppi" TargetMode="External"/><Relationship Id="rId429" Type="http://schemas.openxmlformats.org/officeDocument/2006/relationships/hyperlink" Target="https://en.wikipedia.org/wiki/Lorenzo_Baldisseri" TargetMode="External"/><Relationship Id="rId428" Type="http://schemas.openxmlformats.org/officeDocument/2006/relationships/hyperlink" Target="https://en.wikipedia.org/wiki/Roman_Catholic_Archdiocese_of_Bogot%C3%A1" TargetMode="External"/><Relationship Id="rId427" Type="http://schemas.openxmlformats.org/officeDocument/2006/relationships/hyperlink" Target="https://en.wikipedia.org/wiki/Cardinal_priest" TargetMode="External"/><Relationship Id="rId669" Type="http://schemas.openxmlformats.org/officeDocument/2006/relationships/hyperlink" Target="https://en.wikipedia.org/wiki/Crist%C3%B3bal_L%C3%B3pez_Romero" TargetMode="External"/><Relationship Id="rId660" Type="http://schemas.openxmlformats.org/officeDocument/2006/relationships/hyperlink" Target="https://en.wikipedia.org/wiki/Roman_Catholic_Archdiocese_of_Luxembourg" TargetMode="External"/><Relationship Id="rId422" Type="http://schemas.openxmlformats.org/officeDocument/2006/relationships/hyperlink" Target="https://en.wikipedia.org/wiki/Nigeria" TargetMode="External"/><Relationship Id="rId664" Type="http://schemas.openxmlformats.org/officeDocument/2006/relationships/hyperlink" Target="https://en.wikipedia.org/wiki/Roman_Catholic_Diocese_of_Huehuetenango" TargetMode="External"/><Relationship Id="rId421" Type="http://schemas.openxmlformats.org/officeDocument/2006/relationships/hyperlink" Target="https://en.wikipedia.org/wiki/John_Onaiyekan" TargetMode="External"/><Relationship Id="rId663" Type="http://schemas.openxmlformats.org/officeDocument/2006/relationships/hyperlink" Target="https://en.wikipedia.org/wiki/Cardinal_priest" TargetMode="External"/><Relationship Id="rId420" Type="http://schemas.openxmlformats.org/officeDocument/2006/relationships/hyperlink" Target="https://en.wikipedia.org/wiki/Syro-Malankara_Catholic_Major_Archeparchy_of_Trivandrum" TargetMode="External"/><Relationship Id="rId662" Type="http://schemas.openxmlformats.org/officeDocument/2006/relationships/hyperlink" Target="https://en.wikipedia.org/wiki/Guatemala" TargetMode="External"/><Relationship Id="rId661" Type="http://schemas.openxmlformats.org/officeDocument/2006/relationships/hyperlink" Target="https://en.wikipedia.org/wiki/%C3%81lvaro_Leonel_Ramazzini_Imeri" TargetMode="External"/><Relationship Id="rId1004" Type="http://schemas.openxmlformats.org/officeDocument/2006/relationships/hyperlink" Target="https://en.wikipedia.org/wiki/George_Koovakad" TargetMode="External"/><Relationship Id="rId1005" Type="http://schemas.openxmlformats.org/officeDocument/2006/relationships/hyperlink" Target="https://en.wikipedia.org/wiki/India" TargetMode="External"/><Relationship Id="rId1006" Type="http://schemas.openxmlformats.org/officeDocument/2006/relationships/hyperlink" Target="https://en.wikipedia.org/wiki/Cardinal_deacon" TargetMode="External"/><Relationship Id="rId1007" Type="http://schemas.openxmlformats.org/officeDocument/2006/relationships/hyperlink" Target="https://en.wikipedia.org/wiki/Dicastery_for_Interreligious_Dialogue" TargetMode="External"/><Relationship Id="rId1008" Type="http://schemas.openxmlformats.org/officeDocument/2006/relationships/drawing" Target="../drawings/drawing2.xml"/><Relationship Id="rId415" Type="http://schemas.openxmlformats.org/officeDocument/2006/relationships/hyperlink" Target="https://en.wikipedia.org/wiki/Cardinal_priest" TargetMode="External"/><Relationship Id="rId657" Type="http://schemas.openxmlformats.org/officeDocument/2006/relationships/hyperlink" Target="https://en.wikipedia.org/wiki/Jean-Claude_Hollerich" TargetMode="External"/><Relationship Id="rId899" Type="http://schemas.openxmlformats.org/officeDocument/2006/relationships/hyperlink" Target="https://en.wikipedia.org/wiki/Almoner_of_His_Holiness" TargetMode="External"/><Relationship Id="rId414" Type="http://schemas.openxmlformats.org/officeDocument/2006/relationships/hyperlink" Target="https://en.wikipedia.org/wiki/United_States" TargetMode="External"/><Relationship Id="rId656" Type="http://schemas.openxmlformats.org/officeDocument/2006/relationships/hyperlink" Target="https://en.wikipedia.org/wiki/Roman_Catholic_Archdiocese_of_Kinshasa" TargetMode="External"/><Relationship Id="rId898" Type="http://schemas.openxmlformats.org/officeDocument/2006/relationships/hyperlink" Target="https://en.wikipedia.org/wiki/Cardinal_deacon" TargetMode="External"/><Relationship Id="rId413" Type="http://schemas.openxmlformats.org/officeDocument/2006/relationships/hyperlink" Target="https://en.wikipedia.org/wiki/James_Michael_Harvey" TargetMode="External"/><Relationship Id="rId655" Type="http://schemas.openxmlformats.org/officeDocument/2006/relationships/hyperlink" Target="https://en.wikipedia.org/wiki/Cardinal_priest" TargetMode="External"/><Relationship Id="rId897" Type="http://schemas.openxmlformats.org/officeDocument/2006/relationships/hyperlink" Target="https://en.wikipedia.org/wiki/Poland" TargetMode="External"/><Relationship Id="rId412" Type="http://schemas.openxmlformats.org/officeDocument/2006/relationships/hyperlink" Target="https://en.wikipedia.org/wiki/Romanian_Greek_Catholic_Major_Archeparchy_of_F%C4%83g%C4%83ra%C8%99_and_Alba_Iulia" TargetMode="External"/><Relationship Id="rId654" Type="http://schemas.openxmlformats.org/officeDocument/2006/relationships/hyperlink" Target="https://en.wikipedia.org/wiki/Democratic_Republic_of_the_Congo" TargetMode="External"/><Relationship Id="rId896" Type="http://schemas.openxmlformats.org/officeDocument/2006/relationships/hyperlink" Target="https://en.wikipedia.org/wiki/Konrad_Krajewski" TargetMode="External"/><Relationship Id="rId419" Type="http://schemas.openxmlformats.org/officeDocument/2006/relationships/hyperlink" Target="https://en.wikipedia.org/wiki/Cardinal_priest" TargetMode="External"/><Relationship Id="rId418" Type="http://schemas.openxmlformats.org/officeDocument/2006/relationships/hyperlink" Target="https://en.wikipedia.org/wiki/India" TargetMode="External"/><Relationship Id="rId417" Type="http://schemas.openxmlformats.org/officeDocument/2006/relationships/hyperlink" Target="https://en.wikipedia.org/wiki/Baselios_Cleemis" TargetMode="External"/><Relationship Id="rId659" Type="http://schemas.openxmlformats.org/officeDocument/2006/relationships/hyperlink" Target="https://en.wikipedia.org/wiki/Cardinal_priest" TargetMode="External"/><Relationship Id="rId416" Type="http://schemas.openxmlformats.org/officeDocument/2006/relationships/hyperlink" Target="https://en.wikipedia.org/wiki/Papal_Basilica_of_Saint_Paul_Outside_the_Walls" TargetMode="External"/><Relationship Id="rId658" Type="http://schemas.openxmlformats.org/officeDocument/2006/relationships/hyperlink" Target="https://en.wikipedia.org/wiki/Luxembourg" TargetMode="External"/><Relationship Id="rId891" Type="http://schemas.openxmlformats.org/officeDocument/2006/relationships/hyperlink" Target="https://en.wikipedia.org/wiki/Dicastery_for_the_Doctrine_of_the_Faith" TargetMode="External"/><Relationship Id="rId890" Type="http://schemas.openxmlformats.org/officeDocument/2006/relationships/hyperlink" Target="https://en.wikipedia.org/wiki/Cardinal_deacon" TargetMode="External"/><Relationship Id="rId411" Type="http://schemas.openxmlformats.org/officeDocument/2006/relationships/hyperlink" Target="https://en.wikipedia.org/wiki/Cardinal_priest" TargetMode="External"/><Relationship Id="rId653" Type="http://schemas.openxmlformats.org/officeDocument/2006/relationships/hyperlink" Target="https://en.wikipedia.org/wiki/Fridolin_Ambongo_Besungu" TargetMode="External"/><Relationship Id="rId895" Type="http://schemas.openxmlformats.org/officeDocument/2006/relationships/hyperlink" Target="https://en.wikipedia.org/wiki/Congregation_for_the_Causes_of_Saints" TargetMode="External"/><Relationship Id="rId1000" Type="http://schemas.openxmlformats.org/officeDocument/2006/relationships/hyperlink" Target="https://en.wikipedia.org/wiki/Fabio_Baggio" TargetMode="External"/><Relationship Id="rId410" Type="http://schemas.openxmlformats.org/officeDocument/2006/relationships/hyperlink" Target="https://en.wikipedia.org/wiki/Romania" TargetMode="External"/><Relationship Id="rId652" Type="http://schemas.openxmlformats.org/officeDocument/2006/relationships/hyperlink" Target="https://en.wikipedia.org/wiki/Roman_Catholic_Archdiocese_of_San_Crist%C3%B3bal_de_la_Habana" TargetMode="External"/><Relationship Id="rId894" Type="http://schemas.openxmlformats.org/officeDocument/2006/relationships/hyperlink" Target="https://en.wikipedia.org/wiki/Cardinal_deacon" TargetMode="External"/><Relationship Id="rId1001" Type="http://schemas.openxmlformats.org/officeDocument/2006/relationships/hyperlink" Target="https://en.wikipedia.org/wiki/Italy" TargetMode="External"/><Relationship Id="rId651" Type="http://schemas.openxmlformats.org/officeDocument/2006/relationships/hyperlink" Target="https://en.wikipedia.org/wiki/Cardinal_priest" TargetMode="External"/><Relationship Id="rId893" Type="http://schemas.openxmlformats.org/officeDocument/2006/relationships/hyperlink" Target="https://en.wikipedia.org/wiki/Italy" TargetMode="External"/><Relationship Id="rId1002" Type="http://schemas.openxmlformats.org/officeDocument/2006/relationships/hyperlink" Target="https://en.wikipedia.org/wiki/Cardinal_deacon" TargetMode="External"/><Relationship Id="rId650" Type="http://schemas.openxmlformats.org/officeDocument/2006/relationships/hyperlink" Target="https://en.wikipedia.org/wiki/Cuba" TargetMode="External"/><Relationship Id="rId892" Type="http://schemas.openxmlformats.org/officeDocument/2006/relationships/hyperlink" Target="https://en.wikipedia.org/wiki/Giovanni_Angelo_Becciu" TargetMode="External"/><Relationship Id="rId1003" Type="http://schemas.openxmlformats.org/officeDocument/2006/relationships/hyperlink" Target="https://en.wikipedia.org/wiki/Migrants_and_Refugees_Section" TargetMode="External"/><Relationship Id="rId206" Type="http://schemas.openxmlformats.org/officeDocument/2006/relationships/hyperlink" Target="https://en.wikipedia.org/wiki/Philippines" TargetMode="External"/><Relationship Id="rId448" Type="http://schemas.openxmlformats.org/officeDocument/2006/relationships/hyperlink" Target="https://en.wikipedia.org/wiki/Roman_Catholic_Archdiocese_of_Quebec" TargetMode="External"/><Relationship Id="rId205" Type="http://schemas.openxmlformats.org/officeDocument/2006/relationships/hyperlink" Target="https://en.wikipedia.org/wiki/Gaudencio_Borbon_Rosales" TargetMode="External"/><Relationship Id="rId447" Type="http://schemas.openxmlformats.org/officeDocument/2006/relationships/hyperlink" Target="https://en.wikipedia.org/wiki/Cardinal_priest" TargetMode="External"/><Relationship Id="rId689" Type="http://schemas.openxmlformats.org/officeDocument/2006/relationships/hyperlink" Target="https://en.wikipedia.org/wiki/Celestino_A%C3%B3s_Braco" TargetMode="External"/><Relationship Id="rId204" Type="http://schemas.openxmlformats.org/officeDocument/2006/relationships/hyperlink" Target="https://en.wikipedia.org/wiki/Pontifical_Legation_for_the_Basilicas_of_Saint_Francis_and_Saint_Mary_of_the_Angels_in_Assisi" TargetMode="External"/><Relationship Id="rId446" Type="http://schemas.openxmlformats.org/officeDocument/2006/relationships/hyperlink" Target="https://en.wikipedia.org/wiki/Canada" TargetMode="External"/><Relationship Id="rId688" Type="http://schemas.openxmlformats.org/officeDocument/2006/relationships/hyperlink" Target="https://en.wikipedia.org/wiki/Roman_Catholic_Archdiocese_of_Manila" TargetMode="External"/><Relationship Id="rId203" Type="http://schemas.openxmlformats.org/officeDocument/2006/relationships/hyperlink" Target="https://en.wikipedia.org/wiki/Cardinal_priest" TargetMode="External"/><Relationship Id="rId445" Type="http://schemas.openxmlformats.org/officeDocument/2006/relationships/hyperlink" Target="https://en.wikipedia.org/wiki/G%C3%A9rald_Lacroix" TargetMode="External"/><Relationship Id="rId687" Type="http://schemas.openxmlformats.org/officeDocument/2006/relationships/hyperlink" Target="https://en.wikipedia.org/wiki/Cardinal_priest" TargetMode="External"/><Relationship Id="rId209" Type="http://schemas.openxmlformats.org/officeDocument/2006/relationships/hyperlink" Target="https://en.wikipedia.org/wiki/Jean-Pierre_Ricard" TargetMode="External"/><Relationship Id="rId208" Type="http://schemas.openxmlformats.org/officeDocument/2006/relationships/hyperlink" Target="https://en.wikipedia.org/wiki/Roman_Catholic_Archdiocese_of_Manila" TargetMode="External"/><Relationship Id="rId207" Type="http://schemas.openxmlformats.org/officeDocument/2006/relationships/hyperlink" Target="https://en.wikipedia.org/wiki/Cardinal_priest" TargetMode="External"/><Relationship Id="rId449" Type="http://schemas.openxmlformats.org/officeDocument/2006/relationships/hyperlink" Target="https://en.wikipedia.org/wiki/Jean-Pierre_Kutwa" TargetMode="External"/><Relationship Id="rId440" Type="http://schemas.openxmlformats.org/officeDocument/2006/relationships/hyperlink" Target="https://en.wikipedia.org/wiki/Roman_Catholic_Diocese_of_Westminster" TargetMode="External"/><Relationship Id="rId682" Type="http://schemas.openxmlformats.org/officeDocument/2006/relationships/hyperlink" Target="https://en.wikipedia.org/wiki/United_States" TargetMode="External"/><Relationship Id="rId681" Type="http://schemas.openxmlformats.org/officeDocument/2006/relationships/hyperlink" Target="https://en.wikipedia.org/wiki/Wilton_Daniel_Gregory" TargetMode="External"/><Relationship Id="rId680" Type="http://schemas.openxmlformats.org/officeDocument/2006/relationships/hyperlink" Target="https://en.wikipedia.org/wiki/Roman_Catholic_Archdiocese_of_Kigali" TargetMode="External"/><Relationship Id="rId202" Type="http://schemas.openxmlformats.org/officeDocument/2006/relationships/hyperlink" Target="https://en.wikipedia.org/wiki/Italy" TargetMode="External"/><Relationship Id="rId444" Type="http://schemas.openxmlformats.org/officeDocument/2006/relationships/hyperlink" Target="https://en.wikipedia.org/wiki/Roman_Catholic_Archdiocese_of_Managua" TargetMode="External"/><Relationship Id="rId686" Type="http://schemas.openxmlformats.org/officeDocument/2006/relationships/hyperlink" Target="https://en.wikipedia.org/wiki/Philippines" TargetMode="External"/><Relationship Id="rId201" Type="http://schemas.openxmlformats.org/officeDocument/2006/relationships/hyperlink" Target="https://en.wikipedia.org/wiki/Agostino_Vallini" TargetMode="External"/><Relationship Id="rId443" Type="http://schemas.openxmlformats.org/officeDocument/2006/relationships/hyperlink" Target="https://en.wikipedia.org/wiki/Cardinal_priest" TargetMode="External"/><Relationship Id="rId685" Type="http://schemas.openxmlformats.org/officeDocument/2006/relationships/hyperlink" Target="https://en.wikipedia.org/wiki/Jose_Advincula" TargetMode="External"/><Relationship Id="rId200" Type="http://schemas.openxmlformats.org/officeDocument/2006/relationships/hyperlink" Target="https://en.wikipedia.org/wiki/Congregation_for_Institutes_of_Consecrated_Life_and_Societies_of_Apostolic_Life" TargetMode="External"/><Relationship Id="rId442" Type="http://schemas.openxmlformats.org/officeDocument/2006/relationships/hyperlink" Target="https://en.wikipedia.org/wiki/Nicaragua" TargetMode="External"/><Relationship Id="rId684" Type="http://schemas.openxmlformats.org/officeDocument/2006/relationships/hyperlink" Target="https://en.wikipedia.org/wiki/Roman_Catholic_Archdiocese_of_Washington" TargetMode="External"/><Relationship Id="rId441" Type="http://schemas.openxmlformats.org/officeDocument/2006/relationships/hyperlink" Target="https://en.wikipedia.org/wiki/Leopoldo_Brenes" TargetMode="External"/><Relationship Id="rId683" Type="http://schemas.openxmlformats.org/officeDocument/2006/relationships/hyperlink" Target="https://en.wikipedia.org/wiki/Cardinal_priest" TargetMode="External"/><Relationship Id="rId437" Type="http://schemas.openxmlformats.org/officeDocument/2006/relationships/hyperlink" Target="https://en.wikipedia.org/wiki/Vincent_Nichols" TargetMode="External"/><Relationship Id="rId679" Type="http://schemas.openxmlformats.org/officeDocument/2006/relationships/hyperlink" Target="https://en.wikipedia.org/wiki/Cardinal_priest" TargetMode="External"/><Relationship Id="rId436" Type="http://schemas.openxmlformats.org/officeDocument/2006/relationships/hyperlink" Target="https://en.wikipedia.org/wiki/Congregation_for_the_Doctrine_of_the_Faith" TargetMode="External"/><Relationship Id="rId678" Type="http://schemas.openxmlformats.org/officeDocument/2006/relationships/hyperlink" Target="https://en.wikipedia.org/wiki/Rwanda" TargetMode="External"/><Relationship Id="rId435" Type="http://schemas.openxmlformats.org/officeDocument/2006/relationships/hyperlink" Target="https://en.wikipedia.org/wiki/Cardinal_priest" TargetMode="External"/><Relationship Id="rId677" Type="http://schemas.openxmlformats.org/officeDocument/2006/relationships/hyperlink" Target="https://en.wikipedia.org/wiki/Antoine_Kambanda" TargetMode="External"/><Relationship Id="rId434" Type="http://schemas.openxmlformats.org/officeDocument/2006/relationships/hyperlink" Target="https://en.wikipedia.org/wiki/Germany" TargetMode="External"/><Relationship Id="rId676" Type="http://schemas.openxmlformats.org/officeDocument/2006/relationships/hyperlink" Target="https://en.wikipedia.org/wiki/Roman_Catholic_Archdiocese_of_Kaunas" TargetMode="External"/><Relationship Id="rId439" Type="http://schemas.openxmlformats.org/officeDocument/2006/relationships/hyperlink" Target="https://en.wikipedia.org/wiki/Cardinal_priest" TargetMode="External"/><Relationship Id="rId438" Type="http://schemas.openxmlformats.org/officeDocument/2006/relationships/hyperlink" Target="https://en.wikipedia.org/wiki/United_Kingdom" TargetMode="External"/><Relationship Id="rId671" Type="http://schemas.openxmlformats.org/officeDocument/2006/relationships/hyperlink" Target="https://en.wikipedia.org/wiki/Cardinal_priest" TargetMode="External"/><Relationship Id="rId670" Type="http://schemas.openxmlformats.org/officeDocument/2006/relationships/hyperlink" Target="https://en.wikipedia.org/wiki/Morocco" TargetMode="External"/><Relationship Id="rId433" Type="http://schemas.openxmlformats.org/officeDocument/2006/relationships/hyperlink" Target="https://en.wikipedia.org/wiki/Gerhard_Ludwig_M%C3%BCller" TargetMode="External"/><Relationship Id="rId675" Type="http://schemas.openxmlformats.org/officeDocument/2006/relationships/hyperlink" Target="https://en.wikipedia.org/wiki/Cardinal_priest" TargetMode="External"/><Relationship Id="rId432" Type="http://schemas.openxmlformats.org/officeDocument/2006/relationships/hyperlink" Target="https://en.wikipedia.org/wiki/Synod_of_Bishops_in_the_Catholic_Church" TargetMode="External"/><Relationship Id="rId674" Type="http://schemas.openxmlformats.org/officeDocument/2006/relationships/hyperlink" Target="https://en.wikipedia.org/wiki/Lithuania" TargetMode="External"/><Relationship Id="rId431" Type="http://schemas.openxmlformats.org/officeDocument/2006/relationships/hyperlink" Target="https://en.wikipedia.org/wiki/Cardinal_priest" TargetMode="External"/><Relationship Id="rId673" Type="http://schemas.openxmlformats.org/officeDocument/2006/relationships/hyperlink" Target="https://en.wikipedia.org/wiki/Sigitas_Tamkevi%C4%8Dius" TargetMode="External"/><Relationship Id="rId430" Type="http://schemas.openxmlformats.org/officeDocument/2006/relationships/hyperlink" Target="https://en.wikipedia.org/wiki/Italy" TargetMode="External"/><Relationship Id="rId672" Type="http://schemas.openxmlformats.org/officeDocument/2006/relationships/hyperlink" Target="https://en.wikipedia.org/wiki/Roman_Catholic_Archdiocese_of_Raba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Pope_Paul_VI" TargetMode="External"/><Relationship Id="rId2" Type="http://schemas.openxmlformats.org/officeDocument/2006/relationships/hyperlink" Target="https://en.wikipedia.org/wiki/Pope_John_Paul_II" TargetMode="External"/><Relationship Id="rId3" Type="http://schemas.openxmlformats.org/officeDocument/2006/relationships/hyperlink" Target="https://en.wikipedia.org/wiki/Pope_John_Paul_II" TargetMode="External"/><Relationship Id="rId4" Type="http://schemas.openxmlformats.org/officeDocument/2006/relationships/hyperlink" Target="https://en.wikipedia.org/wiki/Pope_John_Paul_II" TargetMode="External"/><Relationship Id="rId9" Type="http://schemas.openxmlformats.org/officeDocument/2006/relationships/hyperlink" Target="https://en.wikipedia.org/wiki/Pope_John_Paul_II" TargetMode="External"/><Relationship Id="rId5" Type="http://schemas.openxmlformats.org/officeDocument/2006/relationships/hyperlink" Target="https://en.wikipedia.org/wiki/Pope_John_Paul_II" TargetMode="External"/><Relationship Id="rId6" Type="http://schemas.openxmlformats.org/officeDocument/2006/relationships/hyperlink" Target="https://en.wikipedia.org/wiki/Pope_Paul_VI" TargetMode="External"/><Relationship Id="rId7" Type="http://schemas.openxmlformats.org/officeDocument/2006/relationships/hyperlink" Target="https://en.wikipedia.org/wiki/Pope_John_Paul_II" TargetMode="External"/><Relationship Id="rId8" Type="http://schemas.openxmlformats.org/officeDocument/2006/relationships/hyperlink" Target="https://en.wikipedia.org/wiki/Pope_John_Paul_II" TargetMode="External"/><Relationship Id="rId40" Type="http://schemas.openxmlformats.org/officeDocument/2006/relationships/hyperlink" Target="https://en.wikipedia.org/wiki/Pope_John_Paul_II" TargetMode="External"/><Relationship Id="rId42" Type="http://schemas.openxmlformats.org/officeDocument/2006/relationships/hyperlink" Target="https://en.wikipedia.org/wiki/Pope_John_Paul_II" TargetMode="External"/><Relationship Id="rId41" Type="http://schemas.openxmlformats.org/officeDocument/2006/relationships/hyperlink" Target="https://en.wikipedia.org/wiki/Pope_John_Paul_II" TargetMode="External"/><Relationship Id="rId44" Type="http://schemas.openxmlformats.org/officeDocument/2006/relationships/hyperlink" Target="https://en.wikipedia.org/wiki/Pope_John_Paul_II" TargetMode="External"/><Relationship Id="rId43" Type="http://schemas.openxmlformats.org/officeDocument/2006/relationships/hyperlink" Target="https://en.wikipedia.org/wiki/Pope_John_Paul_II" TargetMode="External"/><Relationship Id="rId46" Type="http://schemas.openxmlformats.org/officeDocument/2006/relationships/hyperlink" Target="https://en.wikipedia.org/wiki/Pope_John_Paul_II" TargetMode="External"/><Relationship Id="rId45" Type="http://schemas.openxmlformats.org/officeDocument/2006/relationships/hyperlink" Target="https://en.wikipedia.org/wiki/Pope_John_Paul_II" TargetMode="External"/><Relationship Id="rId48" Type="http://schemas.openxmlformats.org/officeDocument/2006/relationships/hyperlink" Target="https://en.wikipedia.org/wiki/Pope_John_Paul_II" TargetMode="External"/><Relationship Id="rId47" Type="http://schemas.openxmlformats.org/officeDocument/2006/relationships/hyperlink" Target="https://en.wikipedia.org/wiki/Pope_John_Paul_II" TargetMode="External"/><Relationship Id="rId49" Type="http://schemas.openxmlformats.org/officeDocument/2006/relationships/hyperlink" Target="https://en.wikipedia.org/wiki/Pope_John_Paul_II" TargetMode="External"/><Relationship Id="rId31" Type="http://schemas.openxmlformats.org/officeDocument/2006/relationships/hyperlink" Target="https://en.wikipedia.org/wiki/Pope_John_Paul_II" TargetMode="External"/><Relationship Id="rId30" Type="http://schemas.openxmlformats.org/officeDocument/2006/relationships/hyperlink" Target="https://en.wikipedia.org/wiki/Pope_John_Paul_II" TargetMode="External"/><Relationship Id="rId33" Type="http://schemas.openxmlformats.org/officeDocument/2006/relationships/hyperlink" Target="https://en.wikipedia.org/wiki/Pope_John_Paul_II" TargetMode="External"/><Relationship Id="rId32" Type="http://schemas.openxmlformats.org/officeDocument/2006/relationships/hyperlink" Target="https://en.wikipedia.org/wiki/Pope_John_Paul_II" TargetMode="External"/><Relationship Id="rId35" Type="http://schemas.openxmlformats.org/officeDocument/2006/relationships/hyperlink" Target="https://en.wikipedia.org/wiki/Pope_John_Paul_II" TargetMode="External"/><Relationship Id="rId34" Type="http://schemas.openxmlformats.org/officeDocument/2006/relationships/hyperlink" Target="https://en.wikipedia.org/wiki/Pope_John_Paul_II" TargetMode="External"/><Relationship Id="rId37" Type="http://schemas.openxmlformats.org/officeDocument/2006/relationships/hyperlink" Target="https://en.wikipedia.org/wiki/Pope_John_Paul_II" TargetMode="External"/><Relationship Id="rId36" Type="http://schemas.openxmlformats.org/officeDocument/2006/relationships/hyperlink" Target="https://en.wikipedia.org/wiki/Pope_John_Paul_II" TargetMode="External"/><Relationship Id="rId39" Type="http://schemas.openxmlformats.org/officeDocument/2006/relationships/hyperlink" Target="https://en.wikipedia.org/wiki/Pope_John_Paul_II" TargetMode="External"/><Relationship Id="rId38" Type="http://schemas.openxmlformats.org/officeDocument/2006/relationships/hyperlink" Target="https://en.wikipedia.org/wiki/Pope_John_Paul_II" TargetMode="External"/><Relationship Id="rId20" Type="http://schemas.openxmlformats.org/officeDocument/2006/relationships/hyperlink" Target="https://en.wikipedia.org/wiki/Pope_John_Paul_II" TargetMode="External"/><Relationship Id="rId22" Type="http://schemas.openxmlformats.org/officeDocument/2006/relationships/hyperlink" Target="https://en.wikipedia.org/wiki/Pope_John_Paul_II" TargetMode="External"/><Relationship Id="rId21" Type="http://schemas.openxmlformats.org/officeDocument/2006/relationships/hyperlink" Target="https://en.wikipedia.org/wiki/Pope_John_Paul_II" TargetMode="External"/><Relationship Id="rId24" Type="http://schemas.openxmlformats.org/officeDocument/2006/relationships/hyperlink" Target="https://en.wikipedia.org/wiki/Pope_John_Paul_II" TargetMode="External"/><Relationship Id="rId23" Type="http://schemas.openxmlformats.org/officeDocument/2006/relationships/hyperlink" Target="https://en.wikipedia.org/wiki/Pope_John_Paul_II" TargetMode="External"/><Relationship Id="rId26" Type="http://schemas.openxmlformats.org/officeDocument/2006/relationships/hyperlink" Target="https://en.wikipedia.org/wiki/Pope_John_Paul_II" TargetMode="External"/><Relationship Id="rId25" Type="http://schemas.openxmlformats.org/officeDocument/2006/relationships/hyperlink" Target="https://en.wikipedia.org/wiki/Pope_John_Paul_II" TargetMode="External"/><Relationship Id="rId28" Type="http://schemas.openxmlformats.org/officeDocument/2006/relationships/hyperlink" Target="https://en.wikipedia.org/wiki/Pope_John_Paul_II" TargetMode="External"/><Relationship Id="rId27" Type="http://schemas.openxmlformats.org/officeDocument/2006/relationships/hyperlink" Target="https://en.wikipedia.org/wiki/Pope_John_Paul_II" TargetMode="External"/><Relationship Id="rId29" Type="http://schemas.openxmlformats.org/officeDocument/2006/relationships/hyperlink" Target="https://en.wikipedia.org/wiki/Pope_John_Paul_II" TargetMode="External"/><Relationship Id="rId11" Type="http://schemas.openxmlformats.org/officeDocument/2006/relationships/hyperlink" Target="https://en.wikipedia.org/wiki/Pope_John_Paul_II" TargetMode="External"/><Relationship Id="rId10" Type="http://schemas.openxmlformats.org/officeDocument/2006/relationships/hyperlink" Target="https://en.wikipedia.org/wiki/Pope_John_Paul_II" TargetMode="External"/><Relationship Id="rId13" Type="http://schemas.openxmlformats.org/officeDocument/2006/relationships/hyperlink" Target="https://en.wikipedia.org/wiki/Pope_John_Paul_II" TargetMode="External"/><Relationship Id="rId12" Type="http://schemas.openxmlformats.org/officeDocument/2006/relationships/hyperlink" Target="https://en.wikipedia.org/wiki/Pope_John_Paul_II" TargetMode="External"/><Relationship Id="rId15" Type="http://schemas.openxmlformats.org/officeDocument/2006/relationships/hyperlink" Target="https://en.wikipedia.org/wiki/Pope_John_Paul_II" TargetMode="External"/><Relationship Id="rId14" Type="http://schemas.openxmlformats.org/officeDocument/2006/relationships/hyperlink" Target="https://en.wikipedia.org/wiki/Pope_John_Paul_II" TargetMode="External"/><Relationship Id="rId17" Type="http://schemas.openxmlformats.org/officeDocument/2006/relationships/hyperlink" Target="https://en.wikipedia.org/wiki/Pope_John_Paul_II" TargetMode="External"/><Relationship Id="rId16" Type="http://schemas.openxmlformats.org/officeDocument/2006/relationships/hyperlink" Target="https://en.wikipedia.org/wiki/Pope_John_Paul_II" TargetMode="External"/><Relationship Id="rId19" Type="http://schemas.openxmlformats.org/officeDocument/2006/relationships/hyperlink" Target="https://en.wikipedia.org/wiki/Pope_John_Paul_II" TargetMode="External"/><Relationship Id="rId18" Type="http://schemas.openxmlformats.org/officeDocument/2006/relationships/hyperlink" Target="https://en.wikipedia.org/wiki/Pope_John_Paul_II" TargetMode="External"/><Relationship Id="rId84" Type="http://schemas.openxmlformats.org/officeDocument/2006/relationships/hyperlink" Target="https://en.wikipedia.org/wiki/Pope_John_Paul_II" TargetMode="External"/><Relationship Id="rId83" Type="http://schemas.openxmlformats.org/officeDocument/2006/relationships/hyperlink" Target="https://en.wikipedia.org/wiki/Pope_John_Paul_II" TargetMode="External"/><Relationship Id="rId86" Type="http://schemas.openxmlformats.org/officeDocument/2006/relationships/hyperlink" Target="https://en.wikipedia.org/wiki/Pope_John_Paul_II" TargetMode="External"/><Relationship Id="rId85" Type="http://schemas.openxmlformats.org/officeDocument/2006/relationships/hyperlink" Target="https://en.wikipedia.org/wiki/Pope_John_Paul_II" TargetMode="External"/><Relationship Id="rId88" Type="http://schemas.openxmlformats.org/officeDocument/2006/relationships/hyperlink" Target="https://en.wikipedia.org/wiki/Pope_John_Paul_II" TargetMode="External"/><Relationship Id="rId87" Type="http://schemas.openxmlformats.org/officeDocument/2006/relationships/hyperlink" Target="https://en.wikipedia.org/wiki/Pope_John_Paul_II" TargetMode="External"/><Relationship Id="rId89" Type="http://schemas.openxmlformats.org/officeDocument/2006/relationships/hyperlink" Target="https://en.wikipedia.org/wiki/Pope_John_Paul_II" TargetMode="External"/><Relationship Id="rId80" Type="http://schemas.openxmlformats.org/officeDocument/2006/relationships/hyperlink" Target="https://en.wikipedia.org/wiki/Pope_John_Paul_II" TargetMode="External"/><Relationship Id="rId82" Type="http://schemas.openxmlformats.org/officeDocument/2006/relationships/hyperlink" Target="https://en.wikipedia.org/wiki/Pope_John_Paul_II" TargetMode="External"/><Relationship Id="rId81" Type="http://schemas.openxmlformats.org/officeDocument/2006/relationships/hyperlink" Target="https://en.wikipedia.org/wiki/Pope_John_Paul_II" TargetMode="External"/><Relationship Id="rId73" Type="http://schemas.openxmlformats.org/officeDocument/2006/relationships/hyperlink" Target="https://en.wikipedia.org/wiki/Pope_John_Paul_II" TargetMode="External"/><Relationship Id="rId72" Type="http://schemas.openxmlformats.org/officeDocument/2006/relationships/hyperlink" Target="https://en.wikipedia.org/wiki/Pope_John_Paul_II" TargetMode="External"/><Relationship Id="rId75" Type="http://schemas.openxmlformats.org/officeDocument/2006/relationships/hyperlink" Target="https://en.wikipedia.org/wiki/Pope_John_Paul_II" TargetMode="External"/><Relationship Id="rId74" Type="http://schemas.openxmlformats.org/officeDocument/2006/relationships/hyperlink" Target="https://en.wikipedia.org/wiki/Pope_John_Paul_II" TargetMode="External"/><Relationship Id="rId77" Type="http://schemas.openxmlformats.org/officeDocument/2006/relationships/hyperlink" Target="https://en.wikipedia.org/wiki/Pope_John_Paul_II" TargetMode="External"/><Relationship Id="rId76" Type="http://schemas.openxmlformats.org/officeDocument/2006/relationships/hyperlink" Target="https://en.wikipedia.org/wiki/Pope_John_Paul_II" TargetMode="External"/><Relationship Id="rId79" Type="http://schemas.openxmlformats.org/officeDocument/2006/relationships/hyperlink" Target="https://en.wikipedia.org/wiki/Pope_John_Paul_II" TargetMode="External"/><Relationship Id="rId78" Type="http://schemas.openxmlformats.org/officeDocument/2006/relationships/hyperlink" Target="https://en.wikipedia.org/wiki/Pope_John_Paul_II" TargetMode="External"/><Relationship Id="rId71" Type="http://schemas.openxmlformats.org/officeDocument/2006/relationships/hyperlink" Target="https://en.wikipedia.org/wiki/Pope_John_Paul_II" TargetMode="External"/><Relationship Id="rId70" Type="http://schemas.openxmlformats.org/officeDocument/2006/relationships/hyperlink" Target="https://en.wikipedia.org/wiki/Pope_John_Paul_II" TargetMode="External"/><Relationship Id="rId62" Type="http://schemas.openxmlformats.org/officeDocument/2006/relationships/hyperlink" Target="https://en.wikipedia.org/wiki/Pope_John_Paul_II" TargetMode="External"/><Relationship Id="rId61" Type="http://schemas.openxmlformats.org/officeDocument/2006/relationships/hyperlink" Target="https://en.wikipedia.org/wiki/Pope_John_Paul_II" TargetMode="External"/><Relationship Id="rId64" Type="http://schemas.openxmlformats.org/officeDocument/2006/relationships/hyperlink" Target="https://en.wikipedia.org/wiki/Pope_John_Paul_II" TargetMode="External"/><Relationship Id="rId63" Type="http://schemas.openxmlformats.org/officeDocument/2006/relationships/hyperlink" Target="https://en.wikipedia.org/wiki/Pope_John_Paul_II" TargetMode="External"/><Relationship Id="rId66" Type="http://schemas.openxmlformats.org/officeDocument/2006/relationships/hyperlink" Target="https://en.wikipedia.org/wiki/Pope_John_Paul_II" TargetMode="External"/><Relationship Id="rId65" Type="http://schemas.openxmlformats.org/officeDocument/2006/relationships/hyperlink" Target="https://en.wikipedia.org/wiki/Pope_John_Paul_II" TargetMode="External"/><Relationship Id="rId68" Type="http://schemas.openxmlformats.org/officeDocument/2006/relationships/hyperlink" Target="https://en.wikipedia.org/wiki/Pope_John_Paul_II" TargetMode="External"/><Relationship Id="rId67" Type="http://schemas.openxmlformats.org/officeDocument/2006/relationships/hyperlink" Target="https://en.wikipedia.org/wiki/Pope_John_Paul_II" TargetMode="External"/><Relationship Id="rId60" Type="http://schemas.openxmlformats.org/officeDocument/2006/relationships/hyperlink" Target="https://en.wikipedia.org/wiki/Pope_John_Paul_II" TargetMode="External"/><Relationship Id="rId69" Type="http://schemas.openxmlformats.org/officeDocument/2006/relationships/hyperlink" Target="https://en.wikipedia.org/wiki/Pope_John_Paul_II" TargetMode="External"/><Relationship Id="rId51" Type="http://schemas.openxmlformats.org/officeDocument/2006/relationships/hyperlink" Target="https://en.wikipedia.org/wiki/Pope_John_Paul_II" TargetMode="External"/><Relationship Id="rId50" Type="http://schemas.openxmlformats.org/officeDocument/2006/relationships/hyperlink" Target="https://en.wikipedia.org/wiki/Pope_John_Paul_II" TargetMode="External"/><Relationship Id="rId53" Type="http://schemas.openxmlformats.org/officeDocument/2006/relationships/hyperlink" Target="https://en.wikipedia.org/wiki/Pope_John_Paul_II" TargetMode="External"/><Relationship Id="rId52" Type="http://schemas.openxmlformats.org/officeDocument/2006/relationships/hyperlink" Target="https://en.wikipedia.org/wiki/Pope_John_Paul_II" TargetMode="External"/><Relationship Id="rId55" Type="http://schemas.openxmlformats.org/officeDocument/2006/relationships/hyperlink" Target="https://en.wikipedia.org/wiki/Pope_John_Paul_II" TargetMode="External"/><Relationship Id="rId54" Type="http://schemas.openxmlformats.org/officeDocument/2006/relationships/hyperlink" Target="https://en.wikipedia.org/wiki/Pope_John_Paul_II" TargetMode="External"/><Relationship Id="rId57" Type="http://schemas.openxmlformats.org/officeDocument/2006/relationships/hyperlink" Target="https://en.wikipedia.org/wiki/Pope_John_Paul_II" TargetMode="External"/><Relationship Id="rId56" Type="http://schemas.openxmlformats.org/officeDocument/2006/relationships/hyperlink" Target="https://en.wikipedia.org/wiki/Pope_John_Paul_II" TargetMode="External"/><Relationship Id="rId59" Type="http://schemas.openxmlformats.org/officeDocument/2006/relationships/hyperlink" Target="https://en.wikipedia.org/wiki/Pope_John_Paul_II" TargetMode="External"/><Relationship Id="rId58" Type="http://schemas.openxmlformats.org/officeDocument/2006/relationships/hyperlink" Target="https://en.wikipedia.org/wiki/Pope_John_Paul_II" TargetMode="External"/><Relationship Id="rId107" Type="http://schemas.openxmlformats.org/officeDocument/2006/relationships/hyperlink" Target="https://en.wikipedia.org/wiki/Pope_John_Paul_II" TargetMode="External"/><Relationship Id="rId106" Type="http://schemas.openxmlformats.org/officeDocument/2006/relationships/hyperlink" Target="https://en.wikipedia.org/wiki/Pope_John_Paul_II" TargetMode="External"/><Relationship Id="rId105" Type="http://schemas.openxmlformats.org/officeDocument/2006/relationships/hyperlink" Target="https://en.wikipedia.org/wiki/Pope_John_Paul_II" TargetMode="External"/><Relationship Id="rId104" Type="http://schemas.openxmlformats.org/officeDocument/2006/relationships/hyperlink" Target="https://en.wikipedia.org/wiki/Pope_John_Paul_II" TargetMode="External"/><Relationship Id="rId109" Type="http://schemas.openxmlformats.org/officeDocument/2006/relationships/hyperlink" Target="https://en.wikipedia.org/wiki/Pope_John_Paul_II" TargetMode="External"/><Relationship Id="rId108" Type="http://schemas.openxmlformats.org/officeDocument/2006/relationships/hyperlink" Target="https://en.wikipedia.org/wiki/Pope_John_Paul_II" TargetMode="External"/><Relationship Id="rId103" Type="http://schemas.openxmlformats.org/officeDocument/2006/relationships/hyperlink" Target="https://en.wikipedia.org/wiki/Pope_John_Paul_II" TargetMode="External"/><Relationship Id="rId102" Type="http://schemas.openxmlformats.org/officeDocument/2006/relationships/hyperlink" Target="https://en.wikipedia.org/wiki/Pope_John_Paul_II" TargetMode="External"/><Relationship Id="rId101" Type="http://schemas.openxmlformats.org/officeDocument/2006/relationships/hyperlink" Target="https://en.wikipedia.org/wiki/Pope_John_Paul_II" TargetMode="External"/><Relationship Id="rId100" Type="http://schemas.openxmlformats.org/officeDocument/2006/relationships/hyperlink" Target="https://en.wikipedia.org/wiki/Pope_John_Paul_II" TargetMode="External"/><Relationship Id="rId95" Type="http://schemas.openxmlformats.org/officeDocument/2006/relationships/hyperlink" Target="https://en.wikipedia.org/wiki/Pope_John_Paul_II" TargetMode="External"/><Relationship Id="rId94" Type="http://schemas.openxmlformats.org/officeDocument/2006/relationships/hyperlink" Target="https://en.wikipedia.org/wiki/Pope_John_Paul_II" TargetMode="External"/><Relationship Id="rId97" Type="http://schemas.openxmlformats.org/officeDocument/2006/relationships/hyperlink" Target="https://en.wikipedia.org/wiki/Pope_John_Paul_II" TargetMode="External"/><Relationship Id="rId96" Type="http://schemas.openxmlformats.org/officeDocument/2006/relationships/hyperlink" Target="https://en.wikipedia.org/wiki/Pope_John_Paul_II" TargetMode="External"/><Relationship Id="rId99" Type="http://schemas.openxmlformats.org/officeDocument/2006/relationships/hyperlink" Target="https://en.wikipedia.org/wiki/Pope_John_Paul_II" TargetMode="External"/><Relationship Id="rId98" Type="http://schemas.openxmlformats.org/officeDocument/2006/relationships/hyperlink" Target="https://en.wikipedia.org/wiki/Pope_John_Paul_II" TargetMode="External"/><Relationship Id="rId91" Type="http://schemas.openxmlformats.org/officeDocument/2006/relationships/hyperlink" Target="https://en.wikipedia.org/wiki/Pope_John_Paul_II" TargetMode="External"/><Relationship Id="rId90" Type="http://schemas.openxmlformats.org/officeDocument/2006/relationships/hyperlink" Target="https://en.wikipedia.org/wiki/Pope_John_Paul_II" TargetMode="External"/><Relationship Id="rId93" Type="http://schemas.openxmlformats.org/officeDocument/2006/relationships/hyperlink" Target="https://en.wikipedia.org/wiki/Pope_John_Paul_II" TargetMode="External"/><Relationship Id="rId92" Type="http://schemas.openxmlformats.org/officeDocument/2006/relationships/hyperlink" Target="https://en.wikipedia.org/wiki/Pope_John_Paul_II" TargetMode="External"/><Relationship Id="rId116" Type="http://schemas.openxmlformats.org/officeDocument/2006/relationships/drawing" Target="../drawings/drawing4.xml"/><Relationship Id="rId115" Type="http://schemas.openxmlformats.org/officeDocument/2006/relationships/hyperlink" Target="https://en.wikipedia.org/wiki/Pope_John_Paul_II" TargetMode="External"/><Relationship Id="rId110" Type="http://schemas.openxmlformats.org/officeDocument/2006/relationships/hyperlink" Target="https://en.wikipedia.org/wiki/Pope_John_Paul_II" TargetMode="External"/><Relationship Id="rId114" Type="http://schemas.openxmlformats.org/officeDocument/2006/relationships/hyperlink" Target="https://en.wikipedia.org/wiki/Pope_John_Paul_II" TargetMode="External"/><Relationship Id="rId113" Type="http://schemas.openxmlformats.org/officeDocument/2006/relationships/hyperlink" Target="https://en.wikipedia.org/wiki/Pope_John_Paul_II" TargetMode="External"/><Relationship Id="rId112" Type="http://schemas.openxmlformats.org/officeDocument/2006/relationships/hyperlink" Target="https://en.wikipedia.org/wiki/Pope_John_Paul_II" TargetMode="External"/><Relationship Id="rId111" Type="http://schemas.openxmlformats.org/officeDocument/2006/relationships/hyperlink" Target="https://en.wikipedia.org/wiki/Pope_John_Paul_II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Canada" TargetMode="External"/><Relationship Id="rId194" Type="http://schemas.openxmlformats.org/officeDocument/2006/relationships/hyperlink" Target="https://en.wikipedia.org/wiki/Italy" TargetMode="External"/><Relationship Id="rId193" Type="http://schemas.openxmlformats.org/officeDocument/2006/relationships/hyperlink" Target="https://en.wikipedia.org/wiki/Agostino_Vallini" TargetMode="External"/><Relationship Id="rId192" Type="http://schemas.openxmlformats.org/officeDocument/2006/relationships/hyperlink" Target="https://en.wikipedia.org/wiki/Congregation_for_Bishops" TargetMode="External"/><Relationship Id="rId191" Type="http://schemas.openxmlformats.org/officeDocument/2006/relationships/hyperlink" Target="https://en.wikipedia.org/wiki/Cardinal_priest" TargetMode="External"/><Relationship Id="rId187" Type="http://schemas.openxmlformats.org/officeDocument/2006/relationships/hyperlink" Target="https://en.wikipedia.org/wiki/Cardinal_priest" TargetMode="External"/><Relationship Id="rId186" Type="http://schemas.openxmlformats.org/officeDocument/2006/relationships/hyperlink" Target="https://en.wikipedia.org/wiki/Hungary" TargetMode="External"/><Relationship Id="rId185" Type="http://schemas.openxmlformats.org/officeDocument/2006/relationships/hyperlink" Target="https://en.wikipedia.org/wiki/P%C3%A9ter_Erd%C5%91" TargetMode="External"/><Relationship Id="rId184" Type="http://schemas.openxmlformats.org/officeDocument/2006/relationships/hyperlink" Target="https://en.wikipedia.org/wiki/Roman_Catholic_Archdiocese_of_Lyon" TargetMode="External"/><Relationship Id="rId189" Type="http://schemas.openxmlformats.org/officeDocument/2006/relationships/hyperlink" Target="https://en.wikipedia.org/wiki/Marc_Ouellet" TargetMode="External"/><Relationship Id="rId188" Type="http://schemas.openxmlformats.org/officeDocument/2006/relationships/hyperlink" Target="https://en.wikipedia.org/wiki/Roman_Catholic_Archdiocese_of_Esztergom%E2%80%93Budapest" TargetMode="External"/><Relationship Id="rId183" Type="http://schemas.openxmlformats.org/officeDocument/2006/relationships/hyperlink" Target="https://en.wikipedia.org/wiki/Cardinal_priest" TargetMode="External"/><Relationship Id="rId182" Type="http://schemas.openxmlformats.org/officeDocument/2006/relationships/hyperlink" Target="https://en.wikipedia.org/wiki/France" TargetMode="External"/><Relationship Id="rId181" Type="http://schemas.openxmlformats.org/officeDocument/2006/relationships/hyperlink" Target="https://en.wikipedia.org/wiki/Philippe_Barbarin" TargetMode="External"/><Relationship Id="rId180" Type="http://schemas.openxmlformats.org/officeDocument/2006/relationships/hyperlink" Target="https://en.wikipedia.org/wiki/Roman_Catholic_Archdiocese_of_Ho_Chi_Minh_City" TargetMode="External"/><Relationship Id="rId176" Type="http://schemas.openxmlformats.org/officeDocument/2006/relationships/hyperlink" Target="https://en.wikipedia.org/wiki/Roman_Catholic_Archdiocese_of_Zagreb" TargetMode="External"/><Relationship Id="rId175" Type="http://schemas.openxmlformats.org/officeDocument/2006/relationships/hyperlink" Target="https://en.wikipedia.org/wiki/Cardinal_priest" TargetMode="External"/><Relationship Id="rId174" Type="http://schemas.openxmlformats.org/officeDocument/2006/relationships/hyperlink" Target="https://en.wikipedia.org/wiki/Croatia" TargetMode="External"/><Relationship Id="rId173" Type="http://schemas.openxmlformats.org/officeDocument/2006/relationships/hyperlink" Target="https://en.wikipedia.org/wiki/Josip_Bozani%C4%87" TargetMode="External"/><Relationship Id="rId179" Type="http://schemas.openxmlformats.org/officeDocument/2006/relationships/hyperlink" Target="https://en.wikipedia.org/wiki/Cardinal_priest" TargetMode="External"/><Relationship Id="rId178" Type="http://schemas.openxmlformats.org/officeDocument/2006/relationships/hyperlink" Target="https://en.wikipedia.org/wiki/Vietnam" TargetMode="External"/><Relationship Id="rId177" Type="http://schemas.openxmlformats.org/officeDocument/2006/relationships/hyperlink" Target="https://en.wikipedia.org/wiki/Jean-Baptiste_Ph%E1%BA%A1m_Minh_M%E1%BA%ABn" TargetMode="External"/><Relationship Id="rId198" Type="http://schemas.openxmlformats.org/officeDocument/2006/relationships/hyperlink" Target="https://en.wikipedia.org/wiki/Venezuela" TargetMode="External"/><Relationship Id="rId197" Type="http://schemas.openxmlformats.org/officeDocument/2006/relationships/hyperlink" Target="https://en.wikipedia.org/wiki/Jorge_Liberato_Urosa_Savino" TargetMode="External"/><Relationship Id="rId196" Type="http://schemas.openxmlformats.org/officeDocument/2006/relationships/hyperlink" Target="https://en.wikipedia.org/wiki/Vicar_General_for_Rome" TargetMode="External"/><Relationship Id="rId195" Type="http://schemas.openxmlformats.org/officeDocument/2006/relationships/hyperlink" Target="https://en.wikipedia.org/wiki/Cardinal_priest" TargetMode="External"/><Relationship Id="rId199" Type="http://schemas.openxmlformats.org/officeDocument/2006/relationships/hyperlink" Target="https://en.wikipedia.org/wiki/Cardinal_priest" TargetMode="External"/><Relationship Id="rId150" Type="http://schemas.openxmlformats.org/officeDocument/2006/relationships/hyperlink" Target="https://en.wikipedia.org/wiki/Spain" TargetMode="External"/><Relationship Id="rId392" Type="http://schemas.openxmlformats.org/officeDocument/2006/relationships/hyperlink" Target="https://en.wikipedia.org/wiki/Cardinal_deacon" TargetMode="External"/><Relationship Id="rId391" Type="http://schemas.openxmlformats.org/officeDocument/2006/relationships/hyperlink" Target="https://en.wikipedia.org/wiki/Italy" TargetMode="External"/><Relationship Id="rId390" Type="http://schemas.openxmlformats.org/officeDocument/2006/relationships/hyperlink" Target="https://en.wikipedia.org/wiki/Francesco_Monterisi" TargetMode="External"/><Relationship Id="rId1" Type="http://schemas.openxmlformats.org/officeDocument/2006/relationships/hyperlink" Target="https://en.wikipedia.org/wiki/Giovanni_Battista_Re" TargetMode="External"/><Relationship Id="rId2" Type="http://schemas.openxmlformats.org/officeDocument/2006/relationships/hyperlink" Target="https://en.wikipedia.org/wiki/Italy" TargetMode="External"/><Relationship Id="rId3" Type="http://schemas.openxmlformats.org/officeDocument/2006/relationships/hyperlink" Target="https://en.wikipedia.org/wiki/Cardinal_bishop" TargetMode="External"/><Relationship Id="rId149" Type="http://schemas.openxmlformats.org/officeDocument/2006/relationships/hyperlink" Target="https://en.wikipedia.org/wiki/Carlos_Amigo_Vallejo" TargetMode="External"/><Relationship Id="rId4" Type="http://schemas.openxmlformats.org/officeDocument/2006/relationships/hyperlink" Target="https://en.wikipedia.org/wiki/Congregation_for_Bishops" TargetMode="External"/><Relationship Id="rId148" Type="http://schemas.openxmlformats.org/officeDocument/2006/relationships/hyperlink" Target="https://en.wikipedia.org/wiki/Roman_Catholic_Archdiocese_of_Khartoum" TargetMode="External"/><Relationship Id="rId1090" Type="http://schemas.openxmlformats.org/officeDocument/2006/relationships/hyperlink" Target="https://en.wikipedia.org/wiki/John_Francis_Dearden" TargetMode="External"/><Relationship Id="rId1091" Type="http://schemas.openxmlformats.org/officeDocument/2006/relationships/hyperlink" Target="https://en.wikipedia.org/wiki/United_States" TargetMode="External"/><Relationship Id="rId1092" Type="http://schemas.openxmlformats.org/officeDocument/2006/relationships/hyperlink" Target="https://en.wikipedia.org/wiki/Cardinal_priest" TargetMode="External"/><Relationship Id="rId1093" Type="http://schemas.openxmlformats.org/officeDocument/2006/relationships/hyperlink" Target="https://en.wikipedia.org/wiki/Roman_Catholic_Archdiocese_of_Detroit" TargetMode="External"/><Relationship Id="rId1094" Type="http://schemas.openxmlformats.org/officeDocument/2006/relationships/hyperlink" Target="https://en.wikipedia.org/wiki/Fran%C3%A7ois_Marty" TargetMode="External"/><Relationship Id="rId9" Type="http://schemas.openxmlformats.org/officeDocument/2006/relationships/hyperlink" Target="https://en.wikipedia.org/wiki/Antonios_Naguib" TargetMode="External"/><Relationship Id="rId143" Type="http://schemas.openxmlformats.org/officeDocument/2006/relationships/hyperlink" Target="https://en.wikipedia.org/wiki/Cardinal_priest" TargetMode="External"/><Relationship Id="rId385" Type="http://schemas.openxmlformats.org/officeDocument/2006/relationships/hyperlink" Target="https://en.wikipedia.org/wiki/Congregation_for_the_Causes_of_Saints" TargetMode="External"/><Relationship Id="rId1095" Type="http://schemas.openxmlformats.org/officeDocument/2006/relationships/hyperlink" Target="https://en.wikipedia.org/wiki/France" TargetMode="External"/><Relationship Id="rId142" Type="http://schemas.openxmlformats.org/officeDocument/2006/relationships/hyperlink" Target="https://en.wikipedia.org/wiki/Nigeria" TargetMode="External"/><Relationship Id="rId384" Type="http://schemas.openxmlformats.org/officeDocument/2006/relationships/hyperlink" Target="https://en.wikipedia.org/wiki/Cardinal_deacon" TargetMode="External"/><Relationship Id="rId1096" Type="http://schemas.openxmlformats.org/officeDocument/2006/relationships/hyperlink" Target="https://en.wikipedia.org/wiki/Cardinal_priest" TargetMode="External"/><Relationship Id="rId141" Type="http://schemas.openxmlformats.org/officeDocument/2006/relationships/hyperlink" Target="https://en.wikipedia.org/wiki/Anthony_Olubunmi_Okogie" TargetMode="External"/><Relationship Id="rId383" Type="http://schemas.openxmlformats.org/officeDocument/2006/relationships/hyperlink" Target="https://en.wikipedia.org/wiki/Italy" TargetMode="External"/><Relationship Id="rId1097" Type="http://schemas.openxmlformats.org/officeDocument/2006/relationships/hyperlink" Target="https://en.wikipedia.org/wiki/Roman_Catholic_Archdiocese_of_Paris" TargetMode="External"/><Relationship Id="rId140" Type="http://schemas.openxmlformats.org/officeDocument/2006/relationships/hyperlink" Target="https://en.wikipedia.org/wiki/Roman_Catholic_Archdiocese_of_Milan" TargetMode="External"/><Relationship Id="rId382" Type="http://schemas.openxmlformats.org/officeDocument/2006/relationships/hyperlink" Target="https://en.wikipedia.org/wiki/Angelo_Amato" TargetMode="External"/><Relationship Id="rId1098" Type="http://schemas.openxmlformats.org/officeDocument/2006/relationships/hyperlink" Target="https://en.wikipedia.org/wiki/George_Bernard_Flahiff" TargetMode="External"/><Relationship Id="rId5" Type="http://schemas.openxmlformats.org/officeDocument/2006/relationships/hyperlink" Target="https://en.wikipedia.org/wiki/Tarcisio_Bertone" TargetMode="External"/><Relationship Id="rId147" Type="http://schemas.openxmlformats.org/officeDocument/2006/relationships/hyperlink" Target="https://en.wikipedia.org/wiki/Cardinal_priest" TargetMode="External"/><Relationship Id="rId389" Type="http://schemas.openxmlformats.org/officeDocument/2006/relationships/hyperlink" Target="https://en.wikipedia.org/wiki/Pontifical_Council_Cor_Unum" TargetMode="External"/><Relationship Id="rId1099" Type="http://schemas.openxmlformats.org/officeDocument/2006/relationships/hyperlink" Target="https://en.wikipedia.org/wiki/Canada" TargetMode="External"/><Relationship Id="rId6" Type="http://schemas.openxmlformats.org/officeDocument/2006/relationships/hyperlink" Target="https://en.wikipedia.org/wiki/Italy" TargetMode="External"/><Relationship Id="rId146" Type="http://schemas.openxmlformats.org/officeDocument/2006/relationships/hyperlink" Target="https://en.wikipedia.org/wiki/Sudan" TargetMode="External"/><Relationship Id="rId388" Type="http://schemas.openxmlformats.org/officeDocument/2006/relationships/hyperlink" Target="https://en.wikipedia.org/wiki/Cardinal_deacon" TargetMode="External"/><Relationship Id="rId7" Type="http://schemas.openxmlformats.org/officeDocument/2006/relationships/hyperlink" Target="https://en.wikipedia.org/wiki/Cardinal_bishop" TargetMode="External"/><Relationship Id="rId145" Type="http://schemas.openxmlformats.org/officeDocument/2006/relationships/hyperlink" Target="https://en.wikipedia.org/wiki/Gabriel_Zubeir_Wako" TargetMode="External"/><Relationship Id="rId387" Type="http://schemas.openxmlformats.org/officeDocument/2006/relationships/hyperlink" Target="https://en.wikipedia.org/wiki/Guinea" TargetMode="External"/><Relationship Id="rId8" Type="http://schemas.openxmlformats.org/officeDocument/2006/relationships/hyperlink" Target="https://en.wikipedia.org/wiki/Cardinal_Secretary_of_State" TargetMode="External"/><Relationship Id="rId144" Type="http://schemas.openxmlformats.org/officeDocument/2006/relationships/hyperlink" Target="https://en.wikipedia.org/wiki/Roman_Catholic_Archdiocese_of_Lagos" TargetMode="External"/><Relationship Id="rId386" Type="http://schemas.openxmlformats.org/officeDocument/2006/relationships/hyperlink" Target="https://en.wikipedia.org/wiki/Robert_Sarah" TargetMode="External"/><Relationship Id="rId381" Type="http://schemas.openxmlformats.org/officeDocument/2006/relationships/hyperlink" Target="https://en.wikipedia.org/wiki/Archivist_and_Librarian_of_the_Holy_Roman_Church" TargetMode="External"/><Relationship Id="rId380" Type="http://schemas.openxmlformats.org/officeDocument/2006/relationships/hyperlink" Target="https://en.wikipedia.org/wiki/Cardinal_deacon" TargetMode="External"/><Relationship Id="rId139" Type="http://schemas.openxmlformats.org/officeDocument/2006/relationships/hyperlink" Target="https://en.wikipedia.org/wiki/Cardinal_priest" TargetMode="External"/><Relationship Id="rId138" Type="http://schemas.openxmlformats.org/officeDocument/2006/relationships/hyperlink" Target="https://en.wikipedia.org/wiki/Italy" TargetMode="External"/><Relationship Id="rId137" Type="http://schemas.openxmlformats.org/officeDocument/2006/relationships/hyperlink" Target="https://en.wikipedia.org/wiki/Angelo_Scola" TargetMode="External"/><Relationship Id="rId379" Type="http://schemas.openxmlformats.org/officeDocument/2006/relationships/hyperlink" Target="https://en.wikipedia.org/wiki/Italy" TargetMode="External"/><Relationship Id="rId1080" Type="http://schemas.openxmlformats.org/officeDocument/2006/relationships/hyperlink" Target="https://en.wikipedia.org/wiki/Cardinal_priest" TargetMode="External"/><Relationship Id="rId1081" Type="http://schemas.openxmlformats.org/officeDocument/2006/relationships/hyperlink" Target="https://en.wikipedia.org/wiki/Roman_Catholic_Archdiocese_of_Saint_Andrews_and_Edinburgh" TargetMode="External"/><Relationship Id="rId1082" Type="http://schemas.openxmlformats.org/officeDocument/2006/relationships/hyperlink" Target="https://en.wikipedia.org/wiki/Paolo_Bertoli" TargetMode="External"/><Relationship Id="rId1083" Type="http://schemas.openxmlformats.org/officeDocument/2006/relationships/hyperlink" Target="https://en.wikipedia.org/wiki/Italy" TargetMode="External"/><Relationship Id="rId132" Type="http://schemas.openxmlformats.org/officeDocument/2006/relationships/hyperlink" Target="https://en.wikipedia.org/wiki/Roman_Catholic_Archdiocese_of_Turin" TargetMode="External"/><Relationship Id="rId374" Type="http://schemas.openxmlformats.org/officeDocument/2006/relationships/hyperlink" Target="https://en.wikipedia.org/wiki/Stanis%C5%82aw_Ry%C5%82ko" TargetMode="External"/><Relationship Id="rId1084" Type="http://schemas.openxmlformats.org/officeDocument/2006/relationships/hyperlink" Target="https://en.wikipedia.org/wiki/Cardinal_priest" TargetMode="External"/><Relationship Id="rId131" Type="http://schemas.openxmlformats.org/officeDocument/2006/relationships/hyperlink" Target="https://en.wikipedia.org/wiki/Cardinal_priest" TargetMode="External"/><Relationship Id="rId373" Type="http://schemas.openxmlformats.org/officeDocument/2006/relationships/hyperlink" Target="https://en.wikipedia.org/wiki/Vicar_General_for_Vatican_City" TargetMode="External"/><Relationship Id="rId1085" Type="http://schemas.openxmlformats.org/officeDocument/2006/relationships/hyperlink" Target="https://en.wikipedia.org/wiki/Sacred_Congregation_for_the_Causes_of_Saints" TargetMode="External"/><Relationship Id="rId130" Type="http://schemas.openxmlformats.org/officeDocument/2006/relationships/hyperlink" Target="https://en.wikipedia.org/wiki/Italy" TargetMode="External"/><Relationship Id="rId372" Type="http://schemas.openxmlformats.org/officeDocument/2006/relationships/hyperlink" Target="https://en.wikipedia.org/wiki/Cardinal_deacon" TargetMode="External"/><Relationship Id="rId1086" Type="http://schemas.openxmlformats.org/officeDocument/2006/relationships/hyperlink" Target="https://en.wikipedia.org/wiki/Joseph_Parecattil" TargetMode="External"/><Relationship Id="rId371" Type="http://schemas.openxmlformats.org/officeDocument/2006/relationships/hyperlink" Target="https://en.wikipedia.org/wiki/Italy" TargetMode="External"/><Relationship Id="rId1087" Type="http://schemas.openxmlformats.org/officeDocument/2006/relationships/hyperlink" Target="https://en.wikipedia.org/wiki/India" TargetMode="External"/><Relationship Id="rId136" Type="http://schemas.openxmlformats.org/officeDocument/2006/relationships/hyperlink" Target="https://en.wikipedia.org/wiki/Roman_Catholic_Diocese_of_Mainz" TargetMode="External"/><Relationship Id="rId378" Type="http://schemas.openxmlformats.org/officeDocument/2006/relationships/hyperlink" Target="https://en.wikipedia.org/wiki/Raffaele_Farina" TargetMode="External"/><Relationship Id="rId1088" Type="http://schemas.openxmlformats.org/officeDocument/2006/relationships/hyperlink" Target="https://en.wikipedia.org/wiki/Cardinal_priest" TargetMode="External"/><Relationship Id="rId135" Type="http://schemas.openxmlformats.org/officeDocument/2006/relationships/hyperlink" Target="https://en.wikipedia.org/wiki/Cardinal_priest" TargetMode="External"/><Relationship Id="rId377" Type="http://schemas.openxmlformats.org/officeDocument/2006/relationships/hyperlink" Target="https://en.wikipedia.org/wiki/Pontifical_Council_for_the_Laity" TargetMode="External"/><Relationship Id="rId1089" Type="http://schemas.openxmlformats.org/officeDocument/2006/relationships/hyperlink" Target="https://en.wikipedia.org/wiki/Syro-Malabar_Catholic_Archeparchy_of_Ernakulam" TargetMode="External"/><Relationship Id="rId134" Type="http://schemas.openxmlformats.org/officeDocument/2006/relationships/hyperlink" Target="https://en.wikipedia.org/wiki/Germany" TargetMode="External"/><Relationship Id="rId376" Type="http://schemas.openxmlformats.org/officeDocument/2006/relationships/hyperlink" Target="https://en.wikipedia.org/wiki/Cardinal_deacon" TargetMode="External"/><Relationship Id="rId133" Type="http://schemas.openxmlformats.org/officeDocument/2006/relationships/hyperlink" Target="https://en.wikipedia.org/wiki/Karl_Lehmann" TargetMode="External"/><Relationship Id="rId375" Type="http://schemas.openxmlformats.org/officeDocument/2006/relationships/hyperlink" Target="https://en.wikipedia.org/wiki/Poland" TargetMode="External"/><Relationship Id="rId172" Type="http://schemas.openxmlformats.org/officeDocument/2006/relationships/hyperlink" Target="https://en.wikipedia.org/wiki/Roman_Catholic_Archdiocese_of_Sydney" TargetMode="External"/><Relationship Id="rId171" Type="http://schemas.openxmlformats.org/officeDocument/2006/relationships/hyperlink" Target="https://en.wikipedia.org/wiki/Cardinal_priest" TargetMode="External"/><Relationship Id="rId170" Type="http://schemas.openxmlformats.org/officeDocument/2006/relationships/hyperlink" Target="https://en.wikipedia.org/wiki/Australia" TargetMode="External"/><Relationship Id="rId165" Type="http://schemas.openxmlformats.org/officeDocument/2006/relationships/hyperlink" Target="https://en.wikipedia.org/wiki/Telesphore_Placidus_Toppo" TargetMode="External"/><Relationship Id="rId164" Type="http://schemas.openxmlformats.org/officeDocument/2006/relationships/hyperlink" Target="https://en.wikipedia.org/wiki/Pontifical_Council_for_Justice_and_Peace" TargetMode="External"/><Relationship Id="rId163" Type="http://schemas.openxmlformats.org/officeDocument/2006/relationships/hyperlink" Target="https://en.wikipedia.org/wiki/Cardinal_priest" TargetMode="External"/><Relationship Id="rId162" Type="http://schemas.openxmlformats.org/officeDocument/2006/relationships/hyperlink" Target="https://en.wikipedia.org/wiki/Ghana" TargetMode="External"/><Relationship Id="rId169" Type="http://schemas.openxmlformats.org/officeDocument/2006/relationships/hyperlink" Target="https://en.wikipedia.org/wiki/George_Pell" TargetMode="External"/><Relationship Id="rId168" Type="http://schemas.openxmlformats.org/officeDocument/2006/relationships/hyperlink" Target="https://en.wikipedia.org/wiki/Roman_Catholic_Archdiocese_of_Ranchi" TargetMode="External"/><Relationship Id="rId167" Type="http://schemas.openxmlformats.org/officeDocument/2006/relationships/hyperlink" Target="https://en.wikipedia.org/wiki/Cardinal_priest" TargetMode="External"/><Relationship Id="rId166" Type="http://schemas.openxmlformats.org/officeDocument/2006/relationships/hyperlink" Target="https://en.wikipedia.org/wiki/India" TargetMode="External"/><Relationship Id="rId161" Type="http://schemas.openxmlformats.org/officeDocument/2006/relationships/hyperlink" Target="https://en.wikipedia.org/wiki/Peter_Kodwo_Appiah_Turkson" TargetMode="External"/><Relationship Id="rId160" Type="http://schemas.openxmlformats.org/officeDocument/2006/relationships/hyperlink" Target="https://en.wikipedia.org/wiki/Pontifical_Council_for_the_Family" TargetMode="External"/><Relationship Id="rId159" Type="http://schemas.openxmlformats.org/officeDocument/2006/relationships/hyperlink" Target="https://en.wikipedia.org/wiki/Cardinal_priest" TargetMode="External"/><Relationship Id="rId154" Type="http://schemas.openxmlformats.org/officeDocument/2006/relationships/hyperlink" Target="https://en.wikipedia.org/wiki/United_States" TargetMode="External"/><Relationship Id="rId396" Type="http://schemas.openxmlformats.org/officeDocument/2006/relationships/hyperlink" Target="https://en.wikipedia.org/wiki/Cardinal_deacon" TargetMode="External"/><Relationship Id="rId153" Type="http://schemas.openxmlformats.org/officeDocument/2006/relationships/hyperlink" Target="https://en.wikipedia.org/wiki/Justin_Francis_Rigali" TargetMode="External"/><Relationship Id="rId395" Type="http://schemas.openxmlformats.org/officeDocument/2006/relationships/hyperlink" Target="https://en.wikipedia.org/wiki/United_States" TargetMode="External"/><Relationship Id="rId152" Type="http://schemas.openxmlformats.org/officeDocument/2006/relationships/hyperlink" Target="https://en.wikipedia.org/wiki/Roman_Catholic_Archdiocese_of_Seville" TargetMode="External"/><Relationship Id="rId394" Type="http://schemas.openxmlformats.org/officeDocument/2006/relationships/hyperlink" Target="https://en.wikipedia.org/wiki/Raymond_Leo_Burke" TargetMode="External"/><Relationship Id="rId151" Type="http://schemas.openxmlformats.org/officeDocument/2006/relationships/hyperlink" Target="https://en.wikipedia.org/wiki/Cardinal_priest" TargetMode="External"/><Relationship Id="rId393" Type="http://schemas.openxmlformats.org/officeDocument/2006/relationships/hyperlink" Target="https://en.wikipedia.org/wiki/Papal_Basilica_of_Saint_Paul_Outside_the_Walls" TargetMode="External"/><Relationship Id="rId158" Type="http://schemas.openxmlformats.org/officeDocument/2006/relationships/hyperlink" Target="https://en.wikipedia.org/wiki/Italy" TargetMode="External"/><Relationship Id="rId157" Type="http://schemas.openxmlformats.org/officeDocument/2006/relationships/hyperlink" Target="https://en.wikipedia.org/wiki/Ennio_Antonelli" TargetMode="External"/><Relationship Id="rId399" Type="http://schemas.openxmlformats.org/officeDocument/2006/relationships/hyperlink" Target="https://en.wikipedia.org/wiki/Switzerland" TargetMode="External"/><Relationship Id="rId156" Type="http://schemas.openxmlformats.org/officeDocument/2006/relationships/hyperlink" Target="https://en.wikipedia.org/wiki/Roman_Catholic_Archdiocese_of_Philadelphia" TargetMode="External"/><Relationship Id="rId398" Type="http://schemas.openxmlformats.org/officeDocument/2006/relationships/hyperlink" Target="https://en.wikipedia.org/wiki/Kurt_Koch" TargetMode="External"/><Relationship Id="rId155" Type="http://schemas.openxmlformats.org/officeDocument/2006/relationships/hyperlink" Target="https://en.wikipedia.org/wiki/Cardinal_priest" TargetMode="External"/><Relationship Id="rId397" Type="http://schemas.openxmlformats.org/officeDocument/2006/relationships/hyperlink" Target="https://en.wikipedia.org/wiki/Supreme_Tribunal_of_the_Apostolic_Signatura" TargetMode="External"/><Relationship Id="rId808" Type="http://schemas.openxmlformats.org/officeDocument/2006/relationships/hyperlink" Target="https://en.wikipedia.org/wiki/Cardinal_priest" TargetMode="External"/><Relationship Id="rId807" Type="http://schemas.openxmlformats.org/officeDocument/2006/relationships/hyperlink" Target="https://en.wikipedia.org/wiki/Brazil" TargetMode="External"/><Relationship Id="rId806" Type="http://schemas.openxmlformats.org/officeDocument/2006/relationships/hyperlink" Target="https://en.wikipedia.org/wiki/Eus%C3%A9bio_Oscar_Scheid" TargetMode="External"/><Relationship Id="rId805" Type="http://schemas.openxmlformats.org/officeDocument/2006/relationships/hyperlink" Target="https://en.wikipedia.org/wiki/Roman_Catholic_Archdiocese_of_Saint_Andrews_and_Edinburgh" TargetMode="External"/><Relationship Id="rId809" Type="http://schemas.openxmlformats.org/officeDocument/2006/relationships/hyperlink" Target="https://en.wikipedia.org/wiki/Roman_Catholic_Archdiocese_of_S%C3%A3o_Sebasti%C3%A3o_do_Rio_de_Janeiro" TargetMode="External"/><Relationship Id="rId800" Type="http://schemas.openxmlformats.org/officeDocument/2006/relationships/hyperlink" Target="https://en.wikipedia.org/wiki/Cardinal_priest" TargetMode="External"/><Relationship Id="rId804" Type="http://schemas.openxmlformats.org/officeDocument/2006/relationships/hyperlink" Target="https://en.wikipedia.org/wiki/Cardinal_priest" TargetMode="External"/><Relationship Id="rId803" Type="http://schemas.openxmlformats.org/officeDocument/2006/relationships/hyperlink" Target="https://en.wikipedia.org/wiki/United_Kingdom" TargetMode="External"/><Relationship Id="rId802" Type="http://schemas.openxmlformats.org/officeDocument/2006/relationships/hyperlink" Target="https://en.wikipedia.org/wiki/Keith_Michael_Patrick_O%27Brien" TargetMode="External"/><Relationship Id="rId801" Type="http://schemas.openxmlformats.org/officeDocument/2006/relationships/hyperlink" Target="https://en.wikipedia.org/wiki/Roman_Catholic_Archdiocese_of_Philadelphia" TargetMode="External"/><Relationship Id="rId40" Type="http://schemas.openxmlformats.org/officeDocument/2006/relationships/hyperlink" Target="https://en.wikipedia.org/wiki/Roman_Catholic_Archdiocese_of_Montreal" TargetMode="External"/><Relationship Id="rId1334" Type="http://schemas.openxmlformats.org/officeDocument/2006/relationships/hyperlink" Target="https://en.wikipedia.org/wiki/France" TargetMode="External"/><Relationship Id="rId1335" Type="http://schemas.openxmlformats.org/officeDocument/2006/relationships/hyperlink" Target="https://en.wikipedia.org/wiki/Cardinal_deacon" TargetMode="External"/><Relationship Id="rId42" Type="http://schemas.openxmlformats.org/officeDocument/2006/relationships/hyperlink" Target="https://en.wikipedia.org/wiki/Bosnia_and_Herzegovina" TargetMode="External"/><Relationship Id="rId1336" Type="http://schemas.openxmlformats.org/officeDocument/2006/relationships/hyperlink" Target="https://en.wikipedia.org/wiki/Sacred_Congregation_for_the_Oriental_Churches" TargetMode="External"/><Relationship Id="rId41" Type="http://schemas.openxmlformats.org/officeDocument/2006/relationships/hyperlink" Target="https://en.wikipedia.org/wiki/Vinko_Pulji%C4%87" TargetMode="External"/><Relationship Id="rId1337" Type="http://schemas.openxmlformats.org/officeDocument/2006/relationships/hyperlink" Target="https://en.wikipedia.org/wiki/Pietro_Palazzini" TargetMode="External"/><Relationship Id="rId44" Type="http://schemas.openxmlformats.org/officeDocument/2006/relationships/hyperlink" Target="https://en.wikipedia.org/wiki/Roman_Catholic_Archdiocese_of_Vrhbosna" TargetMode="External"/><Relationship Id="rId1338" Type="http://schemas.openxmlformats.org/officeDocument/2006/relationships/hyperlink" Target="https://en.wikipedia.org/wiki/Italy" TargetMode="External"/><Relationship Id="rId43" Type="http://schemas.openxmlformats.org/officeDocument/2006/relationships/hyperlink" Target="https://en.wikipedia.org/wiki/Cardinal_priest" TargetMode="External"/><Relationship Id="rId1339" Type="http://schemas.openxmlformats.org/officeDocument/2006/relationships/hyperlink" Target="https://en.wikipedia.org/wiki/Cardinal_deacon" TargetMode="External"/><Relationship Id="rId46" Type="http://schemas.openxmlformats.org/officeDocument/2006/relationships/hyperlink" Target="https://en.wikipedia.org/wiki/Mexico" TargetMode="External"/><Relationship Id="rId45" Type="http://schemas.openxmlformats.org/officeDocument/2006/relationships/hyperlink" Target="https://en.wikipedia.org/wiki/Juan_Sandoval_%C3%8D%C3%B1iguez" TargetMode="External"/><Relationship Id="rId509" Type="http://schemas.openxmlformats.org/officeDocument/2006/relationships/hyperlink" Target="https://en.wikipedia.org/wiki/Roman_Catholic_Archdiocese_of_Milan" TargetMode="External"/><Relationship Id="rId508" Type="http://schemas.openxmlformats.org/officeDocument/2006/relationships/hyperlink" Target="https://en.wikipedia.org/wiki/Cardinal_priest" TargetMode="External"/><Relationship Id="rId503" Type="http://schemas.openxmlformats.org/officeDocument/2006/relationships/hyperlink" Target="https://en.wikipedia.org/wiki/New_Zealand" TargetMode="External"/><Relationship Id="rId745" Type="http://schemas.openxmlformats.org/officeDocument/2006/relationships/hyperlink" Target="https://en.wikipedia.org/wiki/Roman_Catholic_Archdiocese_of_S%C3%A3o_Paulo" TargetMode="External"/><Relationship Id="rId987" Type="http://schemas.openxmlformats.org/officeDocument/2006/relationships/hyperlink" Target="https://en.wikipedia.org/wiki/Sri_Lanka" TargetMode="External"/><Relationship Id="rId502" Type="http://schemas.openxmlformats.org/officeDocument/2006/relationships/hyperlink" Target="https://en.wikipedia.org/wiki/Thomas_Stafford_Williams" TargetMode="External"/><Relationship Id="rId744" Type="http://schemas.openxmlformats.org/officeDocument/2006/relationships/hyperlink" Target="https://en.wikipedia.org/wiki/Cardinal_priest" TargetMode="External"/><Relationship Id="rId986" Type="http://schemas.openxmlformats.org/officeDocument/2006/relationships/hyperlink" Target="https://en.wikipedia.org/wiki/Thomas_Benjamin_Cooray" TargetMode="External"/><Relationship Id="rId501" Type="http://schemas.openxmlformats.org/officeDocument/2006/relationships/hyperlink" Target="https://en.wikipedia.org/wiki/Roman_Catholic_Archdiocese_of_Mechelen%E2%80%93Brussels" TargetMode="External"/><Relationship Id="rId743" Type="http://schemas.openxmlformats.org/officeDocument/2006/relationships/hyperlink" Target="https://en.wikipedia.org/wiki/Brazil" TargetMode="External"/><Relationship Id="rId985" Type="http://schemas.openxmlformats.org/officeDocument/2006/relationships/hyperlink" Target="https://en.wikipedia.org/wiki/Roman_Catholic_Archdiocese_of_Mechelen%E2%80%93Brussels" TargetMode="External"/><Relationship Id="rId500" Type="http://schemas.openxmlformats.org/officeDocument/2006/relationships/hyperlink" Target="https://en.wikipedia.org/wiki/Cardinal_priest" TargetMode="External"/><Relationship Id="rId742" Type="http://schemas.openxmlformats.org/officeDocument/2006/relationships/hyperlink" Target="https://en.wikipedia.org/wiki/Cl%C3%A1udio_Hummes" TargetMode="External"/><Relationship Id="rId984" Type="http://schemas.openxmlformats.org/officeDocument/2006/relationships/hyperlink" Target="https://en.wikipedia.org/wiki/Cardinal_priest" TargetMode="External"/><Relationship Id="rId507" Type="http://schemas.openxmlformats.org/officeDocument/2006/relationships/hyperlink" Target="https://en.wikipedia.org/wiki/Italy" TargetMode="External"/><Relationship Id="rId749" Type="http://schemas.openxmlformats.org/officeDocument/2006/relationships/hyperlink" Target="https://en.wikipedia.org/wiki/Syro-Malabar_Catholic_Major_Archeparchy_of_Ernakulam%E2%80%93Angamaly" TargetMode="External"/><Relationship Id="rId506" Type="http://schemas.openxmlformats.org/officeDocument/2006/relationships/hyperlink" Target="https://en.wikipedia.org/wiki/Carlo_Maria_Martini" TargetMode="External"/><Relationship Id="rId748" Type="http://schemas.openxmlformats.org/officeDocument/2006/relationships/hyperlink" Target="https://en.wikipedia.org/wiki/Cardinal_priest" TargetMode="External"/><Relationship Id="rId505" Type="http://schemas.openxmlformats.org/officeDocument/2006/relationships/hyperlink" Target="https://en.wikipedia.org/wiki/Roman_Catholic_Archdiocese_of_Wellington" TargetMode="External"/><Relationship Id="rId747" Type="http://schemas.openxmlformats.org/officeDocument/2006/relationships/hyperlink" Target="https://en.wikipedia.org/wiki/India" TargetMode="External"/><Relationship Id="rId989" Type="http://schemas.openxmlformats.org/officeDocument/2006/relationships/hyperlink" Target="https://en.wikipedia.org/wiki/Roman_Catholic_Archdiocese_of_Colombo" TargetMode="External"/><Relationship Id="rId504" Type="http://schemas.openxmlformats.org/officeDocument/2006/relationships/hyperlink" Target="https://en.wikipedia.org/wiki/Cardinal_priest" TargetMode="External"/><Relationship Id="rId746" Type="http://schemas.openxmlformats.org/officeDocument/2006/relationships/hyperlink" Target="https://en.wikipedia.org/wiki/Varkey_Vithayathil" TargetMode="External"/><Relationship Id="rId988" Type="http://schemas.openxmlformats.org/officeDocument/2006/relationships/hyperlink" Target="https://en.wikipedia.org/wiki/Cardinal_priest" TargetMode="External"/><Relationship Id="rId48" Type="http://schemas.openxmlformats.org/officeDocument/2006/relationships/hyperlink" Target="https://en.wikipedia.org/wiki/Roman_Catholic_Archdiocese_of_Guadalajara" TargetMode="External"/><Relationship Id="rId47" Type="http://schemas.openxmlformats.org/officeDocument/2006/relationships/hyperlink" Target="https://en.wikipedia.org/wiki/Cardinal_priest" TargetMode="External"/><Relationship Id="rId49" Type="http://schemas.openxmlformats.org/officeDocument/2006/relationships/hyperlink" Target="https://en.wikipedia.org/wiki/Antonio_Mar%C3%ADa_Rouco_Varela" TargetMode="External"/><Relationship Id="rId741" Type="http://schemas.openxmlformats.org/officeDocument/2006/relationships/hyperlink" Target="https://en.wikipedia.org/wiki/Roman_Catholic_Archdiocese_of_Toledo" TargetMode="External"/><Relationship Id="rId983" Type="http://schemas.openxmlformats.org/officeDocument/2006/relationships/hyperlink" Target="https://en.wikipedia.org/wiki/Belgium" TargetMode="External"/><Relationship Id="rId1330" Type="http://schemas.openxmlformats.org/officeDocument/2006/relationships/hyperlink" Target="https://en.wikipedia.org/wiki/Umberto_Mozzoni" TargetMode="External"/><Relationship Id="rId740" Type="http://schemas.openxmlformats.org/officeDocument/2006/relationships/hyperlink" Target="https://en.wikipedia.org/wiki/Cardinal_priest" TargetMode="External"/><Relationship Id="rId982" Type="http://schemas.openxmlformats.org/officeDocument/2006/relationships/hyperlink" Target="https://en.wikipedia.org/wiki/Leo-Jozef_Suenens" TargetMode="External"/><Relationship Id="rId1331" Type="http://schemas.openxmlformats.org/officeDocument/2006/relationships/hyperlink" Target="https://en.wikipedia.org/wiki/Argentina" TargetMode="External"/><Relationship Id="rId981" Type="http://schemas.openxmlformats.org/officeDocument/2006/relationships/hyperlink" Target="https://en.wikipedia.org/wiki/Roman_Catholic_Archdiocese_of_Santiago_de_Chile" TargetMode="External"/><Relationship Id="rId1332" Type="http://schemas.openxmlformats.org/officeDocument/2006/relationships/hyperlink" Target="https://en.wikipedia.org/wiki/Cardinal_deacon" TargetMode="External"/><Relationship Id="rId980" Type="http://schemas.openxmlformats.org/officeDocument/2006/relationships/hyperlink" Target="https://en.wikipedia.org/wiki/Cardinal_priest" TargetMode="External"/><Relationship Id="rId1333" Type="http://schemas.openxmlformats.org/officeDocument/2006/relationships/hyperlink" Target="https://en.wikipedia.org/wiki/Paul-Pierre_Philippe" TargetMode="External"/><Relationship Id="rId1323" Type="http://schemas.openxmlformats.org/officeDocument/2006/relationships/hyperlink" Target="https://en.wikipedia.org/wiki/Italy" TargetMode="External"/><Relationship Id="rId1324" Type="http://schemas.openxmlformats.org/officeDocument/2006/relationships/hyperlink" Target="https://en.wikipedia.org/wiki/Cardinal_deacon" TargetMode="External"/><Relationship Id="rId31" Type="http://schemas.openxmlformats.org/officeDocument/2006/relationships/hyperlink" Target="https://en.wikipedia.org/wiki/Cardinal_priest" TargetMode="External"/><Relationship Id="rId1325" Type="http://schemas.openxmlformats.org/officeDocument/2006/relationships/hyperlink" Target="https://en.wikipedia.org/wiki/Pontifical_Commission_for_Vatican_City_State" TargetMode="External"/><Relationship Id="rId30" Type="http://schemas.openxmlformats.org/officeDocument/2006/relationships/hyperlink" Target="https://en.wikipedia.org/wiki/United_States" TargetMode="External"/><Relationship Id="rId1326" Type="http://schemas.openxmlformats.org/officeDocument/2006/relationships/hyperlink" Target="https://en.wikipedia.org/wiki/Sergio_Pignedoli" TargetMode="External"/><Relationship Id="rId33" Type="http://schemas.openxmlformats.org/officeDocument/2006/relationships/hyperlink" Target="https://en.wikipedia.org/wiki/Jaime_Lucas_Ortega_y_Alamino" TargetMode="External"/><Relationship Id="rId1327" Type="http://schemas.openxmlformats.org/officeDocument/2006/relationships/hyperlink" Target="https://en.wikipedia.org/wiki/Italy" TargetMode="External"/><Relationship Id="rId32" Type="http://schemas.openxmlformats.org/officeDocument/2006/relationships/hyperlink" Target="https://en.wikipedia.org/wiki/Roman_Catholic_Archdiocese_of_Los_Angeles" TargetMode="External"/><Relationship Id="rId1328" Type="http://schemas.openxmlformats.org/officeDocument/2006/relationships/hyperlink" Target="https://en.wikipedia.org/wiki/Cardinal_deacon" TargetMode="External"/><Relationship Id="rId35" Type="http://schemas.openxmlformats.org/officeDocument/2006/relationships/hyperlink" Target="https://en.wikipedia.org/wiki/Cardinal_priest" TargetMode="External"/><Relationship Id="rId1329" Type="http://schemas.openxmlformats.org/officeDocument/2006/relationships/hyperlink" Target="https://en.wikipedia.org/wiki/Secretariat_for_Non-Christians" TargetMode="External"/><Relationship Id="rId34" Type="http://schemas.openxmlformats.org/officeDocument/2006/relationships/hyperlink" Target="https://en.wikipedia.org/wiki/Cuba" TargetMode="External"/><Relationship Id="rId739" Type="http://schemas.openxmlformats.org/officeDocument/2006/relationships/hyperlink" Target="https://en.wikipedia.org/wiki/Spain" TargetMode="External"/><Relationship Id="rId734" Type="http://schemas.openxmlformats.org/officeDocument/2006/relationships/hyperlink" Target="https://en.wikipedia.org/wiki/Juan_Luis_Cipriani_Thorne" TargetMode="External"/><Relationship Id="rId976" Type="http://schemas.openxmlformats.org/officeDocument/2006/relationships/hyperlink" Target="https://en.wikipedia.org/wiki/Cardinal_priest" TargetMode="External"/><Relationship Id="rId733" Type="http://schemas.openxmlformats.org/officeDocument/2006/relationships/hyperlink" Target="https://en.wikipedia.org/wiki/Roman_Catholic_Archdiocese_of_Abidjan" TargetMode="External"/><Relationship Id="rId975" Type="http://schemas.openxmlformats.org/officeDocument/2006/relationships/hyperlink" Target="https://en.wikipedia.org/wiki/Peru" TargetMode="External"/><Relationship Id="rId732" Type="http://schemas.openxmlformats.org/officeDocument/2006/relationships/hyperlink" Target="https://en.wikipedia.org/wiki/Cardinal_priest" TargetMode="External"/><Relationship Id="rId974" Type="http://schemas.openxmlformats.org/officeDocument/2006/relationships/hyperlink" Target="https://en.wikipedia.org/wiki/Juan_Land%C3%A1zuri_Ricketts" TargetMode="External"/><Relationship Id="rId731" Type="http://schemas.openxmlformats.org/officeDocument/2006/relationships/hyperlink" Target="https://en.wikipedia.org/wiki/Ivory_Coast" TargetMode="External"/><Relationship Id="rId973" Type="http://schemas.openxmlformats.org/officeDocument/2006/relationships/hyperlink" Target="https://en.wikipedia.org/wiki/Roman_Catholic_Archdiocese_of_Caracas" TargetMode="External"/><Relationship Id="rId738" Type="http://schemas.openxmlformats.org/officeDocument/2006/relationships/hyperlink" Target="https://en.wikipedia.org/wiki/Francisco_%C3%81lvarez_Mart%C3%ADnez" TargetMode="External"/><Relationship Id="rId737" Type="http://schemas.openxmlformats.org/officeDocument/2006/relationships/hyperlink" Target="https://en.wikipedia.org/wiki/Roman_Catholic_Archdiocese_of_Lima" TargetMode="External"/><Relationship Id="rId979" Type="http://schemas.openxmlformats.org/officeDocument/2006/relationships/hyperlink" Target="https://en.wikipedia.org/wiki/Chile" TargetMode="External"/><Relationship Id="rId736" Type="http://schemas.openxmlformats.org/officeDocument/2006/relationships/hyperlink" Target="https://en.wikipedia.org/wiki/Cardinal_priest" TargetMode="External"/><Relationship Id="rId978" Type="http://schemas.openxmlformats.org/officeDocument/2006/relationships/hyperlink" Target="https://en.wikipedia.org/wiki/Ra%C3%BAl_Silva_Henr%C3%ADquez" TargetMode="External"/><Relationship Id="rId735" Type="http://schemas.openxmlformats.org/officeDocument/2006/relationships/hyperlink" Target="https://en.wikipedia.org/wiki/Peru" TargetMode="External"/><Relationship Id="rId977" Type="http://schemas.openxmlformats.org/officeDocument/2006/relationships/hyperlink" Target="https://en.wikipedia.org/wiki/Roman_Catholic_Archdiocese_of_Lima" TargetMode="External"/><Relationship Id="rId37" Type="http://schemas.openxmlformats.org/officeDocument/2006/relationships/hyperlink" Target="https://en.wikipedia.org/wiki/Jean-Claude_Turcotte" TargetMode="External"/><Relationship Id="rId36" Type="http://schemas.openxmlformats.org/officeDocument/2006/relationships/hyperlink" Target="https://en.wikipedia.org/wiki/Roman_Catholic_Archdiocese_of_San_Crist%C3%B3bal_de_la_Habana" TargetMode="External"/><Relationship Id="rId39" Type="http://schemas.openxmlformats.org/officeDocument/2006/relationships/hyperlink" Target="https://en.wikipedia.org/wiki/Cardinal_priest" TargetMode="External"/><Relationship Id="rId38" Type="http://schemas.openxmlformats.org/officeDocument/2006/relationships/hyperlink" Target="https://en.wikipedia.org/wiki/Canada" TargetMode="External"/><Relationship Id="rId730" Type="http://schemas.openxmlformats.org/officeDocument/2006/relationships/hyperlink" Target="https://en.wikipedia.org/wiki/Bernard_Agr%C3%A9" TargetMode="External"/><Relationship Id="rId972" Type="http://schemas.openxmlformats.org/officeDocument/2006/relationships/hyperlink" Target="https://en.wikipedia.org/wiki/Cardinal_priest" TargetMode="External"/><Relationship Id="rId971" Type="http://schemas.openxmlformats.org/officeDocument/2006/relationships/hyperlink" Target="https://en.wikipedia.org/wiki/Venezuela" TargetMode="External"/><Relationship Id="rId1320" Type="http://schemas.openxmlformats.org/officeDocument/2006/relationships/hyperlink" Target="https://en.wikipedia.org/wiki/Cardinal_deacon" TargetMode="External"/><Relationship Id="rId970" Type="http://schemas.openxmlformats.org/officeDocument/2006/relationships/hyperlink" Target="https://en.wikipedia.org/wiki/Jos%C3%A9_Humberto_Quintero_Parra" TargetMode="External"/><Relationship Id="rId1321" Type="http://schemas.openxmlformats.org/officeDocument/2006/relationships/hyperlink" Target="https://en.wikipedia.org/wiki/Prefecture_of_the_Apostolic_Palaces" TargetMode="External"/><Relationship Id="rId1322" Type="http://schemas.openxmlformats.org/officeDocument/2006/relationships/hyperlink" Target="https://en.wikipedia.org/wiki/Sergio_Guerri" TargetMode="External"/><Relationship Id="rId1114" Type="http://schemas.openxmlformats.org/officeDocument/2006/relationships/hyperlink" Target="https://en.wikipedia.org/wiki/Joseph_Malula" TargetMode="External"/><Relationship Id="rId1356" Type="http://schemas.openxmlformats.org/officeDocument/2006/relationships/hyperlink" Target="https://en.wikipedia.org/wiki/Sacred_Congregation_for_Catholic_Education" TargetMode="External"/><Relationship Id="rId1115" Type="http://schemas.openxmlformats.org/officeDocument/2006/relationships/hyperlink" Target="https://en.wikipedia.org/wiki/Zaire" TargetMode="External"/><Relationship Id="rId1357" Type="http://schemas.openxmlformats.org/officeDocument/2006/relationships/hyperlink" Target="https://en.wikipedia.org/wiki/Eduardo_Francisco_Pironio" TargetMode="External"/><Relationship Id="rId20" Type="http://schemas.openxmlformats.org/officeDocument/2006/relationships/hyperlink" Target="https://en.wikipedia.org/wiki/Roman_Catholic_Archdiocese_of_Mechelen%E2%80%93Brussels" TargetMode="External"/><Relationship Id="rId1116" Type="http://schemas.openxmlformats.org/officeDocument/2006/relationships/hyperlink" Target="https://en.wikipedia.org/wiki/Cardinal_priest" TargetMode="External"/><Relationship Id="rId1358" Type="http://schemas.openxmlformats.org/officeDocument/2006/relationships/hyperlink" Target="https://en.wikipedia.org/wiki/Argentina" TargetMode="External"/><Relationship Id="rId1117" Type="http://schemas.openxmlformats.org/officeDocument/2006/relationships/hyperlink" Target="https://en.wikipedia.org/wiki/Roman_Catholic_Archdiocese_of_Kinshasa" TargetMode="External"/><Relationship Id="rId1359" Type="http://schemas.openxmlformats.org/officeDocument/2006/relationships/hyperlink" Target="https://en.wikipedia.org/wiki/Cardinal_deacon" TargetMode="External"/><Relationship Id="rId22" Type="http://schemas.openxmlformats.org/officeDocument/2006/relationships/hyperlink" Target="https://en.wikipedia.org/wiki/Germany" TargetMode="External"/><Relationship Id="rId1118" Type="http://schemas.openxmlformats.org/officeDocument/2006/relationships/hyperlink" Target="https://en.wikipedia.org/wiki/Pablo_Mu%C3%B1oz_Vega" TargetMode="External"/><Relationship Id="rId21" Type="http://schemas.openxmlformats.org/officeDocument/2006/relationships/hyperlink" Target="https://en.wikipedia.org/wiki/Joachim_Meisner" TargetMode="External"/><Relationship Id="rId1119" Type="http://schemas.openxmlformats.org/officeDocument/2006/relationships/hyperlink" Target="https://en.wikipedia.org/wiki/Ecuador" TargetMode="External"/><Relationship Id="rId24" Type="http://schemas.openxmlformats.org/officeDocument/2006/relationships/hyperlink" Target="https://en.wikipedia.org/wiki/Roman_Catholic_Archdiocese_of_Cologne" TargetMode="External"/><Relationship Id="rId23" Type="http://schemas.openxmlformats.org/officeDocument/2006/relationships/hyperlink" Target="https://en.wikipedia.org/wiki/Cardinal_priest" TargetMode="External"/><Relationship Id="rId525" Type="http://schemas.openxmlformats.org/officeDocument/2006/relationships/hyperlink" Target="https://en.wikipedia.org/wiki/Congregation_for_Divine_Worship_and_the_Discipline_of_the_Sacraments" TargetMode="External"/><Relationship Id="rId767" Type="http://schemas.openxmlformats.org/officeDocument/2006/relationships/hyperlink" Target="https://en.wikipedia.org/wiki/United_States" TargetMode="External"/><Relationship Id="rId524" Type="http://schemas.openxmlformats.org/officeDocument/2006/relationships/hyperlink" Target="https://en.wikipedia.org/wiki/Cardinal_priest" TargetMode="External"/><Relationship Id="rId766" Type="http://schemas.openxmlformats.org/officeDocument/2006/relationships/hyperlink" Target="https://en.wikipedia.org/wiki/Edward_Michael_Egan" TargetMode="External"/><Relationship Id="rId523" Type="http://schemas.openxmlformats.org/officeDocument/2006/relationships/hyperlink" Target="https://en.wikipedia.org/wiki/Nigeria" TargetMode="External"/><Relationship Id="rId765" Type="http://schemas.openxmlformats.org/officeDocument/2006/relationships/hyperlink" Target="https://en.wikipedia.org/wiki/Roman_Catholic_Diocese_of_Westminster" TargetMode="External"/><Relationship Id="rId522" Type="http://schemas.openxmlformats.org/officeDocument/2006/relationships/hyperlink" Target="https://en.wikipedia.org/wiki/Francis_Arinze" TargetMode="External"/><Relationship Id="rId764" Type="http://schemas.openxmlformats.org/officeDocument/2006/relationships/hyperlink" Target="https://en.wikipedia.org/wiki/Cardinal_priest" TargetMode="External"/><Relationship Id="rId529" Type="http://schemas.openxmlformats.org/officeDocument/2006/relationships/hyperlink" Target="https://en.wikipedia.org/wiki/Roman_Catholic_Archdiocese_of_Managua" TargetMode="External"/><Relationship Id="rId528" Type="http://schemas.openxmlformats.org/officeDocument/2006/relationships/hyperlink" Target="https://en.wikipedia.org/wiki/Cardinal_priest" TargetMode="External"/><Relationship Id="rId527" Type="http://schemas.openxmlformats.org/officeDocument/2006/relationships/hyperlink" Target="https://en.wikipedia.org/wiki/Nicaragua" TargetMode="External"/><Relationship Id="rId769" Type="http://schemas.openxmlformats.org/officeDocument/2006/relationships/hyperlink" Target="https://en.wikipedia.org/wiki/Roman_Catholic_Archdiocese_of_New_York" TargetMode="External"/><Relationship Id="rId526" Type="http://schemas.openxmlformats.org/officeDocument/2006/relationships/hyperlink" Target="https://en.wikipedia.org/wiki/Miguel_Obando_Bravo" TargetMode="External"/><Relationship Id="rId768" Type="http://schemas.openxmlformats.org/officeDocument/2006/relationships/hyperlink" Target="https://en.wikipedia.org/wiki/Cardinal_priest" TargetMode="External"/><Relationship Id="rId26" Type="http://schemas.openxmlformats.org/officeDocument/2006/relationships/hyperlink" Target="https://en.wikipedia.org/wiki/Dominican_Republic" TargetMode="External"/><Relationship Id="rId25" Type="http://schemas.openxmlformats.org/officeDocument/2006/relationships/hyperlink" Target="https://en.wikipedia.org/wiki/Nicol%C3%A1s_de_Jes%C3%BAs_L%C3%B3pez_Rodr%C3%ADguez" TargetMode="External"/><Relationship Id="rId28" Type="http://schemas.openxmlformats.org/officeDocument/2006/relationships/hyperlink" Target="https://en.wikipedia.org/wiki/Roman_Catholic_Archdiocese_of_Santo_Domingo" TargetMode="External"/><Relationship Id="rId1350" Type="http://schemas.openxmlformats.org/officeDocument/2006/relationships/hyperlink" Target="https://en.wikipedia.org/wiki/Italy" TargetMode="External"/><Relationship Id="rId27" Type="http://schemas.openxmlformats.org/officeDocument/2006/relationships/hyperlink" Target="https://en.wikipedia.org/wiki/Cardinal_priest" TargetMode="External"/><Relationship Id="rId1351" Type="http://schemas.openxmlformats.org/officeDocument/2006/relationships/hyperlink" Target="https://en.wikipedia.org/wiki/Cardinal_deacon" TargetMode="External"/><Relationship Id="rId521" Type="http://schemas.openxmlformats.org/officeDocument/2006/relationships/hyperlink" Target="https://en.wikipedia.org/wiki/Roman_Catholic_Archdiocese_of_Cologne" TargetMode="External"/><Relationship Id="rId763" Type="http://schemas.openxmlformats.org/officeDocument/2006/relationships/hyperlink" Target="https://en.wikipedia.org/wiki/United_Kingdom" TargetMode="External"/><Relationship Id="rId1110" Type="http://schemas.openxmlformats.org/officeDocument/2006/relationships/hyperlink" Target="https://en.wikipedia.org/wiki/Vicente_Enrique_y_Taranc%C3%B3n" TargetMode="External"/><Relationship Id="rId1352" Type="http://schemas.openxmlformats.org/officeDocument/2006/relationships/hyperlink" Target="https://en.wikipedia.org/wiki/Sacred_Congregation_for_the_Causes_of_Saints" TargetMode="External"/><Relationship Id="rId29" Type="http://schemas.openxmlformats.org/officeDocument/2006/relationships/hyperlink" Target="https://en.wikipedia.org/wiki/Roger_Michael_Mahony" TargetMode="External"/><Relationship Id="rId520" Type="http://schemas.openxmlformats.org/officeDocument/2006/relationships/hyperlink" Target="https://en.wikipedia.org/wiki/Cardinal_priest" TargetMode="External"/><Relationship Id="rId762" Type="http://schemas.openxmlformats.org/officeDocument/2006/relationships/hyperlink" Target="https://en.wikipedia.org/wiki/Cormac_Murphy-O%27Connor" TargetMode="External"/><Relationship Id="rId1111" Type="http://schemas.openxmlformats.org/officeDocument/2006/relationships/hyperlink" Target="https://en.wikipedia.org/wiki/Spanish_transition_to_democracy" TargetMode="External"/><Relationship Id="rId1353" Type="http://schemas.openxmlformats.org/officeDocument/2006/relationships/hyperlink" Target="https://en.wikipedia.org/wiki/Joseph_Schr%C3%B6ffer" TargetMode="External"/><Relationship Id="rId761" Type="http://schemas.openxmlformats.org/officeDocument/2006/relationships/hyperlink" Target="https://en.wikipedia.org/wiki/Roman_Catholic_Archdiocese_of_Turin" TargetMode="External"/><Relationship Id="rId1112" Type="http://schemas.openxmlformats.org/officeDocument/2006/relationships/hyperlink" Target="https://en.wikipedia.org/wiki/Cardinal_priest" TargetMode="External"/><Relationship Id="rId1354" Type="http://schemas.openxmlformats.org/officeDocument/2006/relationships/hyperlink" Target="https://en.wikipedia.org/wiki/West_Germany" TargetMode="External"/><Relationship Id="rId760" Type="http://schemas.openxmlformats.org/officeDocument/2006/relationships/hyperlink" Target="https://en.wikipedia.org/wiki/Cardinal_priest" TargetMode="External"/><Relationship Id="rId1113" Type="http://schemas.openxmlformats.org/officeDocument/2006/relationships/hyperlink" Target="https://en.wikipedia.org/wiki/Roman_Catholic_Archdiocese_of_Madrid" TargetMode="External"/><Relationship Id="rId1355" Type="http://schemas.openxmlformats.org/officeDocument/2006/relationships/hyperlink" Target="https://en.wikipedia.org/wiki/Cardinal_deacon" TargetMode="External"/><Relationship Id="rId1103" Type="http://schemas.openxmlformats.org/officeDocument/2006/relationships/hyperlink" Target="https://en.wikipedia.org/wiki/France" TargetMode="External"/><Relationship Id="rId1345" Type="http://schemas.openxmlformats.org/officeDocument/2006/relationships/hyperlink" Target="https://en.wikipedia.org/wiki/Giuseppe_Maria_Sensi" TargetMode="External"/><Relationship Id="rId1104" Type="http://schemas.openxmlformats.org/officeDocument/2006/relationships/hyperlink" Target="https://en.wikipedia.org/wiki/Cardinal_priest" TargetMode="External"/><Relationship Id="rId1346" Type="http://schemas.openxmlformats.org/officeDocument/2006/relationships/hyperlink" Target="https://en.wikipedia.org/wiki/Italy" TargetMode="External"/><Relationship Id="rId1105" Type="http://schemas.openxmlformats.org/officeDocument/2006/relationships/hyperlink" Target="https://en.wikipedia.org/wiki/Roman_Catholic_Archdiocese_of_Rennes" TargetMode="External"/><Relationship Id="rId1347" Type="http://schemas.openxmlformats.org/officeDocument/2006/relationships/hyperlink" Target="https://en.wikipedia.org/wiki/Cardinal_deacon" TargetMode="External"/><Relationship Id="rId1106" Type="http://schemas.openxmlformats.org/officeDocument/2006/relationships/hyperlink" Target="https://en.wikipedia.org/wiki/Mario_Casariego_y_Acevedo" TargetMode="External"/><Relationship Id="rId1348" Type="http://schemas.openxmlformats.org/officeDocument/2006/relationships/hyperlink" Target="https://en.wikipedia.org/wiki/Apostolic_Nunciature_to_Portugal" TargetMode="External"/><Relationship Id="rId11" Type="http://schemas.openxmlformats.org/officeDocument/2006/relationships/hyperlink" Target="https://en.wikipedia.org/wiki/Cardinal_bishop" TargetMode="External"/><Relationship Id="rId1107" Type="http://schemas.openxmlformats.org/officeDocument/2006/relationships/hyperlink" Target="https://en.wikipedia.org/wiki/Guatemala" TargetMode="External"/><Relationship Id="rId1349" Type="http://schemas.openxmlformats.org/officeDocument/2006/relationships/hyperlink" Target="https://en.wikipedia.org/wiki/Corrado_Bafile" TargetMode="External"/><Relationship Id="rId10" Type="http://schemas.openxmlformats.org/officeDocument/2006/relationships/hyperlink" Target="https://en.wikipedia.org/wiki/Egypt" TargetMode="External"/><Relationship Id="rId1108" Type="http://schemas.openxmlformats.org/officeDocument/2006/relationships/hyperlink" Target="https://en.wikipedia.org/wiki/Cardinal_priest" TargetMode="External"/><Relationship Id="rId13" Type="http://schemas.openxmlformats.org/officeDocument/2006/relationships/hyperlink" Target="https://en.wikipedia.org/wiki/B%C3%A9chara_Boutros_Ra%C3%AF" TargetMode="External"/><Relationship Id="rId1109" Type="http://schemas.openxmlformats.org/officeDocument/2006/relationships/hyperlink" Target="https://en.wikipedia.org/wiki/Roman_Catholic_Archdiocese_of_Guatemala" TargetMode="External"/><Relationship Id="rId12" Type="http://schemas.openxmlformats.org/officeDocument/2006/relationships/hyperlink" Target="https://en.wikipedia.org/wiki/Coptic_Catholic_Patriarchate_of_Alexandria" TargetMode="External"/><Relationship Id="rId519" Type="http://schemas.openxmlformats.org/officeDocument/2006/relationships/hyperlink" Target="https://en.wikipedia.org/wiki/Germany" TargetMode="External"/><Relationship Id="rId514" Type="http://schemas.openxmlformats.org/officeDocument/2006/relationships/hyperlink" Target="https://en.wikipedia.org/wiki/J%C3%B3zef_Glemp" TargetMode="External"/><Relationship Id="rId756" Type="http://schemas.openxmlformats.org/officeDocument/2006/relationships/hyperlink" Target="https://en.wikipedia.org/wiki/Cardinal_priest" TargetMode="External"/><Relationship Id="rId998" Type="http://schemas.openxmlformats.org/officeDocument/2006/relationships/hyperlink" Target="https://en.wikipedia.org/wiki/L%C3%A9on-%C3%89tienne_Duval" TargetMode="External"/><Relationship Id="rId513" Type="http://schemas.openxmlformats.org/officeDocument/2006/relationships/hyperlink" Target="https://en.wikipedia.org/wiki/Roman_Catholic_Archdiocese_of_Paris" TargetMode="External"/><Relationship Id="rId755" Type="http://schemas.openxmlformats.org/officeDocument/2006/relationships/hyperlink" Target="https://en.wikipedia.org/wiki/Portugal" TargetMode="External"/><Relationship Id="rId997" Type="http://schemas.openxmlformats.org/officeDocument/2006/relationships/hyperlink" Target="https://en.wikipedia.org/wiki/Roman_Catholic_Archdiocese_of_Cape_Town" TargetMode="External"/><Relationship Id="rId512" Type="http://schemas.openxmlformats.org/officeDocument/2006/relationships/hyperlink" Target="https://en.wikipedia.org/wiki/Cardinal_priest" TargetMode="External"/><Relationship Id="rId754" Type="http://schemas.openxmlformats.org/officeDocument/2006/relationships/hyperlink" Target="https://en.wikipedia.org/wiki/Jos%C3%A9_da_Cruz_Policarpo" TargetMode="External"/><Relationship Id="rId996" Type="http://schemas.openxmlformats.org/officeDocument/2006/relationships/hyperlink" Target="https://en.wikipedia.org/wiki/Cardinal_priest" TargetMode="External"/><Relationship Id="rId511" Type="http://schemas.openxmlformats.org/officeDocument/2006/relationships/hyperlink" Target="https://en.wikipedia.org/wiki/France" TargetMode="External"/><Relationship Id="rId753" Type="http://schemas.openxmlformats.org/officeDocument/2006/relationships/hyperlink" Target="https://en.wikipedia.org/wiki/Roman_Catholic_Archdiocese_of_Buenos_Aires" TargetMode="External"/><Relationship Id="rId995" Type="http://schemas.openxmlformats.org/officeDocument/2006/relationships/hyperlink" Target="https://en.wikipedia.org/wiki/South_Africa" TargetMode="External"/><Relationship Id="rId518" Type="http://schemas.openxmlformats.org/officeDocument/2006/relationships/hyperlink" Target="https://en.wikipedia.org/wiki/Joachim_Meisner" TargetMode="External"/><Relationship Id="rId517" Type="http://schemas.openxmlformats.org/officeDocument/2006/relationships/hyperlink" Target="https://en.wikipedia.org/wiki/Roman_Catholic_Archdiocese_of_Warsaw" TargetMode="External"/><Relationship Id="rId759" Type="http://schemas.openxmlformats.org/officeDocument/2006/relationships/hyperlink" Target="https://en.wikipedia.org/wiki/Italy" TargetMode="External"/><Relationship Id="rId516" Type="http://schemas.openxmlformats.org/officeDocument/2006/relationships/hyperlink" Target="https://en.wikipedia.org/wiki/Cardinal_priest" TargetMode="External"/><Relationship Id="rId758" Type="http://schemas.openxmlformats.org/officeDocument/2006/relationships/hyperlink" Target="https://en.wikipedia.org/wiki/Severino_Poletto" TargetMode="External"/><Relationship Id="rId515" Type="http://schemas.openxmlformats.org/officeDocument/2006/relationships/hyperlink" Target="https://en.wikipedia.org/wiki/Poland" TargetMode="External"/><Relationship Id="rId757" Type="http://schemas.openxmlformats.org/officeDocument/2006/relationships/hyperlink" Target="https://en.wikipedia.org/wiki/Patriarchate_of_Lisbon" TargetMode="External"/><Relationship Id="rId999" Type="http://schemas.openxmlformats.org/officeDocument/2006/relationships/hyperlink" Target="https://en.wikipedia.org/wiki/Algeria" TargetMode="External"/><Relationship Id="rId15" Type="http://schemas.openxmlformats.org/officeDocument/2006/relationships/hyperlink" Target="https://en.wikipedia.org/wiki/Cardinal_bishop" TargetMode="External"/><Relationship Id="rId990" Type="http://schemas.openxmlformats.org/officeDocument/2006/relationships/hyperlink" Target="https://en.wikipedia.org/wiki/Maurice_Roy" TargetMode="External"/><Relationship Id="rId14" Type="http://schemas.openxmlformats.org/officeDocument/2006/relationships/hyperlink" Target="https://en.wikipedia.org/wiki/Lebanon" TargetMode="External"/><Relationship Id="rId17" Type="http://schemas.openxmlformats.org/officeDocument/2006/relationships/hyperlink" Target="https://en.wikipedia.org/wiki/Godfried_Danneels" TargetMode="External"/><Relationship Id="rId16" Type="http://schemas.openxmlformats.org/officeDocument/2006/relationships/hyperlink" Target="https://en.wikipedia.org/wiki/Maronite_Catholic_Patriarchate_of_Antioch" TargetMode="External"/><Relationship Id="rId1340" Type="http://schemas.openxmlformats.org/officeDocument/2006/relationships/hyperlink" Target="https://en.wikipedia.org/wiki/Sacred_Congregation_for_the_Clergy" TargetMode="External"/><Relationship Id="rId19" Type="http://schemas.openxmlformats.org/officeDocument/2006/relationships/hyperlink" Target="https://en.wikipedia.org/wiki/Cardinal_priest" TargetMode="External"/><Relationship Id="rId510" Type="http://schemas.openxmlformats.org/officeDocument/2006/relationships/hyperlink" Target="https://en.wikipedia.org/wiki/Jean-Marie_Lustiger" TargetMode="External"/><Relationship Id="rId752" Type="http://schemas.openxmlformats.org/officeDocument/2006/relationships/hyperlink" Target="https://en.wikipedia.org/wiki/Cardinal_priest" TargetMode="External"/><Relationship Id="rId994" Type="http://schemas.openxmlformats.org/officeDocument/2006/relationships/hyperlink" Target="https://en.wikipedia.org/wiki/Owen_McCann" TargetMode="External"/><Relationship Id="rId1341" Type="http://schemas.openxmlformats.org/officeDocument/2006/relationships/hyperlink" Target="https://en.wikipedia.org/wiki/Opilio_Rossi" TargetMode="External"/><Relationship Id="rId18" Type="http://schemas.openxmlformats.org/officeDocument/2006/relationships/hyperlink" Target="https://en.wikipedia.org/wiki/Belgium" TargetMode="External"/><Relationship Id="rId751" Type="http://schemas.openxmlformats.org/officeDocument/2006/relationships/hyperlink" Target="https://en.wikipedia.org/wiki/Argentina" TargetMode="External"/><Relationship Id="rId993" Type="http://schemas.openxmlformats.org/officeDocument/2006/relationships/hyperlink" Target="https://en.wikipedia.org/wiki/Roman_Catholic_Archdiocese_of_Quebec" TargetMode="External"/><Relationship Id="rId1100" Type="http://schemas.openxmlformats.org/officeDocument/2006/relationships/hyperlink" Target="https://en.wikipedia.org/wiki/Cardinal_priest" TargetMode="External"/><Relationship Id="rId1342" Type="http://schemas.openxmlformats.org/officeDocument/2006/relationships/hyperlink" Target="https://en.wikipedia.org/wiki/Italy" TargetMode="External"/><Relationship Id="rId750" Type="http://schemas.openxmlformats.org/officeDocument/2006/relationships/hyperlink" Target="https://en.wikipedia.org/wiki/Jorge_Mario_Bergoglio" TargetMode="External"/><Relationship Id="rId992" Type="http://schemas.openxmlformats.org/officeDocument/2006/relationships/hyperlink" Target="https://en.wikipedia.org/wiki/Cardinal_priest" TargetMode="External"/><Relationship Id="rId1101" Type="http://schemas.openxmlformats.org/officeDocument/2006/relationships/hyperlink" Target="https://en.wikipedia.org/wiki/Roman_Catholic_Archdiocese_of_Winnipeg" TargetMode="External"/><Relationship Id="rId1343" Type="http://schemas.openxmlformats.org/officeDocument/2006/relationships/hyperlink" Target="https://en.wikipedia.org/wiki/Cardinal_deacon" TargetMode="External"/><Relationship Id="rId991" Type="http://schemas.openxmlformats.org/officeDocument/2006/relationships/hyperlink" Target="https://en.wikipedia.org/wiki/Canada" TargetMode="External"/><Relationship Id="rId1102" Type="http://schemas.openxmlformats.org/officeDocument/2006/relationships/hyperlink" Target="https://en.wikipedia.org/wiki/Paul_Gouyon" TargetMode="External"/><Relationship Id="rId1344" Type="http://schemas.openxmlformats.org/officeDocument/2006/relationships/hyperlink" Target="https://en.wikipedia.org/wiki/Pontifical_Council_for_the_Laity" TargetMode="External"/><Relationship Id="rId84" Type="http://schemas.openxmlformats.org/officeDocument/2006/relationships/hyperlink" Target="https://en.wikipedia.org/wiki/Pontifical_Council_for_Promoting_Christian_Unity" TargetMode="External"/><Relationship Id="rId83" Type="http://schemas.openxmlformats.org/officeDocument/2006/relationships/hyperlink" Target="https://en.wikipedia.org/wiki/Cardinal_priest" TargetMode="External"/><Relationship Id="rId86" Type="http://schemas.openxmlformats.org/officeDocument/2006/relationships/hyperlink" Target="https://en.wikipedia.org/wiki/India" TargetMode="External"/><Relationship Id="rId85" Type="http://schemas.openxmlformats.org/officeDocument/2006/relationships/hyperlink" Target="https://en.wikipedia.org/wiki/Ivan_Dias" TargetMode="External"/><Relationship Id="rId88" Type="http://schemas.openxmlformats.org/officeDocument/2006/relationships/hyperlink" Target="https://en.wikipedia.org/wiki/Congregation_for_the_Evangelization_of_Peoples" TargetMode="External"/><Relationship Id="rId87" Type="http://schemas.openxmlformats.org/officeDocument/2006/relationships/hyperlink" Target="https://en.wikipedia.org/wiki/Cardinal_priest" TargetMode="External"/><Relationship Id="rId89" Type="http://schemas.openxmlformats.org/officeDocument/2006/relationships/hyperlink" Target="https://en.wikipedia.org/wiki/Geraldo_Majella_Agnelo" TargetMode="External"/><Relationship Id="rId709" Type="http://schemas.openxmlformats.org/officeDocument/2006/relationships/hyperlink" Target="https://en.wikipedia.org/wiki/Roman_Catholic_Archdiocese_of_Dublin" TargetMode="External"/><Relationship Id="rId708" Type="http://schemas.openxmlformats.org/officeDocument/2006/relationships/hyperlink" Target="https://en.wikipedia.org/wiki/Cardinal_priest" TargetMode="External"/><Relationship Id="rId707" Type="http://schemas.openxmlformats.org/officeDocument/2006/relationships/hyperlink" Target="https://en.wikipedia.org/wiki/Ireland" TargetMode="External"/><Relationship Id="rId949" Type="http://schemas.openxmlformats.org/officeDocument/2006/relationships/hyperlink" Target="https://en.wikipedia.org/wiki/Roman_Catholic_Archdiocese_of_Gniezno" TargetMode="External"/><Relationship Id="rId706" Type="http://schemas.openxmlformats.org/officeDocument/2006/relationships/hyperlink" Target="https://en.wikipedia.org/wiki/Desmond_Connell" TargetMode="External"/><Relationship Id="rId948" Type="http://schemas.openxmlformats.org/officeDocument/2006/relationships/hyperlink" Target="https://en.wikipedia.org/wiki/Cardinal_priest" TargetMode="External"/><Relationship Id="rId80" Type="http://schemas.openxmlformats.org/officeDocument/2006/relationships/hyperlink" Target="https://en.wikipedia.org/wiki/Roman_Catholic_Archdiocese_of_Naples" TargetMode="External"/><Relationship Id="rId82" Type="http://schemas.openxmlformats.org/officeDocument/2006/relationships/hyperlink" Target="https://en.wikipedia.org/wiki/Germany" TargetMode="External"/><Relationship Id="rId81" Type="http://schemas.openxmlformats.org/officeDocument/2006/relationships/hyperlink" Target="https://en.wikipedia.org/wiki/Walter_Kasper" TargetMode="External"/><Relationship Id="rId701" Type="http://schemas.openxmlformats.org/officeDocument/2006/relationships/hyperlink" Target="https://en.wikipedia.org/wiki/Roman_Catholic_Archdiocese_of_Bogot%C3%A1" TargetMode="External"/><Relationship Id="rId943" Type="http://schemas.openxmlformats.org/officeDocument/2006/relationships/hyperlink" Target="https://en.wikipedia.org/wiki/Italy" TargetMode="External"/><Relationship Id="rId700" Type="http://schemas.openxmlformats.org/officeDocument/2006/relationships/hyperlink" Target="https://en.wikipedia.org/wiki/Cardinal_priest" TargetMode="External"/><Relationship Id="rId942" Type="http://schemas.openxmlformats.org/officeDocument/2006/relationships/hyperlink" Target="https://en.wikipedia.org/wiki/Giuseppe_Siri" TargetMode="External"/><Relationship Id="rId941" Type="http://schemas.openxmlformats.org/officeDocument/2006/relationships/hyperlink" Target="https://en.wikipedia.org/wiki/Coptic_Catholic_Patriarchate_of_Alexandria" TargetMode="External"/><Relationship Id="rId940" Type="http://schemas.openxmlformats.org/officeDocument/2006/relationships/hyperlink" Target="https://en.wikipedia.org/wiki/Cardinal_bishop" TargetMode="External"/><Relationship Id="rId705" Type="http://schemas.openxmlformats.org/officeDocument/2006/relationships/hyperlink" Target="https://en.wikipedia.org/wiki/Roman_Catholic_Archdiocese_of_Washington" TargetMode="External"/><Relationship Id="rId947" Type="http://schemas.openxmlformats.org/officeDocument/2006/relationships/hyperlink" Target="https://en.wikipedia.org/wiki/Polish_People%27s_Republic" TargetMode="External"/><Relationship Id="rId704" Type="http://schemas.openxmlformats.org/officeDocument/2006/relationships/hyperlink" Target="https://en.wikipedia.org/wiki/Cardinal_priest" TargetMode="External"/><Relationship Id="rId946" Type="http://schemas.openxmlformats.org/officeDocument/2006/relationships/hyperlink" Target="https://en.wikipedia.org/wiki/Stefan_Wyszy%C5%84ski" TargetMode="External"/><Relationship Id="rId703" Type="http://schemas.openxmlformats.org/officeDocument/2006/relationships/hyperlink" Target="https://en.wikipedia.org/wiki/United_States" TargetMode="External"/><Relationship Id="rId945" Type="http://schemas.openxmlformats.org/officeDocument/2006/relationships/hyperlink" Target="https://en.wikipedia.org/wiki/Roman_Catholic_Archdiocese_of_Genoa" TargetMode="External"/><Relationship Id="rId702" Type="http://schemas.openxmlformats.org/officeDocument/2006/relationships/hyperlink" Target="https://en.wikipedia.org/wiki/Theodore_Edgar_McCarrick" TargetMode="External"/><Relationship Id="rId944" Type="http://schemas.openxmlformats.org/officeDocument/2006/relationships/hyperlink" Target="https://en.wikipedia.org/wiki/Cardinal_priest" TargetMode="External"/><Relationship Id="rId73" Type="http://schemas.openxmlformats.org/officeDocument/2006/relationships/hyperlink" Target="https://en.wikipedia.org/wiki/Zenon_Grocholewski" TargetMode="External"/><Relationship Id="rId72" Type="http://schemas.openxmlformats.org/officeDocument/2006/relationships/hyperlink" Target="https://en.wikipedia.org/wiki/Roman_Catholic_Archdiocese_of_Chicago" TargetMode="External"/><Relationship Id="rId75" Type="http://schemas.openxmlformats.org/officeDocument/2006/relationships/hyperlink" Target="https://en.wikipedia.org/wiki/Cardinal_priest" TargetMode="External"/><Relationship Id="rId74" Type="http://schemas.openxmlformats.org/officeDocument/2006/relationships/hyperlink" Target="https://en.wikipedia.org/wiki/Poland" TargetMode="External"/><Relationship Id="rId77" Type="http://schemas.openxmlformats.org/officeDocument/2006/relationships/hyperlink" Target="https://en.wikipedia.org/wiki/Crescenzio_Sepe" TargetMode="External"/><Relationship Id="rId76" Type="http://schemas.openxmlformats.org/officeDocument/2006/relationships/hyperlink" Target="https://en.wikipedia.org/wiki/Congregation_for_Catholic_Education" TargetMode="External"/><Relationship Id="rId79" Type="http://schemas.openxmlformats.org/officeDocument/2006/relationships/hyperlink" Target="https://en.wikipedia.org/wiki/Cardinal_priest" TargetMode="External"/><Relationship Id="rId78" Type="http://schemas.openxmlformats.org/officeDocument/2006/relationships/hyperlink" Target="https://en.wikipedia.org/wiki/Italy" TargetMode="External"/><Relationship Id="rId939" Type="http://schemas.openxmlformats.org/officeDocument/2006/relationships/hyperlink" Target="https://en.wikipedia.org/wiki/History_of_Egypt_under_Anwar_Sadat" TargetMode="External"/><Relationship Id="rId938" Type="http://schemas.openxmlformats.org/officeDocument/2006/relationships/hyperlink" Target="https://en.wikipedia.org/wiki/St%C3%A9phanos_I_Sidarouss" TargetMode="External"/><Relationship Id="rId937" Type="http://schemas.openxmlformats.org/officeDocument/2006/relationships/hyperlink" Target="https://en.wikipedia.org/wiki/Sacred_Congregation_for_Bishops" TargetMode="External"/><Relationship Id="rId71" Type="http://schemas.openxmlformats.org/officeDocument/2006/relationships/hyperlink" Target="https://en.wikipedia.org/wiki/Cardinal_priest" TargetMode="External"/><Relationship Id="rId70" Type="http://schemas.openxmlformats.org/officeDocument/2006/relationships/hyperlink" Target="https://en.wikipedia.org/wiki/United_States" TargetMode="External"/><Relationship Id="rId932" Type="http://schemas.openxmlformats.org/officeDocument/2006/relationships/hyperlink" Target="https://en.wikipedia.org/wiki/Cardinal_bishop" TargetMode="External"/><Relationship Id="rId931" Type="http://schemas.openxmlformats.org/officeDocument/2006/relationships/hyperlink" Target="https://en.wikipedia.org/wiki/Italy" TargetMode="External"/><Relationship Id="rId930" Type="http://schemas.openxmlformats.org/officeDocument/2006/relationships/hyperlink" Target="https://en.wikipedia.org/wiki/Francesco_Carpino" TargetMode="External"/><Relationship Id="rId936" Type="http://schemas.openxmlformats.org/officeDocument/2006/relationships/hyperlink" Target="https://en.wikipedia.org/wiki/Cardinal_bishop" TargetMode="External"/><Relationship Id="rId935" Type="http://schemas.openxmlformats.org/officeDocument/2006/relationships/hyperlink" Target="https://en.wikipedia.org/wiki/Italy" TargetMode="External"/><Relationship Id="rId934" Type="http://schemas.openxmlformats.org/officeDocument/2006/relationships/hyperlink" Target="https://en.wikipedia.org/wiki/Sebastiano_Baggio" TargetMode="External"/><Relationship Id="rId933" Type="http://schemas.openxmlformats.org/officeDocument/2006/relationships/hyperlink" Target="https://en.wikipedia.org/wiki/Roman_Catholic_Archdiocese_of_Palermo" TargetMode="External"/><Relationship Id="rId62" Type="http://schemas.openxmlformats.org/officeDocument/2006/relationships/hyperlink" Target="https://en.wikipedia.org/wiki/Austria" TargetMode="External"/><Relationship Id="rId1312" Type="http://schemas.openxmlformats.org/officeDocument/2006/relationships/hyperlink" Target="https://en.wikipedia.org/wiki/Cardinal_deacon" TargetMode="External"/><Relationship Id="rId61" Type="http://schemas.openxmlformats.org/officeDocument/2006/relationships/hyperlink" Target="https://en.wikipedia.org/wiki/Christoph_Sch%C3%B6nborn" TargetMode="External"/><Relationship Id="rId1313" Type="http://schemas.openxmlformats.org/officeDocument/2006/relationships/hyperlink" Target="https://en.wikipedia.org/wiki/Pontifical_Legation_for_the_Basilica_of_Saint_Francis_of_Assisi" TargetMode="External"/><Relationship Id="rId64" Type="http://schemas.openxmlformats.org/officeDocument/2006/relationships/hyperlink" Target="https://en.wikipedia.org/wiki/Roman_Catholic_Archdiocese_of_Vienna" TargetMode="External"/><Relationship Id="rId1314" Type="http://schemas.openxmlformats.org/officeDocument/2006/relationships/hyperlink" Target="https://en.wikipedia.org/wiki/Giuseppe_Paupini" TargetMode="External"/><Relationship Id="rId63" Type="http://schemas.openxmlformats.org/officeDocument/2006/relationships/hyperlink" Target="https://en.wikipedia.org/wiki/Cardinal_priest" TargetMode="External"/><Relationship Id="rId1315" Type="http://schemas.openxmlformats.org/officeDocument/2006/relationships/hyperlink" Target="https://en.wikipedia.org/wiki/Italy" TargetMode="External"/><Relationship Id="rId66" Type="http://schemas.openxmlformats.org/officeDocument/2006/relationships/hyperlink" Target="https://en.wikipedia.org/wiki/Mexico" TargetMode="External"/><Relationship Id="rId1316" Type="http://schemas.openxmlformats.org/officeDocument/2006/relationships/hyperlink" Target="https://en.wikipedia.org/wiki/Cardinal_deacon" TargetMode="External"/><Relationship Id="rId65" Type="http://schemas.openxmlformats.org/officeDocument/2006/relationships/hyperlink" Target="https://en.wikipedia.org/wiki/Norberto_Rivera_Carrera" TargetMode="External"/><Relationship Id="rId1317" Type="http://schemas.openxmlformats.org/officeDocument/2006/relationships/hyperlink" Target="https://en.wikipedia.org/wiki/Apostolic_Penitentiary" TargetMode="External"/><Relationship Id="rId68" Type="http://schemas.openxmlformats.org/officeDocument/2006/relationships/hyperlink" Target="https://en.wikipedia.org/wiki/Roman_Catholic_Archdiocese_of_Mexico" TargetMode="External"/><Relationship Id="rId1318" Type="http://schemas.openxmlformats.org/officeDocument/2006/relationships/hyperlink" Target="https://en.wikipedia.org/wiki/Mario_Nasalli_Rocca_di_Corneliano" TargetMode="External"/><Relationship Id="rId67" Type="http://schemas.openxmlformats.org/officeDocument/2006/relationships/hyperlink" Target="https://en.wikipedia.org/wiki/Cardinal_priest" TargetMode="External"/><Relationship Id="rId1319" Type="http://schemas.openxmlformats.org/officeDocument/2006/relationships/hyperlink" Target="https://en.wikipedia.org/wiki/Italy" TargetMode="External"/><Relationship Id="rId729" Type="http://schemas.openxmlformats.org/officeDocument/2006/relationships/hyperlink" Target="https://en.wikipedia.org/wiki/Roman_Catholic_Archdiocese_of_Tegucigalpa" TargetMode="External"/><Relationship Id="rId728" Type="http://schemas.openxmlformats.org/officeDocument/2006/relationships/hyperlink" Target="https://en.wikipedia.org/wiki/Cardinal_priest" TargetMode="External"/><Relationship Id="rId60" Type="http://schemas.openxmlformats.org/officeDocument/2006/relationships/hyperlink" Target="https://en.wikipedia.org/wiki/Roman_Catholic_Archdiocese_of_Dar-es-Salaam" TargetMode="External"/><Relationship Id="rId723" Type="http://schemas.openxmlformats.org/officeDocument/2006/relationships/hyperlink" Target="https://en.wikipedia.org/wiki/South_Africa" TargetMode="External"/><Relationship Id="rId965" Type="http://schemas.openxmlformats.org/officeDocument/2006/relationships/hyperlink" Target="https://en.wikipedia.org/wiki/Roman_Catholic_Archdiocese_of_Utrecht" TargetMode="External"/><Relationship Id="rId722" Type="http://schemas.openxmlformats.org/officeDocument/2006/relationships/hyperlink" Target="https://en.wikipedia.org/wiki/Wilfrid_Fox_Napier" TargetMode="External"/><Relationship Id="rId964" Type="http://schemas.openxmlformats.org/officeDocument/2006/relationships/hyperlink" Target="https://en.wikipedia.org/wiki/Cardinal_priest" TargetMode="External"/><Relationship Id="rId721" Type="http://schemas.openxmlformats.org/officeDocument/2006/relationships/hyperlink" Target="https://en.wikipedia.org/wiki/Roman_Catholic_Archdiocese_of_Santa_Cruz_de_la_Sierra" TargetMode="External"/><Relationship Id="rId963" Type="http://schemas.openxmlformats.org/officeDocument/2006/relationships/hyperlink" Target="https://en.wikipedia.org/wiki/Netherlands" TargetMode="External"/><Relationship Id="rId720" Type="http://schemas.openxmlformats.org/officeDocument/2006/relationships/hyperlink" Target="https://en.wikipedia.org/wiki/Cardinal_priest" TargetMode="External"/><Relationship Id="rId962" Type="http://schemas.openxmlformats.org/officeDocument/2006/relationships/hyperlink" Target="https://en.wikipedia.org/wiki/Bernardus_Johannes_Alfrink" TargetMode="External"/><Relationship Id="rId727" Type="http://schemas.openxmlformats.org/officeDocument/2006/relationships/hyperlink" Target="https://en.wikipedia.org/wiki/Honduras" TargetMode="External"/><Relationship Id="rId969" Type="http://schemas.openxmlformats.org/officeDocument/2006/relationships/hyperlink" Target="https://en.wikipedia.org/wiki/Roman_Catholic_Archdiocese_of_Dar-es-Salaam" TargetMode="External"/><Relationship Id="rId726" Type="http://schemas.openxmlformats.org/officeDocument/2006/relationships/hyperlink" Target="https://en.wikipedia.org/wiki/%C3%93scar_Andr%C3%A9s_Rodr%C3%ADguez_Maradiaga" TargetMode="External"/><Relationship Id="rId968" Type="http://schemas.openxmlformats.org/officeDocument/2006/relationships/hyperlink" Target="https://en.wikipedia.org/wiki/Cardinal_priest" TargetMode="External"/><Relationship Id="rId725" Type="http://schemas.openxmlformats.org/officeDocument/2006/relationships/hyperlink" Target="https://en.wikipedia.org/wiki/Roman_Catholic_Archdiocese_of_Durban" TargetMode="External"/><Relationship Id="rId967" Type="http://schemas.openxmlformats.org/officeDocument/2006/relationships/hyperlink" Target="https://en.wikipedia.org/wiki/Tanzania" TargetMode="External"/><Relationship Id="rId724" Type="http://schemas.openxmlformats.org/officeDocument/2006/relationships/hyperlink" Target="https://en.wikipedia.org/wiki/Cardinal_priest" TargetMode="External"/><Relationship Id="rId966" Type="http://schemas.openxmlformats.org/officeDocument/2006/relationships/hyperlink" Target="https://en.wikipedia.org/wiki/Laurean_Rugambwa" TargetMode="External"/><Relationship Id="rId69" Type="http://schemas.openxmlformats.org/officeDocument/2006/relationships/hyperlink" Target="https://en.wikipedia.org/wiki/Francis_Eugene_George" TargetMode="External"/><Relationship Id="rId961" Type="http://schemas.openxmlformats.org/officeDocument/2006/relationships/hyperlink" Target="https://en.wikipedia.org/wiki/Roman_Catholic_Archdiocese_of_Vienna" TargetMode="External"/><Relationship Id="rId960" Type="http://schemas.openxmlformats.org/officeDocument/2006/relationships/hyperlink" Target="https://en.wikipedia.org/wiki/Cardinal_priest" TargetMode="External"/><Relationship Id="rId1310" Type="http://schemas.openxmlformats.org/officeDocument/2006/relationships/hyperlink" Target="https://en.wikipedia.org/wiki/Silvio_Oddi" TargetMode="External"/><Relationship Id="rId1311" Type="http://schemas.openxmlformats.org/officeDocument/2006/relationships/hyperlink" Target="https://en.wikipedia.org/wiki/Italy" TargetMode="External"/><Relationship Id="rId51" Type="http://schemas.openxmlformats.org/officeDocument/2006/relationships/hyperlink" Target="https://en.wikipedia.org/wiki/Cardinal_priest" TargetMode="External"/><Relationship Id="rId1301" Type="http://schemas.openxmlformats.org/officeDocument/2006/relationships/hyperlink" Target="https://en.wikipedia.org/wiki/Roman_Catholic_Archdiocese_of_Florence" TargetMode="External"/><Relationship Id="rId50" Type="http://schemas.openxmlformats.org/officeDocument/2006/relationships/hyperlink" Target="https://en.wikipedia.org/wiki/Spain" TargetMode="External"/><Relationship Id="rId1302" Type="http://schemas.openxmlformats.org/officeDocument/2006/relationships/hyperlink" Target="https://en.wikipedia.org/wiki/Joseph_Ratzinger" TargetMode="External"/><Relationship Id="rId53" Type="http://schemas.openxmlformats.org/officeDocument/2006/relationships/hyperlink" Target="https://en.wikipedia.org/wiki/Dionigi_Tettamanzi" TargetMode="External"/><Relationship Id="rId1303" Type="http://schemas.openxmlformats.org/officeDocument/2006/relationships/hyperlink" Target="https://en.wikipedia.org/wiki/West_Germany" TargetMode="External"/><Relationship Id="rId52" Type="http://schemas.openxmlformats.org/officeDocument/2006/relationships/hyperlink" Target="https://en.wikipedia.org/wiki/Roman_Catholic_Archdiocese_of_Madrid" TargetMode="External"/><Relationship Id="rId1304" Type="http://schemas.openxmlformats.org/officeDocument/2006/relationships/hyperlink" Target="https://en.wikipedia.org/wiki/Cardinal_priest" TargetMode="External"/><Relationship Id="rId55" Type="http://schemas.openxmlformats.org/officeDocument/2006/relationships/hyperlink" Target="https://en.wikipedia.org/wiki/Cardinal_priest" TargetMode="External"/><Relationship Id="rId1305" Type="http://schemas.openxmlformats.org/officeDocument/2006/relationships/hyperlink" Target="https://en.wikipedia.org/wiki/Roman_Catholic_Archdiocese_of_Munich_and_Freising" TargetMode="External"/><Relationship Id="rId54" Type="http://schemas.openxmlformats.org/officeDocument/2006/relationships/hyperlink" Target="https://en.wikipedia.org/wiki/Italy" TargetMode="External"/><Relationship Id="rId1306" Type="http://schemas.openxmlformats.org/officeDocument/2006/relationships/hyperlink" Target="https://en.wikipedia.org/wiki/Pericle_Felici" TargetMode="External"/><Relationship Id="rId57" Type="http://schemas.openxmlformats.org/officeDocument/2006/relationships/hyperlink" Target="https://en.wikipedia.org/wiki/Polycarp_Pengo" TargetMode="External"/><Relationship Id="rId1307" Type="http://schemas.openxmlformats.org/officeDocument/2006/relationships/hyperlink" Target="https://en.wikipedia.org/wiki/Italy" TargetMode="External"/><Relationship Id="rId56" Type="http://schemas.openxmlformats.org/officeDocument/2006/relationships/hyperlink" Target="https://en.wikipedia.org/wiki/Roman_Catholic_Archdiocese_of_Milan" TargetMode="External"/><Relationship Id="rId1308" Type="http://schemas.openxmlformats.org/officeDocument/2006/relationships/hyperlink" Target="https://en.wikipedia.org/wiki/Cardinal_deacon" TargetMode="External"/><Relationship Id="rId1309" Type="http://schemas.openxmlformats.org/officeDocument/2006/relationships/hyperlink" Target="https://en.wikipedia.org/wiki/Supreme_Tribunal_of_the_Apostolic_Signatura" TargetMode="External"/><Relationship Id="rId719" Type="http://schemas.openxmlformats.org/officeDocument/2006/relationships/hyperlink" Target="https://en.wikipedia.org/wiki/Bolivia" TargetMode="External"/><Relationship Id="rId718" Type="http://schemas.openxmlformats.org/officeDocument/2006/relationships/hyperlink" Target="https://en.wikipedia.org/wiki/Julio_Terrazas_Sandoval" TargetMode="External"/><Relationship Id="rId717" Type="http://schemas.openxmlformats.org/officeDocument/2006/relationships/hyperlink" Target="https://en.wikipedia.org/wiki/Roman_Catholic_Archdiocese_of_Santiago_de_Chile" TargetMode="External"/><Relationship Id="rId959" Type="http://schemas.openxmlformats.org/officeDocument/2006/relationships/hyperlink" Target="https://en.wikipedia.org/wiki/Austria" TargetMode="External"/><Relationship Id="rId712" Type="http://schemas.openxmlformats.org/officeDocument/2006/relationships/hyperlink" Target="https://en.wikipedia.org/wiki/Cardinal_priest" TargetMode="External"/><Relationship Id="rId954" Type="http://schemas.openxmlformats.org/officeDocument/2006/relationships/hyperlink" Target="https://en.wikipedia.org/wiki/Jos%C3%A9_Mar%C3%ADa_Bueno_y_Monreal" TargetMode="External"/><Relationship Id="rId711" Type="http://schemas.openxmlformats.org/officeDocument/2006/relationships/hyperlink" Target="https://en.wikipedia.org/wiki/Lithuania" TargetMode="External"/><Relationship Id="rId953" Type="http://schemas.openxmlformats.org/officeDocument/2006/relationships/hyperlink" Target="https://en.wikipedia.org/wiki/Roman_Catholic_Archdiocese_of_Montreal" TargetMode="External"/><Relationship Id="rId710" Type="http://schemas.openxmlformats.org/officeDocument/2006/relationships/hyperlink" Target="https://en.wikipedia.org/wiki/Audrys_Juozas_Ba%C4%8Dkis" TargetMode="External"/><Relationship Id="rId952" Type="http://schemas.openxmlformats.org/officeDocument/2006/relationships/hyperlink" Target="https://en.wikipedia.org/wiki/Cardinal_priest" TargetMode="External"/><Relationship Id="rId951" Type="http://schemas.openxmlformats.org/officeDocument/2006/relationships/hyperlink" Target="https://en.wikipedia.org/wiki/Canada" TargetMode="External"/><Relationship Id="rId716" Type="http://schemas.openxmlformats.org/officeDocument/2006/relationships/hyperlink" Target="https://en.wikipedia.org/wiki/Cardinal_priest" TargetMode="External"/><Relationship Id="rId958" Type="http://schemas.openxmlformats.org/officeDocument/2006/relationships/hyperlink" Target="https://en.wikipedia.org/wiki/Franz_K%C3%B6nig" TargetMode="External"/><Relationship Id="rId715" Type="http://schemas.openxmlformats.org/officeDocument/2006/relationships/hyperlink" Target="https://en.wikipedia.org/wiki/Chile" TargetMode="External"/><Relationship Id="rId957" Type="http://schemas.openxmlformats.org/officeDocument/2006/relationships/hyperlink" Target="https://en.wikipedia.org/wiki/Roman_Catholic_Archdiocese_of_Seville" TargetMode="External"/><Relationship Id="rId714" Type="http://schemas.openxmlformats.org/officeDocument/2006/relationships/hyperlink" Target="https://en.wikipedia.org/wiki/Francisco_Javier_Err%C3%A1zuriz_Ossa" TargetMode="External"/><Relationship Id="rId956" Type="http://schemas.openxmlformats.org/officeDocument/2006/relationships/hyperlink" Target="https://en.wikipedia.org/wiki/Cardinal_priest" TargetMode="External"/><Relationship Id="rId713" Type="http://schemas.openxmlformats.org/officeDocument/2006/relationships/hyperlink" Target="https://en.wikipedia.org/wiki/Roman_Catholic_Archdiocese_of_Vilnius" TargetMode="External"/><Relationship Id="rId955" Type="http://schemas.openxmlformats.org/officeDocument/2006/relationships/hyperlink" Target="https://en.wikipedia.org/wiki/Spanish_transition_to_democracy" TargetMode="External"/><Relationship Id="rId59" Type="http://schemas.openxmlformats.org/officeDocument/2006/relationships/hyperlink" Target="https://en.wikipedia.org/wiki/Cardinal_priest" TargetMode="External"/><Relationship Id="rId58" Type="http://schemas.openxmlformats.org/officeDocument/2006/relationships/hyperlink" Target="https://en.wikipedia.org/wiki/Tanzania" TargetMode="External"/><Relationship Id="rId950" Type="http://schemas.openxmlformats.org/officeDocument/2006/relationships/hyperlink" Target="https://en.wikipedia.org/wiki/Paul_%C3%89mile_L%C3%A9ger" TargetMode="External"/><Relationship Id="rId1300" Type="http://schemas.openxmlformats.org/officeDocument/2006/relationships/hyperlink" Target="https://en.wikipedia.org/wiki/Cardinal_priest" TargetMode="External"/><Relationship Id="rId590" Type="http://schemas.openxmlformats.org/officeDocument/2006/relationships/hyperlink" Target="https://en.wikipedia.org/wiki/Camillo_Ruini" TargetMode="External"/><Relationship Id="rId107" Type="http://schemas.openxmlformats.org/officeDocument/2006/relationships/hyperlink" Target="https://en.wikipedia.org/wiki/Cardinal_priest" TargetMode="External"/><Relationship Id="rId349" Type="http://schemas.openxmlformats.org/officeDocument/2006/relationships/hyperlink" Target="https://en.wikipedia.org/wiki/Pontifical_Legation_for_the_Basilicas_of_Saint_Francis_and_Saint_Mary_of_the_Angels_in_Assisi" TargetMode="External"/><Relationship Id="rId106" Type="http://schemas.openxmlformats.org/officeDocument/2006/relationships/hyperlink" Target="https://en.wikipedia.org/wiki/South_Africa" TargetMode="External"/><Relationship Id="rId348" Type="http://schemas.openxmlformats.org/officeDocument/2006/relationships/hyperlink" Target="https://en.wikipedia.org/wiki/Cardinal_deacon" TargetMode="External"/><Relationship Id="rId105" Type="http://schemas.openxmlformats.org/officeDocument/2006/relationships/hyperlink" Target="https://en.wikipedia.org/wiki/Wilfrid_Fox_Napier" TargetMode="External"/><Relationship Id="rId347" Type="http://schemas.openxmlformats.org/officeDocument/2006/relationships/hyperlink" Target="https://en.wikipedia.org/wiki/Italy" TargetMode="External"/><Relationship Id="rId589" Type="http://schemas.openxmlformats.org/officeDocument/2006/relationships/hyperlink" Target="https://en.wikipedia.org/wiki/Roman_Catholic_Archdiocese_of_Los_Angeles" TargetMode="External"/><Relationship Id="rId104" Type="http://schemas.openxmlformats.org/officeDocument/2006/relationships/hyperlink" Target="https://en.wikipedia.org/wiki/Roman_Catholic_Archdiocese_of_Santa_Cruz_de_la_Sierra" TargetMode="External"/><Relationship Id="rId346" Type="http://schemas.openxmlformats.org/officeDocument/2006/relationships/hyperlink" Target="https://en.wikipedia.org/wiki/Attilio_Nicora" TargetMode="External"/><Relationship Id="rId588" Type="http://schemas.openxmlformats.org/officeDocument/2006/relationships/hyperlink" Target="https://en.wikipedia.org/wiki/Cardinal_priest" TargetMode="External"/><Relationship Id="rId109" Type="http://schemas.openxmlformats.org/officeDocument/2006/relationships/hyperlink" Target="https://en.wikipedia.org/wiki/%C3%93scar_Andr%C3%A9s_Rodr%C3%ADguez_Maradiaga" TargetMode="External"/><Relationship Id="rId1170" Type="http://schemas.openxmlformats.org/officeDocument/2006/relationships/hyperlink" Target="https://en.wikipedia.org/wiki/Joseph_Cordeiro" TargetMode="External"/><Relationship Id="rId108" Type="http://schemas.openxmlformats.org/officeDocument/2006/relationships/hyperlink" Target="https://en.wikipedia.org/wiki/Roman_Catholic_Archdiocese_of_Durban" TargetMode="External"/><Relationship Id="rId1171" Type="http://schemas.openxmlformats.org/officeDocument/2006/relationships/hyperlink" Target="https://en.wikipedia.org/wiki/Pakistan" TargetMode="External"/><Relationship Id="rId341" Type="http://schemas.openxmlformats.org/officeDocument/2006/relationships/hyperlink" Target="https://en.wikipedia.org/wiki/Roman_Catholic_Archdiocese_of_Manila" TargetMode="External"/><Relationship Id="rId583" Type="http://schemas.openxmlformats.org/officeDocument/2006/relationships/hyperlink" Target="https://en.wikipedia.org/wiki/Dominican_Republic" TargetMode="External"/><Relationship Id="rId1172" Type="http://schemas.openxmlformats.org/officeDocument/2006/relationships/hyperlink" Target="https://en.wikipedia.org/wiki/Cardinal_priest" TargetMode="External"/><Relationship Id="rId340" Type="http://schemas.openxmlformats.org/officeDocument/2006/relationships/hyperlink" Target="https://en.wikipedia.org/wiki/Cardinal_priest" TargetMode="External"/><Relationship Id="rId582" Type="http://schemas.openxmlformats.org/officeDocument/2006/relationships/hyperlink" Target="https://en.wikipedia.org/wiki/Nicol%C3%A1s_de_Jes%C3%BAs_L%C3%B3pez_Rodr%C3%ADguez" TargetMode="External"/><Relationship Id="rId1173" Type="http://schemas.openxmlformats.org/officeDocument/2006/relationships/hyperlink" Target="https://en.wikipedia.org/wiki/Roman_Catholic_Archdiocese_of_Karachi" TargetMode="External"/><Relationship Id="rId581" Type="http://schemas.openxmlformats.org/officeDocument/2006/relationships/hyperlink" Target="https://en.wikipedia.org/wiki/Roman_Catholic_Archdiocese_of_Kinshasa" TargetMode="External"/><Relationship Id="rId1174" Type="http://schemas.openxmlformats.org/officeDocument/2006/relationships/hyperlink" Target="https://en.wikipedia.org/wiki/An%C3%ADbal_Mu%C3%B1oz_Duque" TargetMode="External"/><Relationship Id="rId580" Type="http://schemas.openxmlformats.org/officeDocument/2006/relationships/hyperlink" Target="https://en.wikipedia.org/wiki/Cardinal_priest" TargetMode="External"/><Relationship Id="rId1175" Type="http://schemas.openxmlformats.org/officeDocument/2006/relationships/hyperlink" Target="https://en.wikipedia.org/wiki/Colombia" TargetMode="External"/><Relationship Id="rId103" Type="http://schemas.openxmlformats.org/officeDocument/2006/relationships/hyperlink" Target="https://en.wikipedia.org/wiki/Cardinal_priest" TargetMode="External"/><Relationship Id="rId345" Type="http://schemas.openxmlformats.org/officeDocument/2006/relationships/hyperlink" Target="https://en.wikipedia.org/wiki/Pontifical_Council_for_Interreligious_Dialogue" TargetMode="External"/><Relationship Id="rId587" Type="http://schemas.openxmlformats.org/officeDocument/2006/relationships/hyperlink" Target="https://en.wikipedia.org/wiki/United_States" TargetMode="External"/><Relationship Id="rId1176" Type="http://schemas.openxmlformats.org/officeDocument/2006/relationships/hyperlink" Target="https://en.wikipedia.org/wiki/Cardinal_priest" TargetMode="External"/><Relationship Id="rId102" Type="http://schemas.openxmlformats.org/officeDocument/2006/relationships/hyperlink" Target="https://en.wikipedia.org/wiki/Bolivia" TargetMode="External"/><Relationship Id="rId344" Type="http://schemas.openxmlformats.org/officeDocument/2006/relationships/hyperlink" Target="https://en.wikipedia.org/wiki/Cardinal_deacon" TargetMode="External"/><Relationship Id="rId586" Type="http://schemas.openxmlformats.org/officeDocument/2006/relationships/hyperlink" Target="https://en.wikipedia.org/wiki/Roger_Michael_Mahony" TargetMode="External"/><Relationship Id="rId1177" Type="http://schemas.openxmlformats.org/officeDocument/2006/relationships/hyperlink" Target="https://en.wikipedia.org/wiki/Roman_Catholic_Archdiocese_of_Bogot%C3%A1" TargetMode="External"/><Relationship Id="rId101" Type="http://schemas.openxmlformats.org/officeDocument/2006/relationships/hyperlink" Target="https://en.wikipedia.org/wiki/Julio_Terrazas_Sandoval" TargetMode="External"/><Relationship Id="rId343" Type="http://schemas.openxmlformats.org/officeDocument/2006/relationships/hyperlink" Target="https://en.wikipedia.org/wiki/France" TargetMode="External"/><Relationship Id="rId585" Type="http://schemas.openxmlformats.org/officeDocument/2006/relationships/hyperlink" Target="https://en.wikipedia.org/wiki/Roman_Catholic_Archdiocese_of_Santo_Domingo" TargetMode="External"/><Relationship Id="rId1178" Type="http://schemas.openxmlformats.org/officeDocument/2006/relationships/hyperlink" Target="https://en.wikipedia.org/wiki/Luis_Aponte_Mart%C3%ADnez" TargetMode="External"/><Relationship Id="rId100" Type="http://schemas.openxmlformats.org/officeDocument/2006/relationships/hyperlink" Target="https://en.wikipedia.org/wiki/Roman_Catholic_Archdiocese_of_Santiago_de_Chile" TargetMode="External"/><Relationship Id="rId342" Type="http://schemas.openxmlformats.org/officeDocument/2006/relationships/hyperlink" Target="https://en.wikipedia.org/wiki/Jean-Louis_Tauran" TargetMode="External"/><Relationship Id="rId584" Type="http://schemas.openxmlformats.org/officeDocument/2006/relationships/hyperlink" Target="https://en.wikipedia.org/wiki/Cardinal_priest" TargetMode="External"/><Relationship Id="rId1179" Type="http://schemas.openxmlformats.org/officeDocument/2006/relationships/hyperlink" Target="https://en.wikipedia.org/wiki/Puerto_Rico" TargetMode="External"/><Relationship Id="rId1169" Type="http://schemas.openxmlformats.org/officeDocument/2006/relationships/hyperlink" Target="https://en.wikipedia.org/wiki/Roman_Catholic_Archdiocese_of_S%C3%A3o_Salvador_da_Bahia" TargetMode="External"/><Relationship Id="rId338" Type="http://schemas.openxmlformats.org/officeDocument/2006/relationships/hyperlink" Target="https://en.wikipedia.org/wiki/Luis_Antonio_Gokim_Tagle" TargetMode="External"/><Relationship Id="rId337" Type="http://schemas.openxmlformats.org/officeDocument/2006/relationships/hyperlink" Target="https://en.wikipedia.org/wiki/Roman_Catholic_Archdiocese_of_Bogot%C3%A1" TargetMode="External"/><Relationship Id="rId579" Type="http://schemas.openxmlformats.org/officeDocument/2006/relationships/hyperlink" Target="https://en.wikipedia.org/wiki/Democratic_Republic_of_the_Congo" TargetMode="External"/><Relationship Id="rId336" Type="http://schemas.openxmlformats.org/officeDocument/2006/relationships/hyperlink" Target="https://en.wikipedia.org/wiki/Cardinal_priest" TargetMode="External"/><Relationship Id="rId578" Type="http://schemas.openxmlformats.org/officeDocument/2006/relationships/hyperlink" Target="https://en.wikipedia.org/wiki/Fr%C3%A9d%C3%A9ric_Etsou-Nzabi-Bamungwabi" TargetMode="External"/><Relationship Id="rId335" Type="http://schemas.openxmlformats.org/officeDocument/2006/relationships/hyperlink" Target="https://en.wikipedia.org/wiki/Colombia" TargetMode="External"/><Relationship Id="rId577" Type="http://schemas.openxmlformats.org/officeDocument/2006/relationships/hyperlink" Target="https://en.wikipedia.org/wiki/Roman_Catholic_Archdiocese_of_Douala" TargetMode="External"/><Relationship Id="rId339" Type="http://schemas.openxmlformats.org/officeDocument/2006/relationships/hyperlink" Target="https://en.wikipedia.org/wiki/Philippines" TargetMode="External"/><Relationship Id="rId1160" Type="http://schemas.openxmlformats.org/officeDocument/2006/relationships/hyperlink" Target="https://en.wikipedia.org/wiki/Cardinal_priest" TargetMode="External"/><Relationship Id="rId330" Type="http://schemas.openxmlformats.org/officeDocument/2006/relationships/hyperlink" Target="https://en.wikipedia.org/wiki/John_Olorunfemi_Onaiyekan" TargetMode="External"/><Relationship Id="rId572" Type="http://schemas.openxmlformats.org/officeDocument/2006/relationships/hyperlink" Target="https://en.wikipedia.org/wiki/Cardinal_priest" TargetMode="External"/><Relationship Id="rId1161" Type="http://schemas.openxmlformats.org/officeDocument/2006/relationships/hyperlink" Target="https://en.wikipedia.org/wiki/Patriarchate_of_Lisbon" TargetMode="External"/><Relationship Id="rId571" Type="http://schemas.openxmlformats.org/officeDocument/2006/relationships/hyperlink" Target="https://en.wikipedia.org/wiki/Hungary" TargetMode="External"/><Relationship Id="rId1162" Type="http://schemas.openxmlformats.org/officeDocument/2006/relationships/hyperlink" Target="https://en.wikipedia.org/wiki/James_Robert_Knox" TargetMode="External"/><Relationship Id="rId570" Type="http://schemas.openxmlformats.org/officeDocument/2006/relationships/hyperlink" Target="https://en.wikipedia.org/wiki/L%C3%A1szl%C3%B3_Paskai" TargetMode="External"/><Relationship Id="rId1163" Type="http://schemas.openxmlformats.org/officeDocument/2006/relationships/hyperlink" Target="https://en.wikipedia.org/wiki/Australia" TargetMode="External"/><Relationship Id="rId1164" Type="http://schemas.openxmlformats.org/officeDocument/2006/relationships/hyperlink" Target="https://en.wikipedia.org/wiki/Cardinal_priest" TargetMode="External"/><Relationship Id="rId334" Type="http://schemas.openxmlformats.org/officeDocument/2006/relationships/hyperlink" Target="https://en.wikipedia.org/wiki/Rub%C3%A9n_Salazar_G%C3%B3mez" TargetMode="External"/><Relationship Id="rId576" Type="http://schemas.openxmlformats.org/officeDocument/2006/relationships/hyperlink" Target="https://en.wikipedia.org/wiki/Cardinal_priest" TargetMode="External"/><Relationship Id="rId1165" Type="http://schemas.openxmlformats.org/officeDocument/2006/relationships/hyperlink" Target="https://en.wikipedia.org/wiki/Sacred_Congregation_for_the_Sacraments_and_Divine_Worship" TargetMode="External"/><Relationship Id="rId333" Type="http://schemas.openxmlformats.org/officeDocument/2006/relationships/hyperlink" Target="https://en.wikipedia.org/wiki/Roman_Catholic_Archdiocese_of_Abuja" TargetMode="External"/><Relationship Id="rId575" Type="http://schemas.openxmlformats.org/officeDocument/2006/relationships/hyperlink" Target="https://en.wikipedia.org/wiki/Cameroon" TargetMode="External"/><Relationship Id="rId1166" Type="http://schemas.openxmlformats.org/officeDocument/2006/relationships/hyperlink" Target="https://en.wikipedia.org/wiki/Avelar_Brand%C3%A3o_Vilela" TargetMode="External"/><Relationship Id="rId332" Type="http://schemas.openxmlformats.org/officeDocument/2006/relationships/hyperlink" Target="https://en.wikipedia.org/wiki/Cardinal_priest" TargetMode="External"/><Relationship Id="rId574" Type="http://schemas.openxmlformats.org/officeDocument/2006/relationships/hyperlink" Target="https://en.wikipedia.org/wiki/Christian_Wiyghan_Tumi" TargetMode="External"/><Relationship Id="rId1167" Type="http://schemas.openxmlformats.org/officeDocument/2006/relationships/hyperlink" Target="https://en.wikipedia.org/wiki/Brazil" TargetMode="External"/><Relationship Id="rId331" Type="http://schemas.openxmlformats.org/officeDocument/2006/relationships/hyperlink" Target="https://en.wikipedia.org/wiki/Nigeria" TargetMode="External"/><Relationship Id="rId573" Type="http://schemas.openxmlformats.org/officeDocument/2006/relationships/hyperlink" Target="https://en.wikipedia.org/wiki/Roman_Catholic_Archdiocese_of_Esztergom%E2%80%93Budapest" TargetMode="External"/><Relationship Id="rId1168" Type="http://schemas.openxmlformats.org/officeDocument/2006/relationships/hyperlink" Target="https://en.wikipedia.org/wiki/Cardinal_priest" TargetMode="External"/><Relationship Id="rId370" Type="http://schemas.openxmlformats.org/officeDocument/2006/relationships/hyperlink" Target="https://en.wikipedia.org/wiki/Angelo_Comastri" TargetMode="External"/><Relationship Id="rId129" Type="http://schemas.openxmlformats.org/officeDocument/2006/relationships/hyperlink" Target="https://en.wikipedia.org/wiki/Severino_Poletto" TargetMode="External"/><Relationship Id="rId128" Type="http://schemas.openxmlformats.org/officeDocument/2006/relationships/hyperlink" Target="https://en.wikipedia.org/wiki/Patriarchate_of_Lisbon" TargetMode="External"/><Relationship Id="rId127" Type="http://schemas.openxmlformats.org/officeDocument/2006/relationships/hyperlink" Target="https://en.wikipedia.org/wiki/Cardinal_priest" TargetMode="External"/><Relationship Id="rId369" Type="http://schemas.openxmlformats.org/officeDocument/2006/relationships/hyperlink" Target="https://en.wikipedia.org/wiki/Pontifical_Council_Cor_Unum" TargetMode="External"/><Relationship Id="rId126" Type="http://schemas.openxmlformats.org/officeDocument/2006/relationships/hyperlink" Target="https://en.wikipedia.org/wiki/Portugal" TargetMode="External"/><Relationship Id="rId368" Type="http://schemas.openxmlformats.org/officeDocument/2006/relationships/hyperlink" Target="https://en.wikipedia.org/wiki/Cardinal_deacon" TargetMode="External"/><Relationship Id="rId1190" Type="http://schemas.openxmlformats.org/officeDocument/2006/relationships/hyperlink" Target="https://en.wikipedia.org/wiki/Marcelo_Gonz%C3%A1lez_Mart%C3%ADn" TargetMode="External"/><Relationship Id="rId1191" Type="http://schemas.openxmlformats.org/officeDocument/2006/relationships/hyperlink" Target="https://en.wikipedia.org/wiki/Spanish_transition_to_democracy" TargetMode="External"/><Relationship Id="rId1192" Type="http://schemas.openxmlformats.org/officeDocument/2006/relationships/hyperlink" Target="https://en.wikipedia.org/wiki/Cardinal_priest" TargetMode="External"/><Relationship Id="rId1193" Type="http://schemas.openxmlformats.org/officeDocument/2006/relationships/hyperlink" Target="https://en.wikipedia.org/wiki/Roman_Catholic_Archdiocese_of_Toledo" TargetMode="External"/><Relationship Id="rId121" Type="http://schemas.openxmlformats.org/officeDocument/2006/relationships/hyperlink" Target="https://en.wikipedia.org/wiki/Jorge_Mario_Bergoglio" TargetMode="External"/><Relationship Id="rId363" Type="http://schemas.openxmlformats.org/officeDocument/2006/relationships/hyperlink" Target="https://en.wikipedia.org/wiki/Italy" TargetMode="External"/><Relationship Id="rId1194" Type="http://schemas.openxmlformats.org/officeDocument/2006/relationships/hyperlink" Target="https://en.wikipedia.org/wiki/Louis-Jean_Guyot" TargetMode="External"/><Relationship Id="rId120" Type="http://schemas.openxmlformats.org/officeDocument/2006/relationships/hyperlink" Target="https://en.wikipedia.org/wiki/Congregation_for_the_Clergy" TargetMode="External"/><Relationship Id="rId362" Type="http://schemas.openxmlformats.org/officeDocument/2006/relationships/hyperlink" Target="https://en.wikipedia.org/wiki/Giovanni_Lajolo" TargetMode="External"/><Relationship Id="rId1195" Type="http://schemas.openxmlformats.org/officeDocument/2006/relationships/hyperlink" Target="https://en.wikipedia.org/wiki/France" TargetMode="External"/><Relationship Id="rId361" Type="http://schemas.openxmlformats.org/officeDocument/2006/relationships/hyperlink" Target="https://en.wikipedia.org/wiki/Congregation_for_the_Oriental_Churches" TargetMode="External"/><Relationship Id="rId1196" Type="http://schemas.openxmlformats.org/officeDocument/2006/relationships/hyperlink" Target="https://en.wikipedia.org/wiki/Cardinal_priest" TargetMode="External"/><Relationship Id="rId360" Type="http://schemas.openxmlformats.org/officeDocument/2006/relationships/hyperlink" Target="https://en.wikipedia.org/wiki/Cardinal_deacon" TargetMode="External"/><Relationship Id="rId1197" Type="http://schemas.openxmlformats.org/officeDocument/2006/relationships/hyperlink" Target="https://en.wikipedia.org/wiki/Roman_Catholic_Archdiocese_of_Toulouse" TargetMode="External"/><Relationship Id="rId125" Type="http://schemas.openxmlformats.org/officeDocument/2006/relationships/hyperlink" Target="https://en.wikipedia.org/wiki/Jos%C3%A9_da_Cruz_Policarpo" TargetMode="External"/><Relationship Id="rId367" Type="http://schemas.openxmlformats.org/officeDocument/2006/relationships/hyperlink" Target="https://en.wikipedia.org/wiki/Germany" TargetMode="External"/><Relationship Id="rId1198" Type="http://schemas.openxmlformats.org/officeDocument/2006/relationships/hyperlink" Target="https://en.wikipedia.org/wiki/Ugo_Poletti" TargetMode="External"/><Relationship Id="rId124" Type="http://schemas.openxmlformats.org/officeDocument/2006/relationships/hyperlink" Target="https://en.wikipedia.org/wiki/Roman_Catholic_Archdiocese_of_Buenos_Aires" TargetMode="External"/><Relationship Id="rId366" Type="http://schemas.openxmlformats.org/officeDocument/2006/relationships/hyperlink" Target="https://en.wikipedia.org/wiki/Paul_Josef_Cordes" TargetMode="External"/><Relationship Id="rId1199" Type="http://schemas.openxmlformats.org/officeDocument/2006/relationships/hyperlink" Target="https://en.wikipedia.org/wiki/Italy" TargetMode="External"/><Relationship Id="rId123" Type="http://schemas.openxmlformats.org/officeDocument/2006/relationships/hyperlink" Target="https://en.wikipedia.org/wiki/Cardinal_priest" TargetMode="External"/><Relationship Id="rId365" Type="http://schemas.openxmlformats.org/officeDocument/2006/relationships/hyperlink" Target="https://en.wikipedia.org/wiki/Pontifical_Commission_for_Vatican_City_State" TargetMode="External"/><Relationship Id="rId122" Type="http://schemas.openxmlformats.org/officeDocument/2006/relationships/hyperlink" Target="https://en.wikipedia.org/wiki/Argentina" TargetMode="External"/><Relationship Id="rId364" Type="http://schemas.openxmlformats.org/officeDocument/2006/relationships/hyperlink" Target="https://en.wikipedia.org/wiki/Cardinal_deacon" TargetMode="External"/><Relationship Id="rId95" Type="http://schemas.openxmlformats.org/officeDocument/2006/relationships/hyperlink" Target="https://en.wikipedia.org/wiki/Cardinal_priest" TargetMode="External"/><Relationship Id="rId94" Type="http://schemas.openxmlformats.org/officeDocument/2006/relationships/hyperlink" Target="https://en.wikipedia.org/wiki/Lithuania" TargetMode="External"/><Relationship Id="rId97" Type="http://schemas.openxmlformats.org/officeDocument/2006/relationships/hyperlink" Target="https://en.wikipedia.org/wiki/Francisco_Javier_Err%C3%A1zuriz_Ossa" TargetMode="External"/><Relationship Id="rId96" Type="http://schemas.openxmlformats.org/officeDocument/2006/relationships/hyperlink" Target="https://en.wikipedia.org/wiki/Roman_Catholic_Archdiocese_of_Vilnius" TargetMode="External"/><Relationship Id="rId99" Type="http://schemas.openxmlformats.org/officeDocument/2006/relationships/hyperlink" Target="https://en.wikipedia.org/wiki/Cardinal_priest" TargetMode="External"/><Relationship Id="rId98" Type="http://schemas.openxmlformats.org/officeDocument/2006/relationships/hyperlink" Target="https://en.wikipedia.org/wiki/Chile" TargetMode="External"/><Relationship Id="rId91" Type="http://schemas.openxmlformats.org/officeDocument/2006/relationships/hyperlink" Target="https://en.wikipedia.org/wiki/Cardinal_priest" TargetMode="External"/><Relationship Id="rId90" Type="http://schemas.openxmlformats.org/officeDocument/2006/relationships/hyperlink" Target="https://en.wikipedia.org/wiki/Brazil" TargetMode="External"/><Relationship Id="rId93" Type="http://schemas.openxmlformats.org/officeDocument/2006/relationships/hyperlink" Target="https://en.wikipedia.org/wiki/Audrys_Juozas_Ba%C4%8Dkis" TargetMode="External"/><Relationship Id="rId92" Type="http://schemas.openxmlformats.org/officeDocument/2006/relationships/hyperlink" Target="https://en.wikipedia.org/wiki/Roman_Catholic_Archdiocese_of_S%C3%A3o_Salvador_da_Bahia" TargetMode="External"/><Relationship Id="rId118" Type="http://schemas.openxmlformats.org/officeDocument/2006/relationships/hyperlink" Target="https://en.wikipedia.org/wiki/Brazil" TargetMode="External"/><Relationship Id="rId117" Type="http://schemas.openxmlformats.org/officeDocument/2006/relationships/hyperlink" Target="https://en.wikipedia.org/wiki/Cl%C3%A1udio_Hummes" TargetMode="External"/><Relationship Id="rId359" Type="http://schemas.openxmlformats.org/officeDocument/2006/relationships/hyperlink" Target="https://en.wikipedia.org/wiki/Argentina" TargetMode="External"/><Relationship Id="rId116" Type="http://schemas.openxmlformats.org/officeDocument/2006/relationships/hyperlink" Target="https://en.wikipedia.org/wiki/Roman_Catholic_Archdiocese_of_Lima" TargetMode="External"/><Relationship Id="rId358" Type="http://schemas.openxmlformats.org/officeDocument/2006/relationships/hyperlink" Target="https://en.wikipedia.org/wiki/Leonardo_Sandri" TargetMode="External"/><Relationship Id="rId115" Type="http://schemas.openxmlformats.org/officeDocument/2006/relationships/hyperlink" Target="https://en.wikipedia.org/wiki/Cardinal_priest" TargetMode="External"/><Relationship Id="rId357" Type="http://schemas.openxmlformats.org/officeDocument/2006/relationships/hyperlink" Target="https://en.wikipedia.org/wiki/Congregation_for_Institutes_of_Consecrated_Life_and_Societies_of_Apostolic_Life" TargetMode="External"/><Relationship Id="rId599" Type="http://schemas.openxmlformats.org/officeDocument/2006/relationships/hyperlink" Target="https://en.wikipedia.org/wiki/Germany" TargetMode="External"/><Relationship Id="rId1180" Type="http://schemas.openxmlformats.org/officeDocument/2006/relationships/hyperlink" Target="https://en.wikipedia.org/wiki/Cardinal_priest" TargetMode="External"/><Relationship Id="rId1181" Type="http://schemas.openxmlformats.org/officeDocument/2006/relationships/hyperlink" Target="https://en.wikipedia.org/wiki/Roman_Catholic_Archdiocese_of_San_Juan_de_Puerto_Rico" TargetMode="External"/><Relationship Id="rId119" Type="http://schemas.openxmlformats.org/officeDocument/2006/relationships/hyperlink" Target="https://en.wikipedia.org/wiki/Cardinal_priest" TargetMode="External"/><Relationship Id="rId1182" Type="http://schemas.openxmlformats.org/officeDocument/2006/relationships/hyperlink" Target="https://en.wikipedia.org/wiki/Ra%C3%BAl_Francisco_Primatesta" TargetMode="External"/><Relationship Id="rId110" Type="http://schemas.openxmlformats.org/officeDocument/2006/relationships/hyperlink" Target="https://en.wikipedia.org/wiki/Honduras" TargetMode="External"/><Relationship Id="rId352" Type="http://schemas.openxmlformats.org/officeDocument/2006/relationships/hyperlink" Target="https://en.wikipedia.org/wiki/Cardinal_deacon" TargetMode="External"/><Relationship Id="rId594" Type="http://schemas.openxmlformats.org/officeDocument/2006/relationships/hyperlink" Target="https://en.wikipedia.org/wiki/Henri_Schwery" TargetMode="External"/><Relationship Id="rId1183" Type="http://schemas.openxmlformats.org/officeDocument/2006/relationships/hyperlink" Target="https://en.wikipedia.org/wiki/Argentina" TargetMode="External"/><Relationship Id="rId351" Type="http://schemas.openxmlformats.org/officeDocument/2006/relationships/hyperlink" Target="https://en.wikipedia.org/wiki/United_States" TargetMode="External"/><Relationship Id="rId593" Type="http://schemas.openxmlformats.org/officeDocument/2006/relationships/hyperlink" Target="https://en.wikipedia.org/wiki/Vicar_General_for_Rome" TargetMode="External"/><Relationship Id="rId1184" Type="http://schemas.openxmlformats.org/officeDocument/2006/relationships/hyperlink" Target="https://en.wikipedia.org/wiki/Cardinal_priest" TargetMode="External"/><Relationship Id="rId350" Type="http://schemas.openxmlformats.org/officeDocument/2006/relationships/hyperlink" Target="https://en.wikipedia.org/wiki/William_Joseph_Levada" TargetMode="External"/><Relationship Id="rId592" Type="http://schemas.openxmlformats.org/officeDocument/2006/relationships/hyperlink" Target="https://en.wikipedia.org/wiki/Cardinal_priest" TargetMode="External"/><Relationship Id="rId1185" Type="http://schemas.openxmlformats.org/officeDocument/2006/relationships/hyperlink" Target="https://en.wikipedia.org/wiki/Roman_Catholic_Archdiocese_of_C%C3%B3rdoba" TargetMode="External"/><Relationship Id="rId591" Type="http://schemas.openxmlformats.org/officeDocument/2006/relationships/hyperlink" Target="https://en.wikipedia.org/wiki/Italy" TargetMode="External"/><Relationship Id="rId1186" Type="http://schemas.openxmlformats.org/officeDocument/2006/relationships/hyperlink" Target="https://en.wikipedia.org/wiki/Salvatore_Pappalardo_(archbishop_of_Palermo)" TargetMode="External"/><Relationship Id="rId114" Type="http://schemas.openxmlformats.org/officeDocument/2006/relationships/hyperlink" Target="https://en.wikipedia.org/wiki/Peru" TargetMode="External"/><Relationship Id="rId356" Type="http://schemas.openxmlformats.org/officeDocument/2006/relationships/hyperlink" Target="https://en.wikipedia.org/wiki/Cardinal_deacon" TargetMode="External"/><Relationship Id="rId598" Type="http://schemas.openxmlformats.org/officeDocument/2006/relationships/hyperlink" Target="https://en.wikipedia.org/wiki/Georg_Maximilian_Sterzinsky" TargetMode="External"/><Relationship Id="rId1187" Type="http://schemas.openxmlformats.org/officeDocument/2006/relationships/hyperlink" Target="https://en.wikipedia.org/wiki/Italy" TargetMode="External"/><Relationship Id="rId113" Type="http://schemas.openxmlformats.org/officeDocument/2006/relationships/hyperlink" Target="https://en.wikipedia.org/wiki/Juan_Luis_Cipriani_Thorne" TargetMode="External"/><Relationship Id="rId355" Type="http://schemas.openxmlformats.org/officeDocument/2006/relationships/hyperlink" Target="https://en.wikipedia.org/wiki/Slovenia" TargetMode="External"/><Relationship Id="rId597" Type="http://schemas.openxmlformats.org/officeDocument/2006/relationships/hyperlink" Target="https://en.wikipedia.org/wiki/Roman_Catholic_Diocese_of_Sion" TargetMode="External"/><Relationship Id="rId1188" Type="http://schemas.openxmlformats.org/officeDocument/2006/relationships/hyperlink" Target="https://en.wikipedia.org/wiki/Cardinal_priest" TargetMode="External"/><Relationship Id="rId112" Type="http://schemas.openxmlformats.org/officeDocument/2006/relationships/hyperlink" Target="https://en.wikipedia.org/wiki/Roman_Catholic_Archdiocese_of_Tegucigalpa" TargetMode="External"/><Relationship Id="rId354" Type="http://schemas.openxmlformats.org/officeDocument/2006/relationships/hyperlink" Target="https://en.wikipedia.org/wiki/Franc_Rod%C3%A9" TargetMode="External"/><Relationship Id="rId596" Type="http://schemas.openxmlformats.org/officeDocument/2006/relationships/hyperlink" Target="https://en.wikipedia.org/wiki/Cardinal_priest" TargetMode="External"/><Relationship Id="rId1189" Type="http://schemas.openxmlformats.org/officeDocument/2006/relationships/hyperlink" Target="https://en.wikipedia.org/wiki/Roman_Catholic_Archdiocese_of_Palermo" TargetMode="External"/><Relationship Id="rId111" Type="http://schemas.openxmlformats.org/officeDocument/2006/relationships/hyperlink" Target="https://en.wikipedia.org/wiki/Cardinal_priest" TargetMode="External"/><Relationship Id="rId353" Type="http://schemas.openxmlformats.org/officeDocument/2006/relationships/hyperlink" Target="https://en.wikipedia.org/wiki/Congregation_for_the_Doctrine_of_the_Faith" TargetMode="External"/><Relationship Id="rId595" Type="http://schemas.openxmlformats.org/officeDocument/2006/relationships/hyperlink" Target="https://en.wikipedia.org/wiki/Switzerland" TargetMode="External"/><Relationship Id="rId1136" Type="http://schemas.openxmlformats.org/officeDocument/2006/relationships/hyperlink" Target="https://en.wikipedia.org/wiki/Cardinal_priest" TargetMode="External"/><Relationship Id="rId1137" Type="http://schemas.openxmlformats.org/officeDocument/2006/relationships/hyperlink" Target="https://en.wikipedia.org/wiki/Roman_Catholic_Archdiocese_of_Seoul" TargetMode="External"/><Relationship Id="rId1138" Type="http://schemas.openxmlformats.org/officeDocument/2006/relationships/hyperlink" Target="https://en.wikipedia.org/wiki/Eug%C3%AAnio_de_Ara%C3%BAjo_Sales" TargetMode="External"/><Relationship Id="rId1139" Type="http://schemas.openxmlformats.org/officeDocument/2006/relationships/hyperlink" Target="https://en.wikipedia.org/wiki/Brazil" TargetMode="External"/><Relationship Id="rId305" Type="http://schemas.openxmlformats.org/officeDocument/2006/relationships/hyperlink" Target="https://en.wikipedia.org/wiki/Roman_Catholic_Archdiocese_of_Prague" TargetMode="External"/><Relationship Id="rId547" Type="http://schemas.openxmlformats.org/officeDocument/2006/relationships/hyperlink" Target="https://en.wikipedia.org/wiki/United_States" TargetMode="External"/><Relationship Id="rId789" Type="http://schemas.openxmlformats.org/officeDocument/2006/relationships/hyperlink" Target="https://en.wikipedia.org/wiki/Roman_Catholic_Archdiocese_of_Marseille" TargetMode="External"/><Relationship Id="rId304" Type="http://schemas.openxmlformats.org/officeDocument/2006/relationships/hyperlink" Target="https://en.wikipedia.org/wiki/Cardinal_priest" TargetMode="External"/><Relationship Id="rId546" Type="http://schemas.openxmlformats.org/officeDocument/2006/relationships/hyperlink" Target="https://en.wikipedia.org/wiki/Bernard_Francis_Law" TargetMode="External"/><Relationship Id="rId788" Type="http://schemas.openxmlformats.org/officeDocument/2006/relationships/hyperlink" Target="https://en.wikipedia.org/wiki/Cardinal_priest" TargetMode="External"/><Relationship Id="rId303" Type="http://schemas.openxmlformats.org/officeDocument/2006/relationships/hyperlink" Target="https://en.wikipedia.org/wiki/Czech_Republic" TargetMode="External"/><Relationship Id="rId545" Type="http://schemas.openxmlformats.org/officeDocument/2006/relationships/hyperlink" Target="https://en.wikipedia.org/wiki/Roman_Catholic_Archdiocese_of_Utrecht" TargetMode="External"/><Relationship Id="rId787" Type="http://schemas.openxmlformats.org/officeDocument/2006/relationships/hyperlink" Target="https://en.wikipedia.org/wiki/France" TargetMode="External"/><Relationship Id="rId302" Type="http://schemas.openxmlformats.org/officeDocument/2006/relationships/hyperlink" Target="https://en.wikipedia.org/wiki/Dominik_Duka" TargetMode="External"/><Relationship Id="rId544" Type="http://schemas.openxmlformats.org/officeDocument/2006/relationships/hyperlink" Target="https://en.wikipedia.org/wiki/Cardinal_priest" TargetMode="External"/><Relationship Id="rId786" Type="http://schemas.openxmlformats.org/officeDocument/2006/relationships/hyperlink" Target="https://en.wikipedia.org/wiki/Bernard_Panafieu" TargetMode="External"/><Relationship Id="rId309" Type="http://schemas.openxmlformats.org/officeDocument/2006/relationships/hyperlink" Target="https://en.wikipedia.org/wiki/Roman_Catholic_Archdiocese_of_Utrecht" TargetMode="External"/><Relationship Id="rId308" Type="http://schemas.openxmlformats.org/officeDocument/2006/relationships/hyperlink" Target="https://en.wikipedia.org/wiki/Cardinal_priest" TargetMode="External"/><Relationship Id="rId307" Type="http://schemas.openxmlformats.org/officeDocument/2006/relationships/hyperlink" Target="https://en.wikipedia.org/wiki/Netherlands" TargetMode="External"/><Relationship Id="rId549" Type="http://schemas.openxmlformats.org/officeDocument/2006/relationships/hyperlink" Target="https://en.wikipedia.org/wiki/Papal_Basilica_of_Saint_Mary_Major" TargetMode="External"/><Relationship Id="rId306" Type="http://schemas.openxmlformats.org/officeDocument/2006/relationships/hyperlink" Target="https://en.wikipedia.org/wiki/Willem_Jacobus_Eijk" TargetMode="External"/><Relationship Id="rId548" Type="http://schemas.openxmlformats.org/officeDocument/2006/relationships/hyperlink" Target="https://en.wikipedia.org/wiki/Cardinal_priest" TargetMode="External"/><Relationship Id="rId781" Type="http://schemas.openxmlformats.org/officeDocument/2006/relationships/hyperlink" Target="https://en.wikipedia.org/wiki/Patriarchate_of_Venice" TargetMode="External"/><Relationship Id="rId780" Type="http://schemas.openxmlformats.org/officeDocument/2006/relationships/hyperlink" Target="https://en.wikipedia.org/wiki/Cardinal_priest" TargetMode="External"/><Relationship Id="rId1130" Type="http://schemas.openxmlformats.org/officeDocument/2006/relationships/hyperlink" Target="https://en.wikipedia.org/wiki/Terence_James_Cooke" TargetMode="External"/><Relationship Id="rId1131" Type="http://schemas.openxmlformats.org/officeDocument/2006/relationships/hyperlink" Target="https://en.wikipedia.org/wiki/United_States" TargetMode="External"/><Relationship Id="rId301" Type="http://schemas.openxmlformats.org/officeDocument/2006/relationships/hyperlink" Target="https://en.wikipedia.org/wiki/Roman_Catholic_Archdiocese_of_Toronto" TargetMode="External"/><Relationship Id="rId543" Type="http://schemas.openxmlformats.org/officeDocument/2006/relationships/hyperlink" Target="https://en.wikipedia.org/wiki/Netherlands" TargetMode="External"/><Relationship Id="rId785" Type="http://schemas.openxmlformats.org/officeDocument/2006/relationships/hyperlink" Target="https://en.wikipedia.org/wiki/Roman_Catholic_Archdiocese_of_Lagos" TargetMode="External"/><Relationship Id="rId1132" Type="http://schemas.openxmlformats.org/officeDocument/2006/relationships/hyperlink" Target="https://en.wikipedia.org/wiki/Cardinal_priest" TargetMode="External"/><Relationship Id="rId300" Type="http://schemas.openxmlformats.org/officeDocument/2006/relationships/hyperlink" Target="https://en.wikipedia.org/wiki/Cardinal_priest" TargetMode="External"/><Relationship Id="rId542" Type="http://schemas.openxmlformats.org/officeDocument/2006/relationships/hyperlink" Target="https://en.wikipedia.org/wiki/Adrianus_Johannes_Simonis" TargetMode="External"/><Relationship Id="rId784" Type="http://schemas.openxmlformats.org/officeDocument/2006/relationships/hyperlink" Target="https://en.wikipedia.org/wiki/Cardinal_priest" TargetMode="External"/><Relationship Id="rId1133" Type="http://schemas.openxmlformats.org/officeDocument/2006/relationships/hyperlink" Target="https://en.wikipedia.org/wiki/Roman_Catholic_Archdiocese_of_New_York" TargetMode="External"/><Relationship Id="rId541" Type="http://schemas.openxmlformats.org/officeDocument/2006/relationships/hyperlink" Target="https://en.wikipedia.org/wiki/Roman_Catholic_Archdiocese_of_Munich_and_Freising" TargetMode="External"/><Relationship Id="rId783" Type="http://schemas.openxmlformats.org/officeDocument/2006/relationships/hyperlink" Target="https://en.wikipedia.org/wiki/Nigeria" TargetMode="External"/><Relationship Id="rId1134" Type="http://schemas.openxmlformats.org/officeDocument/2006/relationships/hyperlink" Target="https://en.wikipedia.org/wiki/Stephen_Kim_Sou-hwan" TargetMode="External"/><Relationship Id="rId540" Type="http://schemas.openxmlformats.org/officeDocument/2006/relationships/hyperlink" Target="https://en.wikipedia.org/wiki/Cardinal_priest" TargetMode="External"/><Relationship Id="rId782" Type="http://schemas.openxmlformats.org/officeDocument/2006/relationships/hyperlink" Target="https://en.wikipedia.org/wiki/Anthony_Olubunmi_Okogie" TargetMode="External"/><Relationship Id="rId1135" Type="http://schemas.openxmlformats.org/officeDocument/2006/relationships/hyperlink" Target="https://en.wikipedia.org/wiki/South_Korea" TargetMode="External"/><Relationship Id="rId1125" Type="http://schemas.openxmlformats.org/officeDocument/2006/relationships/hyperlink" Target="https://en.wikipedia.org/wiki/Roman_Catholic_Archdiocese_of_Bologna" TargetMode="External"/><Relationship Id="rId1367" Type="http://schemas.openxmlformats.org/officeDocument/2006/relationships/hyperlink" Target="https://en.wikipedia.org/wiki/Cardinal_deacon" TargetMode="External"/><Relationship Id="rId1126" Type="http://schemas.openxmlformats.org/officeDocument/2006/relationships/hyperlink" Target="https://en.wikipedia.org/wiki/John_Joseph_Carberry" TargetMode="External"/><Relationship Id="rId1368" Type="http://schemas.openxmlformats.org/officeDocument/2006/relationships/hyperlink" Target="https://en.wikipedia.org/wiki/Theologian_of_the_Pontifical_Household" TargetMode="External"/><Relationship Id="rId1127" Type="http://schemas.openxmlformats.org/officeDocument/2006/relationships/hyperlink" Target="https://en.wikipedia.org/wiki/United_States" TargetMode="External"/><Relationship Id="rId1369" Type="http://schemas.openxmlformats.org/officeDocument/2006/relationships/drawing" Target="../drawings/drawing6.xml"/><Relationship Id="rId1128" Type="http://schemas.openxmlformats.org/officeDocument/2006/relationships/hyperlink" Target="https://en.wikipedia.org/wiki/Cardinal_priest" TargetMode="External"/><Relationship Id="rId1129" Type="http://schemas.openxmlformats.org/officeDocument/2006/relationships/hyperlink" Target="https://en.wikipedia.org/wiki/Roman_Catholic_Archdiocese_of_St._Louis" TargetMode="External"/><Relationship Id="rId536" Type="http://schemas.openxmlformats.org/officeDocument/2006/relationships/hyperlink" Target="https://en.wikipedia.org/wiki/Cardinal_priest" TargetMode="External"/><Relationship Id="rId778" Type="http://schemas.openxmlformats.org/officeDocument/2006/relationships/hyperlink" Target="https://en.wikipedia.org/wiki/Angelo_Scola" TargetMode="External"/><Relationship Id="rId535" Type="http://schemas.openxmlformats.org/officeDocument/2006/relationships/hyperlink" Target="https://en.wikipedia.org/wiki/France" TargetMode="External"/><Relationship Id="rId777" Type="http://schemas.openxmlformats.org/officeDocument/2006/relationships/hyperlink" Target="https://en.wikipedia.org/wiki/Roman_Catholic_Diocese_of_Mainz" TargetMode="External"/><Relationship Id="rId534" Type="http://schemas.openxmlformats.org/officeDocument/2006/relationships/hyperlink" Target="https://en.wikipedia.org/wiki/Paul_Poupard" TargetMode="External"/><Relationship Id="rId776" Type="http://schemas.openxmlformats.org/officeDocument/2006/relationships/hyperlink" Target="https://en.wikipedia.org/wiki/Cardinal_priest" TargetMode="External"/><Relationship Id="rId533" Type="http://schemas.openxmlformats.org/officeDocument/2006/relationships/hyperlink" Target="https://en.wikipedia.org/wiki/Roman_Catholic_Archdiocese_of_Cebu" TargetMode="External"/><Relationship Id="rId775" Type="http://schemas.openxmlformats.org/officeDocument/2006/relationships/hyperlink" Target="https://en.wikipedia.org/wiki/Germany" TargetMode="External"/><Relationship Id="rId539" Type="http://schemas.openxmlformats.org/officeDocument/2006/relationships/hyperlink" Target="https://en.wikipedia.org/wiki/Germany" TargetMode="External"/><Relationship Id="rId538" Type="http://schemas.openxmlformats.org/officeDocument/2006/relationships/hyperlink" Target="https://en.wikipedia.org/wiki/Friedrich_Wetter" TargetMode="External"/><Relationship Id="rId537" Type="http://schemas.openxmlformats.org/officeDocument/2006/relationships/hyperlink" Target="https://en.wikipedia.org/wiki/Pontifical_Council_for_Culture" TargetMode="External"/><Relationship Id="rId779" Type="http://schemas.openxmlformats.org/officeDocument/2006/relationships/hyperlink" Target="https://en.wikipedia.org/wiki/Italy" TargetMode="External"/><Relationship Id="rId770" Type="http://schemas.openxmlformats.org/officeDocument/2006/relationships/hyperlink" Target="https://en.wikipedia.org/wiki/Lubomyr_Husar" TargetMode="External"/><Relationship Id="rId1360" Type="http://schemas.openxmlformats.org/officeDocument/2006/relationships/hyperlink" Target="https://en.wikipedia.org/wiki/Sacred_Congregation_for_the_Religious_and_Secular_Institutes" TargetMode="External"/><Relationship Id="rId1361" Type="http://schemas.openxmlformats.org/officeDocument/2006/relationships/hyperlink" Target="https://en.wikipedia.org/wiki/Bernardin_Gantin" TargetMode="External"/><Relationship Id="rId1120" Type="http://schemas.openxmlformats.org/officeDocument/2006/relationships/hyperlink" Target="https://en.wikipedia.org/wiki/Cardinal_priest" TargetMode="External"/><Relationship Id="rId1362" Type="http://schemas.openxmlformats.org/officeDocument/2006/relationships/hyperlink" Target="https://en.wikipedia.org/wiki/People%27s_Republic_of_Benin" TargetMode="External"/><Relationship Id="rId532" Type="http://schemas.openxmlformats.org/officeDocument/2006/relationships/hyperlink" Target="https://en.wikipedia.org/wiki/Cardinal_priest" TargetMode="External"/><Relationship Id="rId774" Type="http://schemas.openxmlformats.org/officeDocument/2006/relationships/hyperlink" Target="https://en.wikipedia.org/wiki/Karl_Lehmann" TargetMode="External"/><Relationship Id="rId1121" Type="http://schemas.openxmlformats.org/officeDocument/2006/relationships/hyperlink" Target="https://en.wikipedia.org/wiki/Roman_Catholic_Archdiocese_of_Quito" TargetMode="External"/><Relationship Id="rId1363" Type="http://schemas.openxmlformats.org/officeDocument/2006/relationships/hyperlink" Target="https://en.wikipedia.org/wiki/Cardinal_deacon" TargetMode="External"/><Relationship Id="rId531" Type="http://schemas.openxmlformats.org/officeDocument/2006/relationships/hyperlink" Target="https://en.wikipedia.org/wiki/Philippines" TargetMode="External"/><Relationship Id="rId773" Type="http://schemas.openxmlformats.org/officeDocument/2006/relationships/hyperlink" Target="https://en.wikipedia.org/wiki/Ukrainian_Catholic_Major_Archeparchy_of_Kyiv%E2%80%93Galicia" TargetMode="External"/><Relationship Id="rId1122" Type="http://schemas.openxmlformats.org/officeDocument/2006/relationships/hyperlink" Target="https://en.wikipedia.org/wiki/Antonio_Poma" TargetMode="External"/><Relationship Id="rId1364" Type="http://schemas.openxmlformats.org/officeDocument/2006/relationships/hyperlink" Target="https://en.wikipedia.org/wiki/Pontifical_Commission_for_Justice_and_Peace" TargetMode="External"/><Relationship Id="rId530" Type="http://schemas.openxmlformats.org/officeDocument/2006/relationships/hyperlink" Target="https://en.wikipedia.org/wiki/Ricardo_Jamin_Vidal" TargetMode="External"/><Relationship Id="rId772" Type="http://schemas.openxmlformats.org/officeDocument/2006/relationships/hyperlink" Target="https://en.wikipedia.org/wiki/Cardinal_priest" TargetMode="External"/><Relationship Id="rId1123" Type="http://schemas.openxmlformats.org/officeDocument/2006/relationships/hyperlink" Target="https://en.wikipedia.org/wiki/Italy" TargetMode="External"/><Relationship Id="rId1365" Type="http://schemas.openxmlformats.org/officeDocument/2006/relationships/hyperlink" Target="https://en.wikipedia.org/wiki/Mario_Luigi_Ciappi" TargetMode="External"/><Relationship Id="rId771" Type="http://schemas.openxmlformats.org/officeDocument/2006/relationships/hyperlink" Target="https://en.wikipedia.org/wiki/Ukraine" TargetMode="External"/><Relationship Id="rId1124" Type="http://schemas.openxmlformats.org/officeDocument/2006/relationships/hyperlink" Target="https://en.wikipedia.org/wiki/Cardinal_priest" TargetMode="External"/><Relationship Id="rId1366" Type="http://schemas.openxmlformats.org/officeDocument/2006/relationships/hyperlink" Target="https://en.wikipedia.org/wiki/Italy" TargetMode="External"/><Relationship Id="rId1158" Type="http://schemas.openxmlformats.org/officeDocument/2006/relationships/hyperlink" Target="https://en.wikipedia.org/wiki/Ant%C3%B3nio_Ribeiro" TargetMode="External"/><Relationship Id="rId1159" Type="http://schemas.openxmlformats.org/officeDocument/2006/relationships/hyperlink" Target="https://en.wikipedia.org/wiki/Portugal" TargetMode="External"/><Relationship Id="rId327" Type="http://schemas.openxmlformats.org/officeDocument/2006/relationships/hyperlink" Target="https://en.wikipedia.org/wiki/India" TargetMode="External"/><Relationship Id="rId569" Type="http://schemas.openxmlformats.org/officeDocument/2006/relationships/hyperlink" Target="https://en.wikipedia.org/wiki/Pontifical_Commission_for_Vatican_City_State" TargetMode="External"/><Relationship Id="rId326" Type="http://schemas.openxmlformats.org/officeDocument/2006/relationships/hyperlink" Target="https://en.wikipedia.org/wiki/Baselios_Cleemis_Thottunkal" TargetMode="External"/><Relationship Id="rId568" Type="http://schemas.openxmlformats.org/officeDocument/2006/relationships/hyperlink" Target="https://en.wikipedia.org/wiki/Cardinal_priest" TargetMode="External"/><Relationship Id="rId325" Type="http://schemas.openxmlformats.org/officeDocument/2006/relationships/hyperlink" Target="https://en.wikipedia.org/wiki/Roman_Catholic_Diocese_of_Hong_Kong" TargetMode="External"/><Relationship Id="rId567" Type="http://schemas.openxmlformats.org/officeDocument/2006/relationships/hyperlink" Target="https://en.wikipedia.org/wiki/United_States" TargetMode="External"/><Relationship Id="rId324" Type="http://schemas.openxmlformats.org/officeDocument/2006/relationships/hyperlink" Target="https://en.wikipedia.org/wiki/Cardinal_priest" TargetMode="External"/><Relationship Id="rId566" Type="http://schemas.openxmlformats.org/officeDocument/2006/relationships/hyperlink" Target="https://en.wikipedia.org/wiki/Edmund_Casimir_Szoka" TargetMode="External"/><Relationship Id="rId329" Type="http://schemas.openxmlformats.org/officeDocument/2006/relationships/hyperlink" Target="https://en.wikipedia.org/wiki/Syro-Malankara_Catholic_Major_Archeparchy_of_Trivandrum" TargetMode="External"/><Relationship Id="rId328" Type="http://schemas.openxmlformats.org/officeDocument/2006/relationships/hyperlink" Target="https://en.wikipedia.org/wiki/Cardinal_priest" TargetMode="External"/><Relationship Id="rId561" Type="http://schemas.openxmlformats.org/officeDocument/2006/relationships/hyperlink" Target="https://en.wikipedia.org/wiki/Roman_Catholic_Archdiocese_of_Bras%C3%ADlia" TargetMode="External"/><Relationship Id="rId1150" Type="http://schemas.openxmlformats.org/officeDocument/2006/relationships/hyperlink" Target="https://en.wikipedia.org/wiki/Johannes_Willebrands" TargetMode="External"/><Relationship Id="rId560" Type="http://schemas.openxmlformats.org/officeDocument/2006/relationships/hyperlink" Target="https://en.wikipedia.org/wiki/Cardinal_priest" TargetMode="External"/><Relationship Id="rId1151" Type="http://schemas.openxmlformats.org/officeDocument/2006/relationships/hyperlink" Target="https://en.wikipedia.org/wiki/Netherlands" TargetMode="External"/><Relationship Id="rId1152" Type="http://schemas.openxmlformats.org/officeDocument/2006/relationships/hyperlink" Target="https://en.wikipedia.org/wiki/Cardinal_priest" TargetMode="External"/><Relationship Id="rId1153" Type="http://schemas.openxmlformats.org/officeDocument/2006/relationships/hyperlink" Target="https://en.wikipedia.org/wiki/Roman_Catholic_Archdiocese_of_Utrecht" TargetMode="External"/><Relationship Id="rId323" Type="http://schemas.openxmlformats.org/officeDocument/2006/relationships/hyperlink" Target="https://en.wikipedia.org/wiki/China" TargetMode="External"/><Relationship Id="rId565" Type="http://schemas.openxmlformats.org/officeDocument/2006/relationships/hyperlink" Target="https://en.wikipedia.org/wiki/Roman_Catholic_Archdiocese_of_Naples" TargetMode="External"/><Relationship Id="rId1154" Type="http://schemas.openxmlformats.org/officeDocument/2006/relationships/hyperlink" Target="https://en.wikipedia.org/wiki/Albino_Luciani" TargetMode="External"/><Relationship Id="rId322" Type="http://schemas.openxmlformats.org/officeDocument/2006/relationships/hyperlink" Target="https://en.wikipedia.org/wiki/John_Tong_Hon" TargetMode="External"/><Relationship Id="rId564" Type="http://schemas.openxmlformats.org/officeDocument/2006/relationships/hyperlink" Target="https://en.wikipedia.org/wiki/Cardinal_priest" TargetMode="External"/><Relationship Id="rId1155" Type="http://schemas.openxmlformats.org/officeDocument/2006/relationships/hyperlink" Target="https://en.wikipedia.org/wiki/Italy" TargetMode="External"/><Relationship Id="rId321" Type="http://schemas.openxmlformats.org/officeDocument/2006/relationships/hyperlink" Target="https://en.wikipedia.org/wiki/Roman_Catholic_Archdiocese_of_Berlin" TargetMode="External"/><Relationship Id="rId563" Type="http://schemas.openxmlformats.org/officeDocument/2006/relationships/hyperlink" Target="https://en.wikipedia.org/wiki/Italy" TargetMode="External"/><Relationship Id="rId1156" Type="http://schemas.openxmlformats.org/officeDocument/2006/relationships/hyperlink" Target="https://en.wikipedia.org/wiki/Cardinal_priest" TargetMode="External"/><Relationship Id="rId320" Type="http://schemas.openxmlformats.org/officeDocument/2006/relationships/hyperlink" Target="https://en.wikipedia.org/wiki/Cardinal_priest" TargetMode="External"/><Relationship Id="rId562" Type="http://schemas.openxmlformats.org/officeDocument/2006/relationships/hyperlink" Target="https://en.wikipedia.org/wiki/Michele_Giordano" TargetMode="External"/><Relationship Id="rId1157" Type="http://schemas.openxmlformats.org/officeDocument/2006/relationships/hyperlink" Target="https://en.wikipedia.org/wiki/Patriarchate_of_Venice" TargetMode="External"/><Relationship Id="rId1147" Type="http://schemas.openxmlformats.org/officeDocument/2006/relationships/hyperlink" Target="https://en.wikipedia.org/wiki/United_States" TargetMode="External"/><Relationship Id="rId1148" Type="http://schemas.openxmlformats.org/officeDocument/2006/relationships/hyperlink" Target="https://en.wikipedia.org/wiki/Cardinal_priest" TargetMode="External"/><Relationship Id="rId1149" Type="http://schemas.openxmlformats.org/officeDocument/2006/relationships/hyperlink" Target="https://en.wikipedia.org/wiki/Sacred_Congregation_for_the_Clergy" TargetMode="External"/><Relationship Id="rId316" Type="http://schemas.openxmlformats.org/officeDocument/2006/relationships/hyperlink" Target="https://en.wikipedia.org/wiki/Cardinal_priest" TargetMode="External"/><Relationship Id="rId558" Type="http://schemas.openxmlformats.org/officeDocument/2006/relationships/hyperlink" Target="https://en.wikipedia.org/wiki/Jos%C3%A9_Freire_Falc%C3%A3o" TargetMode="External"/><Relationship Id="rId315" Type="http://schemas.openxmlformats.org/officeDocument/2006/relationships/hyperlink" Target="https://en.wikipedia.org/wiki/United_States" TargetMode="External"/><Relationship Id="rId557" Type="http://schemas.openxmlformats.org/officeDocument/2006/relationships/hyperlink" Target="https://en.wikipedia.org/wiki/Congregation_for_Institutes_of_Consecrated_Life_and_Societies_of_Apostolic_Life" TargetMode="External"/><Relationship Id="rId799" Type="http://schemas.openxmlformats.org/officeDocument/2006/relationships/hyperlink" Target="https://en.wikipedia.org/wiki/United_States" TargetMode="External"/><Relationship Id="rId314" Type="http://schemas.openxmlformats.org/officeDocument/2006/relationships/hyperlink" Target="https://en.wikipedia.org/wiki/Timothy_Michael_Dolan" TargetMode="External"/><Relationship Id="rId556" Type="http://schemas.openxmlformats.org/officeDocument/2006/relationships/hyperlink" Target="https://en.wikipedia.org/wiki/Cardinal_priest" TargetMode="External"/><Relationship Id="rId798" Type="http://schemas.openxmlformats.org/officeDocument/2006/relationships/hyperlink" Target="https://en.wikipedia.org/wiki/Justin_Francis_Rigali" TargetMode="External"/><Relationship Id="rId313" Type="http://schemas.openxmlformats.org/officeDocument/2006/relationships/hyperlink" Target="https://en.wikipedia.org/wiki/Roman_Catholic_Archdiocese_of_Florence" TargetMode="External"/><Relationship Id="rId555" Type="http://schemas.openxmlformats.org/officeDocument/2006/relationships/hyperlink" Target="https://en.wikipedia.org/wiki/Spain" TargetMode="External"/><Relationship Id="rId797" Type="http://schemas.openxmlformats.org/officeDocument/2006/relationships/hyperlink" Target="https://en.wikipedia.org/wiki/Roman_Catholic_Archdiocese_of_Seville" TargetMode="External"/><Relationship Id="rId319" Type="http://schemas.openxmlformats.org/officeDocument/2006/relationships/hyperlink" Target="https://en.wikipedia.org/wiki/Germany" TargetMode="External"/><Relationship Id="rId318" Type="http://schemas.openxmlformats.org/officeDocument/2006/relationships/hyperlink" Target="https://en.wikipedia.org/wiki/Rainer_Maria_Woelki" TargetMode="External"/><Relationship Id="rId317" Type="http://schemas.openxmlformats.org/officeDocument/2006/relationships/hyperlink" Target="https://en.wikipedia.org/wiki/Roman_Catholic_Archdiocese_of_New_York" TargetMode="External"/><Relationship Id="rId559" Type="http://schemas.openxmlformats.org/officeDocument/2006/relationships/hyperlink" Target="https://en.wikipedia.org/wiki/Brazil" TargetMode="External"/><Relationship Id="rId550" Type="http://schemas.openxmlformats.org/officeDocument/2006/relationships/hyperlink" Target="https://en.wikipedia.org/wiki/Giacomo_Biffi" TargetMode="External"/><Relationship Id="rId792" Type="http://schemas.openxmlformats.org/officeDocument/2006/relationships/hyperlink" Target="https://en.wikipedia.org/wiki/Cardinal_priest" TargetMode="External"/><Relationship Id="rId791" Type="http://schemas.openxmlformats.org/officeDocument/2006/relationships/hyperlink" Target="https://en.wikipedia.org/wiki/Republic_of_Sudan_(1985%E2%80%932019)" TargetMode="External"/><Relationship Id="rId1140" Type="http://schemas.openxmlformats.org/officeDocument/2006/relationships/hyperlink" Target="https://en.wikipedia.org/wiki/Cardinal_priest" TargetMode="External"/><Relationship Id="rId790" Type="http://schemas.openxmlformats.org/officeDocument/2006/relationships/hyperlink" Target="https://en.wikipedia.org/wiki/Gabriel_Zubeir_Wako" TargetMode="External"/><Relationship Id="rId1141" Type="http://schemas.openxmlformats.org/officeDocument/2006/relationships/hyperlink" Target="https://en.wikipedia.org/wiki/Roman_Catholic_Archdiocese_of_S%C3%A3o_Sebasti%C3%A3o_do_Rio_de_Janeiro" TargetMode="External"/><Relationship Id="rId1142" Type="http://schemas.openxmlformats.org/officeDocument/2006/relationships/hyperlink" Target="https://en.wikipedia.org/wiki/Joseph_H%C3%B6ffner" TargetMode="External"/><Relationship Id="rId312" Type="http://schemas.openxmlformats.org/officeDocument/2006/relationships/hyperlink" Target="https://en.wikipedia.org/wiki/Cardinal_priest" TargetMode="External"/><Relationship Id="rId554" Type="http://schemas.openxmlformats.org/officeDocument/2006/relationships/hyperlink" Target="https://en.wikipedia.org/wiki/Eduardo_Mart%C3%ADnez_Somalo" TargetMode="External"/><Relationship Id="rId796" Type="http://schemas.openxmlformats.org/officeDocument/2006/relationships/hyperlink" Target="https://en.wikipedia.org/wiki/Cardinal_priest" TargetMode="External"/><Relationship Id="rId1143" Type="http://schemas.openxmlformats.org/officeDocument/2006/relationships/hyperlink" Target="https://en.wikipedia.org/wiki/West_Germany" TargetMode="External"/><Relationship Id="rId311" Type="http://schemas.openxmlformats.org/officeDocument/2006/relationships/hyperlink" Target="https://en.wikipedia.org/wiki/Italy" TargetMode="External"/><Relationship Id="rId553" Type="http://schemas.openxmlformats.org/officeDocument/2006/relationships/hyperlink" Target="https://en.wikipedia.org/wiki/Roman_Catholic_Archdiocese_of_Bologna" TargetMode="External"/><Relationship Id="rId795" Type="http://schemas.openxmlformats.org/officeDocument/2006/relationships/hyperlink" Target="https://en.wikipedia.org/wiki/Spain" TargetMode="External"/><Relationship Id="rId1144" Type="http://schemas.openxmlformats.org/officeDocument/2006/relationships/hyperlink" Target="https://en.wikipedia.org/wiki/Cardinal_priest" TargetMode="External"/><Relationship Id="rId310" Type="http://schemas.openxmlformats.org/officeDocument/2006/relationships/hyperlink" Target="https://en.wikipedia.org/wiki/Giuseppe_Betori" TargetMode="External"/><Relationship Id="rId552" Type="http://schemas.openxmlformats.org/officeDocument/2006/relationships/hyperlink" Target="https://en.wikipedia.org/wiki/Cardinal_priest" TargetMode="External"/><Relationship Id="rId794" Type="http://schemas.openxmlformats.org/officeDocument/2006/relationships/hyperlink" Target="https://en.wikipedia.org/wiki/Carlos_Amigo_Vallejo" TargetMode="External"/><Relationship Id="rId1145" Type="http://schemas.openxmlformats.org/officeDocument/2006/relationships/hyperlink" Target="https://en.wikipedia.org/wiki/Roman_Catholic_Archdiocese_of_Cologne" TargetMode="External"/><Relationship Id="rId551" Type="http://schemas.openxmlformats.org/officeDocument/2006/relationships/hyperlink" Target="https://en.wikipedia.org/wiki/Italy" TargetMode="External"/><Relationship Id="rId793" Type="http://schemas.openxmlformats.org/officeDocument/2006/relationships/hyperlink" Target="https://en.wikipedia.org/wiki/Roman_Catholic_Archdiocese_of_Khartoum" TargetMode="External"/><Relationship Id="rId1146" Type="http://schemas.openxmlformats.org/officeDocument/2006/relationships/hyperlink" Target="https://en.wikipedia.org/wiki/John_Joseph_Wright" TargetMode="External"/><Relationship Id="rId297" Type="http://schemas.openxmlformats.org/officeDocument/2006/relationships/hyperlink" Target="https://en.wikipedia.org/wiki/Syro-Malabar_Catholic_Major_Archeparchy_of_Ernakulam%E2%80%93Angamaly" TargetMode="External"/><Relationship Id="rId296" Type="http://schemas.openxmlformats.org/officeDocument/2006/relationships/hyperlink" Target="https://en.wikipedia.org/wiki/Cardinal_priest" TargetMode="External"/><Relationship Id="rId295" Type="http://schemas.openxmlformats.org/officeDocument/2006/relationships/hyperlink" Target="https://en.wikipedia.org/wiki/India" TargetMode="External"/><Relationship Id="rId294" Type="http://schemas.openxmlformats.org/officeDocument/2006/relationships/hyperlink" Target="https://en.wikipedia.org/wiki/George_Alencherry" TargetMode="External"/><Relationship Id="rId299" Type="http://schemas.openxmlformats.org/officeDocument/2006/relationships/hyperlink" Target="https://en.wikipedia.org/wiki/Canada" TargetMode="External"/><Relationship Id="rId298" Type="http://schemas.openxmlformats.org/officeDocument/2006/relationships/hyperlink" Target="https://en.wikipedia.org/wiki/Thomas_Christopher_Collins" TargetMode="External"/><Relationship Id="rId271" Type="http://schemas.openxmlformats.org/officeDocument/2006/relationships/hyperlink" Target="https://en.wikipedia.org/wiki/Italy" TargetMode="External"/><Relationship Id="rId270" Type="http://schemas.openxmlformats.org/officeDocument/2006/relationships/hyperlink" Target="https://en.wikipedia.org/wiki/Paolo_Romeo" TargetMode="External"/><Relationship Id="rId269" Type="http://schemas.openxmlformats.org/officeDocument/2006/relationships/hyperlink" Target="https://en.wikipedia.org/wiki/Roman_Catholic_Archdiocese_of_Kinshasa" TargetMode="External"/><Relationship Id="rId264" Type="http://schemas.openxmlformats.org/officeDocument/2006/relationships/hyperlink" Target="https://en.wikipedia.org/wiki/Cardinal_priest" TargetMode="External"/><Relationship Id="rId263" Type="http://schemas.openxmlformats.org/officeDocument/2006/relationships/hyperlink" Target="https://en.wikipedia.org/wiki/Ecuador" TargetMode="External"/><Relationship Id="rId262" Type="http://schemas.openxmlformats.org/officeDocument/2006/relationships/hyperlink" Target="https://en.wikipedia.org/wiki/Ra%C3%BAl_Eduardo_Vela_Chiriboga" TargetMode="External"/><Relationship Id="rId261" Type="http://schemas.openxmlformats.org/officeDocument/2006/relationships/hyperlink" Target="https://en.wikipedia.org/wiki/Roman_Catholic_Archdiocese_of_Nairobi" TargetMode="External"/><Relationship Id="rId268" Type="http://schemas.openxmlformats.org/officeDocument/2006/relationships/hyperlink" Target="https://en.wikipedia.org/wiki/Cardinal_priest" TargetMode="External"/><Relationship Id="rId267" Type="http://schemas.openxmlformats.org/officeDocument/2006/relationships/hyperlink" Target="https://en.wikipedia.org/wiki/Democratic_Republic_of_the_Congo" TargetMode="External"/><Relationship Id="rId266" Type="http://schemas.openxmlformats.org/officeDocument/2006/relationships/hyperlink" Target="https://en.wikipedia.org/wiki/Laurent_Monsengwo_Pasinya" TargetMode="External"/><Relationship Id="rId265" Type="http://schemas.openxmlformats.org/officeDocument/2006/relationships/hyperlink" Target="https://en.wikipedia.org/wiki/Roman_Catholic_Archdiocese_of_Quito" TargetMode="External"/><Relationship Id="rId260" Type="http://schemas.openxmlformats.org/officeDocument/2006/relationships/hyperlink" Target="https://en.wikipedia.org/wiki/Cardinal_priest" TargetMode="External"/><Relationship Id="rId259" Type="http://schemas.openxmlformats.org/officeDocument/2006/relationships/hyperlink" Target="https://en.wikipedia.org/wiki/Cardinal_electors_in_the_2013_papal_conclave" TargetMode="External"/><Relationship Id="rId258" Type="http://schemas.openxmlformats.org/officeDocument/2006/relationships/hyperlink" Target="https://en.wikipedia.org/wiki/Kenya" TargetMode="External"/><Relationship Id="rId253" Type="http://schemas.openxmlformats.org/officeDocument/2006/relationships/hyperlink" Target="https://en.wikipedia.org/wiki/Odilo_Pedro_Scherer" TargetMode="External"/><Relationship Id="rId495" Type="http://schemas.openxmlformats.org/officeDocument/2006/relationships/hyperlink" Target="https://en.wikipedia.org/wiki/Thailand" TargetMode="External"/><Relationship Id="rId252" Type="http://schemas.openxmlformats.org/officeDocument/2006/relationships/hyperlink" Target="https://en.wikipedia.org/wiki/Roman_Catholic_Archdiocese_of_Galveston%E2%80%93Houston" TargetMode="External"/><Relationship Id="rId494" Type="http://schemas.openxmlformats.org/officeDocument/2006/relationships/hyperlink" Target="https://en.wikipedia.org/wiki/Michael_Michai_Kitbunchu" TargetMode="External"/><Relationship Id="rId251" Type="http://schemas.openxmlformats.org/officeDocument/2006/relationships/hyperlink" Target="https://en.wikipedia.org/wiki/Cardinal_priest" TargetMode="External"/><Relationship Id="rId493" Type="http://schemas.openxmlformats.org/officeDocument/2006/relationships/hyperlink" Target="https://en.wikipedia.org/wiki/Roman_Catholic_Archdiocese_of_Krak%C3%B3w" TargetMode="External"/><Relationship Id="rId250" Type="http://schemas.openxmlformats.org/officeDocument/2006/relationships/hyperlink" Target="https://en.wikipedia.org/wiki/United_States" TargetMode="External"/><Relationship Id="rId492" Type="http://schemas.openxmlformats.org/officeDocument/2006/relationships/hyperlink" Target="https://en.wikipedia.org/wiki/Cardinal_priest" TargetMode="External"/><Relationship Id="rId257" Type="http://schemas.openxmlformats.org/officeDocument/2006/relationships/hyperlink" Target="https://en.wikipedia.org/wiki/John_Njue" TargetMode="External"/><Relationship Id="rId499" Type="http://schemas.openxmlformats.org/officeDocument/2006/relationships/hyperlink" Target="https://en.wikipedia.org/wiki/Belgium" TargetMode="External"/><Relationship Id="rId256" Type="http://schemas.openxmlformats.org/officeDocument/2006/relationships/hyperlink" Target="https://en.wikipedia.org/wiki/Roman_Catholic_Archdiocese_of_S%C3%A3o_Paulo" TargetMode="External"/><Relationship Id="rId498" Type="http://schemas.openxmlformats.org/officeDocument/2006/relationships/hyperlink" Target="https://en.wikipedia.org/wiki/Godfried_Danneels" TargetMode="External"/><Relationship Id="rId255" Type="http://schemas.openxmlformats.org/officeDocument/2006/relationships/hyperlink" Target="https://en.wikipedia.org/wiki/Cardinal_priest" TargetMode="External"/><Relationship Id="rId497" Type="http://schemas.openxmlformats.org/officeDocument/2006/relationships/hyperlink" Target="https://en.wikipedia.org/wiki/Roman_Catholic_Archdiocese_of_Bangkok" TargetMode="External"/><Relationship Id="rId254" Type="http://schemas.openxmlformats.org/officeDocument/2006/relationships/hyperlink" Target="https://en.wikipedia.org/wiki/Brazil" TargetMode="External"/><Relationship Id="rId496" Type="http://schemas.openxmlformats.org/officeDocument/2006/relationships/hyperlink" Target="https://en.wikipedia.org/wiki/Cardinal_priest" TargetMode="External"/><Relationship Id="rId293" Type="http://schemas.openxmlformats.org/officeDocument/2006/relationships/hyperlink" Target="https://en.wikipedia.org/wiki/Roman_Catholic_Archdiocese_of_Munich_and_Freising" TargetMode="External"/><Relationship Id="rId292" Type="http://schemas.openxmlformats.org/officeDocument/2006/relationships/hyperlink" Target="https://en.wikipedia.org/wiki/Cardinal_priest" TargetMode="External"/><Relationship Id="rId291" Type="http://schemas.openxmlformats.org/officeDocument/2006/relationships/hyperlink" Target="https://en.wikipedia.org/wiki/Germany" TargetMode="External"/><Relationship Id="rId290" Type="http://schemas.openxmlformats.org/officeDocument/2006/relationships/hyperlink" Target="https://en.wikipedia.org/wiki/Reinhard_Marx" TargetMode="External"/><Relationship Id="rId286" Type="http://schemas.openxmlformats.org/officeDocument/2006/relationships/hyperlink" Target="https://en.wikipedia.org/wiki/Albert_Malcolm_Ranjith_Patabendige_Don" TargetMode="External"/><Relationship Id="rId285" Type="http://schemas.openxmlformats.org/officeDocument/2006/relationships/hyperlink" Target="https://en.wikipedia.org/wiki/Roman_Catholic_Archdiocese_of_Warsaw" TargetMode="External"/><Relationship Id="rId284" Type="http://schemas.openxmlformats.org/officeDocument/2006/relationships/hyperlink" Target="https://en.wikipedia.org/wiki/Cardinal_priest" TargetMode="External"/><Relationship Id="rId283" Type="http://schemas.openxmlformats.org/officeDocument/2006/relationships/hyperlink" Target="https://en.wikipedia.org/wiki/Poland" TargetMode="External"/><Relationship Id="rId289" Type="http://schemas.openxmlformats.org/officeDocument/2006/relationships/hyperlink" Target="https://en.wikipedia.org/wiki/Roman_Catholic_Archdiocese_of_Colombo" TargetMode="External"/><Relationship Id="rId288" Type="http://schemas.openxmlformats.org/officeDocument/2006/relationships/hyperlink" Target="https://en.wikipedia.org/wiki/Cardinal_priest" TargetMode="External"/><Relationship Id="rId287" Type="http://schemas.openxmlformats.org/officeDocument/2006/relationships/hyperlink" Target="https://en.wikipedia.org/wiki/Sri_Lanka" TargetMode="External"/><Relationship Id="rId282" Type="http://schemas.openxmlformats.org/officeDocument/2006/relationships/hyperlink" Target="https://en.wikipedia.org/wiki/Kazimierz_Nycz" TargetMode="External"/><Relationship Id="rId281" Type="http://schemas.openxmlformats.org/officeDocument/2006/relationships/hyperlink" Target="https://en.wikipedia.org/wiki/Roman_Catholic_Archdiocese_of_Aparecida" TargetMode="External"/><Relationship Id="rId280" Type="http://schemas.openxmlformats.org/officeDocument/2006/relationships/hyperlink" Target="https://en.wikipedia.org/wiki/Cardinal_priest" TargetMode="External"/><Relationship Id="rId275" Type="http://schemas.openxmlformats.org/officeDocument/2006/relationships/hyperlink" Target="https://en.wikipedia.org/wiki/United_States" TargetMode="External"/><Relationship Id="rId274" Type="http://schemas.openxmlformats.org/officeDocument/2006/relationships/hyperlink" Target="https://en.wikipedia.org/wiki/Donald_William_Wuerl" TargetMode="External"/><Relationship Id="rId273" Type="http://schemas.openxmlformats.org/officeDocument/2006/relationships/hyperlink" Target="https://en.wikipedia.org/wiki/Roman_Catholic_Archdiocese_of_Palermo" TargetMode="External"/><Relationship Id="rId272" Type="http://schemas.openxmlformats.org/officeDocument/2006/relationships/hyperlink" Target="https://en.wikipedia.org/wiki/Cardinal_priest" TargetMode="External"/><Relationship Id="rId279" Type="http://schemas.openxmlformats.org/officeDocument/2006/relationships/hyperlink" Target="https://en.wikipedia.org/wiki/Brazil" TargetMode="External"/><Relationship Id="rId278" Type="http://schemas.openxmlformats.org/officeDocument/2006/relationships/hyperlink" Target="https://en.wikipedia.org/wiki/Raymundo_Damasceno_Assis" TargetMode="External"/><Relationship Id="rId277" Type="http://schemas.openxmlformats.org/officeDocument/2006/relationships/hyperlink" Target="https://en.wikipedia.org/wiki/Roman_Catholic_Archdiocese_of_Washington" TargetMode="External"/><Relationship Id="rId276" Type="http://schemas.openxmlformats.org/officeDocument/2006/relationships/hyperlink" Target="https://en.wikipedia.org/wiki/Cardinal_priest" TargetMode="External"/><Relationship Id="rId907" Type="http://schemas.openxmlformats.org/officeDocument/2006/relationships/hyperlink" Target="https://en.wikipedia.org/wiki/Spain" TargetMode="External"/><Relationship Id="rId906" Type="http://schemas.openxmlformats.org/officeDocument/2006/relationships/hyperlink" Target="https://en.wikipedia.org/wiki/Juli%C3%A1n_Herranz_Casado" TargetMode="External"/><Relationship Id="rId905" Type="http://schemas.openxmlformats.org/officeDocument/2006/relationships/hyperlink" Target="https://en.wikipedia.org/wiki/Papal_Basilica_of_Saint_Peter" TargetMode="External"/><Relationship Id="rId904" Type="http://schemas.openxmlformats.org/officeDocument/2006/relationships/hyperlink" Target="https://en.wikipedia.org/wiki/Cardinal_deacon" TargetMode="External"/><Relationship Id="rId909" Type="http://schemas.openxmlformats.org/officeDocument/2006/relationships/hyperlink" Target="https://en.wikipedia.org/wiki/Pontifical_Council_for_Legislative_Texts" TargetMode="External"/><Relationship Id="rId908" Type="http://schemas.openxmlformats.org/officeDocument/2006/relationships/hyperlink" Target="https://en.wikipedia.org/wiki/Cardinal_deacon" TargetMode="External"/><Relationship Id="rId903" Type="http://schemas.openxmlformats.org/officeDocument/2006/relationships/hyperlink" Target="https://en.wikipedia.org/wiki/Italy" TargetMode="External"/><Relationship Id="rId902" Type="http://schemas.openxmlformats.org/officeDocument/2006/relationships/hyperlink" Target="https://en.wikipedia.org/wiki/Francesco_Marchisano" TargetMode="External"/><Relationship Id="rId901" Type="http://schemas.openxmlformats.org/officeDocument/2006/relationships/hyperlink" Target="https://en.wikipedia.org/wiki/Pontifical_Council_for_Justice_and_Peace" TargetMode="External"/><Relationship Id="rId900" Type="http://schemas.openxmlformats.org/officeDocument/2006/relationships/hyperlink" Target="https://en.wikipedia.org/wiki/Cardinal_deacon" TargetMode="External"/><Relationship Id="rId929" Type="http://schemas.openxmlformats.org/officeDocument/2006/relationships/hyperlink" Target="https://en.wikipedia.org/wiki/Archivist_and_Librarian_of_the_Holy_Roman_Church" TargetMode="External"/><Relationship Id="rId928" Type="http://schemas.openxmlformats.org/officeDocument/2006/relationships/hyperlink" Target="https://en.wikipedia.org/wiki/Cardinal_bishop" TargetMode="External"/><Relationship Id="rId927" Type="http://schemas.openxmlformats.org/officeDocument/2006/relationships/hyperlink" Target="https://en.wikipedia.org/wiki/Italy" TargetMode="External"/><Relationship Id="rId926" Type="http://schemas.openxmlformats.org/officeDocument/2006/relationships/hyperlink" Target="https://en.wikipedia.org/wiki/Antonio_Samor%C3%A8" TargetMode="External"/><Relationship Id="rId921" Type="http://schemas.openxmlformats.org/officeDocument/2006/relationships/hyperlink" Target="https://en.wikipedia.org/wiki/Administration_of_the_Patrimony_of_the_Apostolic_See" TargetMode="External"/><Relationship Id="rId920" Type="http://schemas.openxmlformats.org/officeDocument/2006/relationships/hyperlink" Target="https://en.wikipedia.org/wiki/Cardinal_deacon" TargetMode="External"/><Relationship Id="rId925" Type="http://schemas.openxmlformats.org/officeDocument/2006/relationships/hyperlink" Target="https://en.wikipedia.org/wiki/Cardinal_Secretary_of_State" TargetMode="External"/><Relationship Id="rId924" Type="http://schemas.openxmlformats.org/officeDocument/2006/relationships/hyperlink" Target="https://en.wikipedia.org/wiki/Cardinal_bishop" TargetMode="External"/><Relationship Id="rId923" Type="http://schemas.openxmlformats.org/officeDocument/2006/relationships/hyperlink" Target="https://en.wikipedia.org/wiki/France" TargetMode="External"/><Relationship Id="rId922" Type="http://schemas.openxmlformats.org/officeDocument/2006/relationships/hyperlink" Target="https://en.wikipedia.org/wiki/Jean-Marie_Villot" TargetMode="External"/><Relationship Id="rId918" Type="http://schemas.openxmlformats.org/officeDocument/2006/relationships/hyperlink" Target="https://en.wikipedia.org/wiki/Attilio_Nicora" TargetMode="External"/><Relationship Id="rId917" Type="http://schemas.openxmlformats.org/officeDocument/2006/relationships/hyperlink" Target="https://en.wikipedia.org/wiki/Pontifical_Council_for_the_Pastoral_Care_of_Migrants_and_Itinerant_People" TargetMode="External"/><Relationship Id="rId916" Type="http://schemas.openxmlformats.org/officeDocument/2006/relationships/hyperlink" Target="https://en.wikipedia.org/wiki/Cardinal_deacon" TargetMode="External"/><Relationship Id="rId915" Type="http://schemas.openxmlformats.org/officeDocument/2006/relationships/hyperlink" Target="https://en.wikipedia.org/wiki/Japan" TargetMode="External"/><Relationship Id="rId919" Type="http://schemas.openxmlformats.org/officeDocument/2006/relationships/hyperlink" Target="https://en.wikipedia.org/wiki/Italy" TargetMode="External"/><Relationship Id="rId910" Type="http://schemas.openxmlformats.org/officeDocument/2006/relationships/hyperlink" Target="https://en.wikipedia.org/wiki/Javier_Lozano_Barrag%C3%A1n" TargetMode="External"/><Relationship Id="rId914" Type="http://schemas.openxmlformats.org/officeDocument/2006/relationships/hyperlink" Target="https://en.wikipedia.org/wiki/Stephen_Fumio_Hamao" TargetMode="External"/><Relationship Id="rId913" Type="http://schemas.openxmlformats.org/officeDocument/2006/relationships/hyperlink" Target="https://en.wikipedia.org/wiki/Pontifical_Council_for_the_Pastoral_Care_of_Health_Care_Workers" TargetMode="External"/><Relationship Id="rId912" Type="http://schemas.openxmlformats.org/officeDocument/2006/relationships/hyperlink" Target="https://en.wikipedia.org/wiki/Cardinal_deacon" TargetMode="External"/><Relationship Id="rId911" Type="http://schemas.openxmlformats.org/officeDocument/2006/relationships/hyperlink" Target="https://en.wikipedia.org/wiki/Mexico" TargetMode="External"/><Relationship Id="rId1213" Type="http://schemas.openxmlformats.org/officeDocument/2006/relationships/hyperlink" Target="https://en.wikipedia.org/wiki/Roman_Catholic_Archdiocese_of_Guadalajara" TargetMode="External"/><Relationship Id="rId1214" Type="http://schemas.openxmlformats.org/officeDocument/2006/relationships/hyperlink" Target="https://en.wikipedia.org/wiki/Humberto_Sousa_Medeiros" TargetMode="External"/><Relationship Id="rId1215" Type="http://schemas.openxmlformats.org/officeDocument/2006/relationships/hyperlink" Target="https://en.wikipedia.org/wiki/United_States" TargetMode="External"/><Relationship Id="rId1216" Type="http://schemas.openxmlformats.org/officeDocument/2006/relationships/hyperlink" Target="https://en.wikipedia.org/wiki/Cardinal_priest" TargetMode="External"/><Relationship Id="rId1217" Type="http://schemas.openxmlformats.org/officeDocument/2006/relationships/hyperlink" Target="https://en.wikipedia.org/wiki/Roman_Catholic_Archdiocese_of_Boston" TargetMode="External"/><Relationship Id="rId1218" Type="http://schemas.openxmlformats.org/officeDocument/2006/relationships/hyperlink" Target="https://en.wikipedia.org/wiki/Paulo_Evaristo_Arns" TargetMode="External"/><Relationship Id="rId1219" Type="http://schemas.openxmlformats.org/officeDocument/2006/relationships/hyperlink" Target="https://en.wikipedia.org/wiki/Brazil" TargetMode="External"/><Relationship Id="rId629" Type="http://schemas.openxmlformats.org/officeDocument/2006/relationships/hyperlink" Target="https://en.wikipedia.org/wiki/Roman_Catholic_Archdiocese_of_Montreal" TargetMode="External"/><Relationship Id="rId624" Type="http://schemas.openxmlformats.org/officeDocument/2006/relationships/hyperlink" Target="https://en.wikipedia.org/wiki/Cardinal_priest" TargetMode="External"/><Relationship Id="rId866" Type="http://schemas.openxmlformats.org/officeDocument/2006/relationships/hyperlink" Target="https://en.wikipedia.org/wiki/Agostino_Cacciavillan" TargetMode="External"/><Relationship Id="rId623" Type="http://schemas.openxmlformats.org/officeDocument/2006/relationships/hyperlink" Target="https://en.wikipedia.org/wiki/United_States" TargetMode="External"/><Relationship Id="rId865" Type="http://schemas.openxmlformats.org/officeDocument/2006/relationships/hyperlink" Target="https://en.wikipedia.org/wiki/Apostolic_Penitentiary" TargetMode="External"/><Relationship Id="rId622" Type="http://schemas.openxmlformats.org/officeDocument/2006/relationships/hyperlink" Target="https://en.wikipedia.org/wiki/William_Henry_Keeler" TargetMode="External"/><Relationship Id="rId864" Type="http://schemas.openxmlformats.org/officeDocument/2006/relationships/hyperlink" Target="https://en.wikipedia.org/wiki/Cardinal_deacon" TargetMode="External"/><Relationship Id="rId621" Type="http://schemas.openxmlformats.org/officeDocument/2006/relationships/hyperlink" Target="https://en.wikipedia.org/wiki/Roman_Catholic_Archdiocese_of_Kampala" TargetMode="External"/><Relationship Id="rId863" Type="http://schemas.openxmlformats.org/officeDocument/2006/relationships/hyperlink" Target="https://en.wikipedia.org/wiki/United_States" TargetMode="External"/><Relationship Id="rId628" Type="http://schemas.openxmlformats.org/officeDocument/2006/relationships/hyperlink" Target="https://en.wikipedia.org/wiki/Cardinal_priest" TargetMode="External"/><Relationship Id="rId627" Type="http://schemas.openxmlformats.org/officeDocument/2006/relationships/hyperlink" Target="https://en.wikipedia.org/wiki/Canada" TargetMode="External"/><Relationship Id="rId869" Type="http://schemas.openxmlformats.org/officeDocument/2006/relationships/hyperlink" Target="https://en.wikipedia.org/wiki/Administration_of_the_Patrimony_of_the_Apostolic_See" TargetMode="External"/><Relationship Id="rId626" Type="http://schemas.openxmlformats.org/officeDocument/2006/relationships/hyperlink" Target="https://en.wikipedia.org/wiki/Jean-Claude_Turcotte" TargetMode="External"/><Relationship Id="rId868" Type="http://schemas.openxmlformats.org/officeDocument/2006/relationships/hyperlink" Target="https://en.wikipedia.org/wiki/Cardinal_deacon" TargetMode="External"/><Relationship Id="rId625" Type="http://schemas.openxmlformats.org/officeDocument/2006/relationships/hyperlink" Target="https://en.wikipedia.org/wiki/Roman_Catholic_Archdiocese_of_Baltimore" TargetMode="External"/><Relationship Id="rId867" Type="http://schemas.openxmlformats.org/officeDocument/2006/relationships/hyperlink" Target="https://en.wikipedia.org/wiki/Italy" TargetMode="External"/><Relationship Id="rId620" Type="http://schemas.openxmlformats.org/officeDocument/2006/relationships/hyperlink" Target="https://en.wikipedia.org/wiki/Cardinal_priest" TargetMode="External"/><Relationship Id="rId862" Type="http://schemas.openxmlformats.org/officeDocument/2006/relationships/hyperlink" Target="https://en.wikipedia.org/wiki/James_Francis_Stafford" TargetMode="External"/><Relationship Id="rId861" Type="http://schemas.openxmlformats.org/officeDocument/2006/relationships/hyperlink" Target="https://en.wikipedia.org/wiki/Congregation_for_the_Clergy" TargetMode="External"/><Relationship Id="rId1210" Type="http://schemas.openxmlformats.org/officeDocument/2006/relationships/hyperlink" Target="https://en.wikipedia.org/wiki/Jos%C3%A9_Salazar_L%C3%B3pez" TargetMode="External"/><Relationship Id="rId860" Type="http://schemas.openxmlformats.org/officeDocument/2006/relationships/hyperlink" Target="https://en.wikipedia.org/wiki/Cardinal_deacon" TargetMode="External"/><Relationship Id="rId1211" Type="http://schemas.openxmlformats.org/officeDocument/2006/relationships/hyperlink" Target="https://en.wikipedia.org/wiki/Mexico" TargetMode="External"/><Relationship Id="rId1212" Type="http://schemas.openxmlformats.org/officeDocument/2006/relationships/hyperlink" Target="https://en.wikipedia.org/wiki/Cardinal_priest" TargetMode="External"/><Relationship Id="rId1202" Type="http://schemas.openxmlformats.org/officeDocument/2006/relationships/hyperlink" Target="https://en.wikipedia.org/wiki/Timothy_Manning" TargetMode="External"/><Relationship Id="rId1203" Type="http://schemas.openxmlformats.org/officeDocument/2006/relationships/hyperlink" Target="https://en.wikipedia.org/wiki/United_States" TargetMode="External"/><Relationship Id="rId1204" Type="http://schemas.openxmlformats.org/officeDocument/2006/relationships/hyperlink" Target="https://en.wikipedia.org/wiki/Cardinal_priest" TargetMode="External"/><Relationship Id="rId1205" Type="http://schemas.openxmlformats.org/officeDocument/2006/relationships/hyperlink" Target="https://en.wikipedia.org/wiki/Roman_Catholic_Archdiocese_of_Los_Angeles" TargetMode="External"/><Relationship Id="rId1206" Type="http://schemas.openxmlformats.org/officeDocument/2006/relationships/hyperlink" Target="https://en.wikipedia.org/wiki/Maurice_Michael_Otunga" TargetMode="External"/><Relationship Id="rId1207" Type="http://schemas.openxmlformats.org/officeDocument/2006/relationships/hyperlink" Target="https://en.wikipedia.org/wiki/Kenya" TargetMode="External"/><Relationship Id="rId1208" Type="http://schemas.openxmlformats.org/officeDocument/2006/relationships/hyperlink" Target="https://en.wikipedia.org/wiki/Cardinal_priest" TargetMode="External"/><Relationship Id="rId1209" Type="http://schemas.openxmlformats.org/officeDocument/2006/relationships/hyperlink" Target="https://en.wikipedia.org/wiki/Roman_Catholic_Archdiocese_of_Nairobi" TargetMode="External"/><Relationship Id="rId619" Type="http://schemas.openxmlformats.org/officeDocument/2006/relationships/hyperlink" Target="https://en.wikipedia.org/wiki/Uganda" TargetMode="External"/><Relationship Id="rId618" Type="http://schemas.openxmlformats.org/officeDocument/2006/relationships/hyperlink" Target="https://en.wikipedia.org/wiki/Emmanuel_Wamala" TargetMode="External"/><Relationship Id="rId613" Type="http://schemas.openxmlformats.org/officeDocument/2006/relationships/hyperlink" Target="https://en.wikipedia.org/wiki/Roman_Catholic_Archdiocese_of_Jakarta" TargetMode="External"/><Relationship Id="rId855" Type="http://schemas.openxmlformats.org/officeDocument/2006/relationships/hyperlink" Target="https://en.wikipedia.org/wiki/Chile" TargetMode="External"/><Relationship Id="rId612" Type="http://schemas.openxmlformats.org/officeDocument/2006/relationships/hyperlink" Target="https://en.wikipedia.org/wiki/Cardinal_priest" TargetMode="External"/><Relationship Id="rId854" Type="http://schemas.openxmlformats.org/officeDocument/2006/relationships/hyperlink" Target="https://en.wikipedia.org/wiki/Jorge_Arturo_Medina_Est%C3%A9vez" TargetMode="External"/><Relationship Id="rId611" Type="http://schemas.openxmlformats.org/officeDocument/2006/relationships/hyperlink" Target="https://en.wikipedia.org/wiki/Indonesia" TargetMode="External"/><Relationship Id="rId853" Type="http://schemas.openxmlformats.org/officeDocument/2006/relationships/hyperlink" Target="https://en.wikipedia.org/wiki/Roman_Catholic_Archdiocese_of_Quebec" TargetMode="External"/><Relationship Id="rId610" Type="http://schemas.openxmlformats.org/officeDocument/2006/relationships/hyperlink" Target="https://en.wikipedia.org/wiki/Julius_Darmaatmadja" TargetMode="External"/><Relationship Id="rId852" Type="http://schemas.openxmlformats.org/officeDocument/2006/relationships/hyperlink" Target="https://en.wikipedia.org/wiki/Cardinal_priest" TargetMode="External"/><Relationship Id="rId617" Type="http://schemas.openxmlformats.org/officeDocument/2006/relationships/hyperlink" Target="https://en.wikipedia.org/wiki/Roman_Catholic_Archdiocese_of_San_Crist%C3%B3bal_de_la_Habana" TargetMode="External"/><Relationship Id="rId859" Type="http://schemas.openxmlformats.org/officeDocument/2006/relationships/hyperlink" Target="https://en.wikipedia.org/wiki/Colombia" TargetMode="External"/><Relationship Id="rId616" Type="http://schemas.openxmlformats.org/officeDocument/2006/relationships/hyperlink" Target="https://en.wikipedia.org/wiki/Cardinal_priest" TargetMode="External"/><Relationship Id="rId858" Type="http://schemas.openxmlformats.org/officeDocument/2006/relationships/hyperlink" Target="https://en.wikipedia.org/wiki/Dar%C3%ADo_Castrill%C3%B3n_Hoyos" TargetMode="External"/><Relationship Id="rId615" Type="http://schemas.openxmlformats.org/officeDocument/2006/relationships/hyperlink" Target="https://en.wikipedia.org/wiki/Cuba" TargetMode="External"/><Relationship Id="rId857" Type="http://schemas.openxmlformats.org/officeDocument/2006/relationships/hyperlink" Target="https://en.wikipedia.org/wiki/Congregation_for_Divine_Worship_and_the_Discipline_of_the_Sacraments" TargetMode="External"/><Relationship Id="rId614" Type="http://schemas.openxmlformats.org/officeDocument/2006/relationships/hyperlink" Target="https://en.wikipedia.org/wiki/Jaime_Lucas_Ortega_y_Alamino" TargetMode="External"/><Relationship Id="rId856" Type="http://schemas.openxmlformats.org/officeDocument/2006/relationships/hyperlink" Target="https://en.wikipedia.org/wiki/Cardinal_deacon" TargetMode="External"/><Relationship Id="rId851" Type="http://schemas.openxmlformats.org/officeDocument/2006/relationships/hyperlink" Target="https://en.wikipedia.org/wiki/Canada" TargetMode="External"/><Relationship Id="rId850" Type="http://schemas.openxmlformats.org/officeDocument/2006/relationships/hyperlink" Target="https://en.wikipedia.org/wiki/Marc_Ouellet" TargetMode="External"/><Relationship Id="rId1200" Type="http://schemas.openxmlformats.org/officeDocument/2006/relationships/hyperlink" Target="https://en.wikipedia.org/wiki/Cardinal_priest" TargetMode="External"/><Relationship Id="rId1201" Type="http://schemas.openxmlformats.org/officeDocument/2006/relationships/hyperlink" Target="https://en.wikipedia.org/wiki/Vicar_General_for_Rome" TargetMode="External"/><Relationship Id="rId1235" Type="http://schemas.openxmlformats.org/officeDocument/2006/relationships/hyperlink" Target="https://en.wikipedia.org/wiki/Western_Samoa" TargetMode="External"/><Relationship Id="rId1236" Type="http://schemas.openxmlformats.org/officeDocument/2006/relationships/hyperlink" Target="https://en.wikipedia.org/wiki/Cardinal_priest" TargetMode="External"/><Relationship Id="rId1237" Type="http://schemas.openxmlformats.org/officeDocument/2006/relationships/hyperlink" Target="https://en.wikipedia.org/wiki/Roman_Catholic_Diocese_of_Samoa_and_Tokelau" TargetMode="External"/><Relationship Id="rId1238" Type="http://schemas.openxmlformats.org/officeDocument/2006/relationships/hyperlink" Target="https://en.wikipedia.org/wiki/Octavio_Antonio_Beras_Rojas" TargetMode="External"/><Relationship Id="rId1239" Type="http://schemas.openxmlformats.org/officeDocument/2006/relationships/hyperlink" Target="https://en.wikipedia.org/wiki/Dominican_Republic" TargetMode="External"/><Relationship Id="rId409" Type="http://schemas.openxmlformats.org/officeDocument/2006/relationships/hyperlink" Target="https://en.wikipedia.org/wiki/Congregation_for_the_Clergy" TargetMode="External"/><Relationship Id="rId404" Type="http://schemas.openxmlformats.org/officeDocument/2006/relationships/hyperlink" Target="https://en.wikipedia.org/wiki/Cardinal_deacon" TargetMode="External"/><Relationship Id="rId646" Type="http://schemas.openxmlformats.org/officeDocument/2006/relationships/hyperlink" Target="https://en.wikipedia.org/wiki/Juan_Sandoval_%C3%8D%C3%B1iguez" TargetMode="External"/><Relationship Id="rId888" Type="http://schemas.openxmlformats.org/officeDocument/2006/relationships/hyperlink" Target="https://en.wikipedia.org/wiki/Cardinal_deacon" TargetMode="External"/><Relationship Id="rId403" Type="http://schemas.openxmlformats.org/officeDocument/2006/relationships/hyperlink" Target="https://en.wikipedia.org/wiki/Italy" TargetMode="External"/><Relationship Id="rId645" Type="http://schemas.openxmlformats.org/officeDocument/2006/relationships/hyperlink" Target="https://en.wikipedia.org/wiki/Roman_Catholic_Archdiocese_of_Antananarivo" TargetMode="External"/><Relationship Id="rId887" Type="http://schemas.openxmlformats.org/officeDocument/2006/relationships/hyperlink" Target="https://en.wikipedia.org/wiki/Italy" TargetMode="External"/><Relationship Id="rId402" Type="http://schemas.openxmlformats.org/officeDocument/2006/relationships/hyperlink" Target="https://en.wikipedia.org/wiki/Paolo_Sardi" TargetMode="External"/><Relationship Id="rId644" Type="http://schemas.openxmlformats.org/officeDocument/2006/relationships/hyperlink" Target="https://en.wikipedia.org/wiki/Cardinal_priest" TargetMode="External"/><Relationship Id="rId886" Type="http://schemas.openxmlformats.org/officeDocument/2006/relationships/hyperlink" Target="https://en.wikipedia.org/wiki/Mario_Francesco_Pompedda" TargetMode="External"/><Relationship Id="rId401" Type="http://schemas.openxmlformats.org/officeDocument/2006/relationships/hyperlink" Target="https://en.wikipedia.org/wiki/Pontifical_Council_for_Promoting_Christian_Unity" TargetMode="External"/><Relationship Id="rId643" Type="http://schemas.openxmlformats.org/officeDocument/2006/relationships/hyperlink" Target="https://en.wikipedia.org/wiki/Madagascar" TargetMode="External"/><Relationship Id="rId885" Type="http://schemas.openxmlformats.org/officeDocument/2006/relationships/hyperlink" Target="https://en.wikipedia.org/wiki/Congregation_for_the_Evangelization_of_Peoples" TargetMode="External"/><Relationship Id="rId408" Type="http://schemas.openxmlformats.org/officeDocument/2006/relationships/hyperlink" Target="https://en.wikipedia.org/wiki/Cardinal_deacon" TargetMode="External"/><Relationship Id="rId407" Type="http://schemas.openxmlformats.org/officeDocument/2006/relationships/hyperlink" Target="https://en.wikipedia.org/wiki/Italy" TargetMode="External"/><Relationship Id="rId649" Type="http://schemas.openxmlformats.org/officeDocument/2006/relationships/hyperlink" Target="https://en.wikipedia.org/wiki/Roman_Catholic_Archdiocese_of_Guadalajara" TargetMode="External"/><Relationship Id="rId406" Type="http://schemas.openxmlformats.org/officeDocument/2006/relationships/hyperlink" Target="https://en.wikipedia.org/wiki/Mauro_Piacenza" TargetMode="External"/><Relationship Id="rId648" Type="http://schemas.openxmlformats.org/officeDocument/2006/relationships/hyperlink" Target="https://en.wikipedia.org/wiki/Cardinal_priest" TargetMode="External"/><Relationship Id="rId405" Type="http://schemas.openxmlformats.org/officeDocument/2006/relationships/hyperlink" Target="https://en.wikipedia.org/wiki/Sovereign_Military_Order_of_Malta" TargetMode="External"/><Relationship Id="rId647" Type="http://schemas.openxmlformats.org/officeDocument/2006/relationships/hyperlink" Target="https://en.wikipedia.org/wiki/Mexico" TargetMode="External"/><Relationship Id="rId889" Type="http://schemas.openxmlformats.org/officeDocument/2006/relationships/hyperlink" Target="https://en.wikipedia.org/wiki/Supreme_Tribunal_of_the_Apostolic_Signatura" TargetMode="External"/><Relationship Id="rId880" Type="http://schemas.openxmlformats.org/officeDocument/2006/relationships/hyperlink" Target="https://en.wikipedia.org/wiki/Cardinal_deacon" TargetMode="External"/><Relationship Id="rId1230" Type="http://schemas.openxmlformats.org/officeDocument/2006/relationships/hyperlink" Target="https://en.wikipedia.org/wiki/Hermann_Volk" TargetMode="External"/><Relationship Id="rId400" Type="http://schemas.openxmlformats.org/officeDocument/2006/relationships/hyperlink" Target="https://en.wikipedia.org/wiki/Cardinal_deacon" TargetMode="External"/><Relationship Id="rId642" Type="http://schemas.openxmlformats.org/officeDocument/2006/relationships/hyperlink" Target="https://en.wikipedia.org/wiki/Armand_Gaetan_Razafindratandra" TargetMode="External"/><Relationship Id="rId884" Type="http://schemas.openxmlformats.org/officeDocument/2006/relationships/hyperlink" Target="https://en.wikipedia.org/wiki/Cardinal_deacon" TargetMode="External"/><Relationship Id="rId1231" Type="http://schemas.openxmlformats.org/officeDocument/2006/relationships/hyperlink" Target="https://en.wikipedia.org/wiki/West_Germany" TargetMode="External"/><Relationship Id="rId641" Type="http://schemas.openxmlformats.org/officeDocument/2006/relationships/hyperlink" Target="https://en.wikipedia.org/wiki/Roman_Catholic_Archdiocese_of_Vrhbosna" TargetMode="External"/><Relationship Id="rId883" Type="http://schemas.openxmlformats.org/officeDocument/2006/relationships/hyperlink" Target="https://en.wikipedia.org/wiki/Italy" TargetMode="External"/><Relationship Id="rId1232" Type="http://schemas.openxmlformats.org/officeDocument/2006/relationships/hyperlink" Target="https://en.wikipedia.org/wiki/Cardinal_priest" TargetMode="External"/><Relationship Id="rId640" Type="http://schemas.openxmlformats.org/officeDocument/2006/relationships/hyperlink" Target="https://en.wikipedia.org/wiki/Cardinal_priest" TargetMode="External"/><Relationship Id="rId882" Type="http://schemas.openxmlformats.org/officeDocument/2006/relationships/hyperlink" Target="https://en.wikipedia.org/wiki/Crescenzio_Sepe" TargetMode="External"/><Relationship Id="rId1233" Type="http://schemas.openxmlformats.org/officeDocument/2006/relationships/hyperlink" Target="https://en.wikipedia.org/wiki/Roman_Catholic_Diocese_of_Mainz" TargetMode="External"/><Relationship Id="rId881" Type="http://schemas.openxmlformats.org/officeDocument/2006/relationships/hyperlink" Target="https://en.wikipedia.org/wiki/Congregation_for_the_Causes_of_Saints" TargetMode="External"/><Relationship Id="rId1234" Type="http://schemas.openxmlformats.org/officeDocument/2006/relationships/hyperlink" Target="https://en.wikipedia.org/wiki/Pio_Taofinu%CA%BBu" TargetMode="External"/><Relationship Id="rId1224" Type="http://schemas.openxmlformats.org/officeDocument/2006/relationships/hyperlink" Target="https://en.wikipedia.org/wiki/Cardinal_priest" TargetMode="External"/><Relationship Id="rId1225" Type="http://schemas.openxmlformats.org/officeDocument/2006/relationships/hyperlink" Target="https://en.wikipedia.org/wiki/Roman_Catholic_Archdiocese_of_Sydney" TargetMode="External"/><Relationship Id="rId1226" Type="http://schemas.openxmlformats.org/officeDocument/2006/relationships/hyperlink" Target="https://en.wikipedia.org/wiki/Narciso_Jubany_Arnau" TargetMode="External"/><Relationship Id="rId1227" Type="http://schemas.openxmlformats.org/officeDocument/2006/relationships/hyperlink" Target="https://en.wikipedia.org/wiki/Spanish_transition_to_democracy" TargetMode="External"/><Relationship Id="rId1228" Type="http://schemas.openxmlformats.org/officeDocument/2006/relationships/hyperlink" Target="https://en.wikipedia.org/wiki/Cardinal_priest" TargetMode="External"/><Relationship Id="rId1229" Type="http://schemas.openxmlformats.org/officeDocument/2006/relationships/hyperlink" Target="https://en.wikipedia.org/wiki/Roman_Catholic_Archdiocese_of_Barcelona" TargetMode="External"/><Relationship Id="rId635" Type="http://schemas.openxmlformats.org/officeDocument/2006/relationships/hyperlink" Target="https://en.wikipedia.org/wiki/United_States" TargetMode="External"/><Relationship Id="rId877" Type="http://schemas.openxmlformats.org/officeDocument/2006/relationships/hyperlink" Target="https://en.wikipedia.org/wiki/Congregation_for_Catholic_Education" TargetMode="External"/><Relationship Id="rId634" Type="http://schemas.openxmlformats.org/officeDocument/2006/relationships/hyperlink" Target="https://en.wikipedia.org/wiki/Adam_Joseph_Maida" TargetMode="External"/><Relationship Id="rId876" Type="http://schemas.openxmlformats.org/officeDocument/2006/relationships/hyperlink" Target="https://en.wikipedia.org/wiki/Cardinal_deacon" TargetMode="External"/><Relationship Id="rId633" Type="http://schemas.openxmlformats.org/officeDocument/2006/relationships/hyperlink" Target="https://en.wikipedia.org/wiki/Roman_Catholic_Archdiocese_of_Barcelona" TargetMode="External"/><Relationship Id="rId875" Type="http://schemas.openxmlformats.org/officeDocument/2006/relationships/hyperlink" Target="https://en.wikipedia.org/wiki/Poland" TargetMode="External"/><Relationship Id="rId632" Type="http://schemas.openxmlformats.org/officeDocument/2006/relationships/hyperlink" Target="https://en.wikipedia.org/wiki/Cardinal_priest" TargetMode="External"/><Relationship Id="rId874" Type="http://schemas.openxmlformats.org/officeDocument/2006/relationships/hyperlink" Target="https://en.wikipedia.org/wiki/Zenon_Grocholewski" TargetMode="External"/><Relationship Id="rId639" Type="http://schemas.openxmlformats.org/officeDocument/2006/relationships/hyperlink" Target="https://en.wikipedia.org/wiki/Bosnia_and_Herzegovina" TargetMode="External"/><Relationship Id="rId638" Type="http://schemas.openxmlformats.org/officeDocument/2006/relationships/hyperlink" Target="https://en.wikipedia.org/wiki/Vinko_Pulji%C4%87" TargetMode="External"/><Relationship Id="rId637" Type="http://schemas.openxmlformats.org/officeDocument/2006/relationships/hyperlink" Target="https://en.wikipedia.org/wiki/Roman_Catholic_Archdiocese_of_Detroit" TargetMode="External"/><Relationship Id="rId879" Type="http://schemas.openxmlformats.org/officeDocument/2006/relationships/hyperlink" Target="https://en.wikipedia.org/wiki/Portugal" TargetMode="External"/><Relationship Id="rId636" Type="http://schemas.openxmlformats.org/officeDocument/2006/relationships/hyperlink" Target="https://en.wikipedia.org/wiki/Cardinal_priest" TargetMode="External"/><Relationship Id="rId878" Type="http://schemas.openxmlformats.org/officeDocument/2006/relationships/hyperlink" Target="https://en.wikipedia.org/wiki/Jos%C3%A9_Saraiva_Martins" TargetMode="External"/><Relationship Id="rId631" Type="http://schemas.openxmlformats.org/officeDocument/2006/relationships/hyperlink" Target="https://en.wikipedia.org/wiki/Spain" TargetMode="External"/><Relationship Id="rId873" Type="http://schemas.openxmlformats.org/officeDocument/2006/relationships/hyperlink" Target="https://en.wikipedia.org/wiki/Prefecture_for_the_Economic_Affairs_of_the_Holy_See" TargetMode="External"/><Relationship Id="rId1220" Type="http://schemas.openxmlformats.org/officeDocument/2006/relationships/hyperlink" Target="https://en.wikipedia.org/wiki/Cardinal_priest" TargetMode="External"/><Relationship Id="rId630" Type="http://schemas.openxmlformats.org/officeDocument/2006/relationships/hyperlink" Target="https://en.wikipedia.org/wiki/Ricardo_Mar%C3%ADa_Carles_Gord%C3%B3" TargetMode="External"/><Relationship Id="rId872" Type="http://schemas.openxmlformats.org/officeDocument/2006/relationships/hyperlink" Target="https://en.wikipedia.org/wiki/Cardinal_deacon" TargetMode="External"/><Relationship Id="rId1221" Type="http://schemas.openxmlformats.org/officeDocument/2006/relationships/hyperlink" Target="https://en.wikipedia.org/wiki/Roman_Catholic_Archdiocese_of_S%C3%A3o_Paulo" TargetMode="External"/><Relationship Id="rId871" Type="http://schemas.openxmlformats.org/officeDocument/2006/relationships/hyperlink" Target="https://en.wikipedia.org/wiki/Italy" TargetMode="External"/><Relationship Id="rId1222" Type="http://schemas.openxmlformats.org/officeDocument/2006/relationships/hyperlink" Target="https://en.wikipedia.org/wiki/James_Darcy_Freeman" TargetMode="External"/><Relationship Id="rId870" Type="http://schemas.openxmlformats.org/officeDocument/2006/relationships/hyperlink" Target="https://en.wikipedia.org/wiki/Sergio_Sebastiani" TargetMode="External"/><Relationship Id="rId1223" Type="http://schemas.openxmlformats.org/officeDocument/2006/relationships/hyperlink" Target="https://en.wikipedia.org/wiki/Australia" TargetMode="External"/><Relationship Id="rId829" Type="http://schemas.openxmlformats.org/officeDocument/2006/relationships/hyperlink" Target="https://en.wikipedia.org/wiki/Roman_Catholic_Archdiocese_of_Sydney" TargetMode="External"/><Relationship Id="rId828" Type="http://schemas.openxmlformats.org/officeDocument/2006/relationships/hyperlink" Target="https://en.wikipedia.org/wiki/Cardinal_priest" TargetMode="External"/><Relationship Id="rId827" Type="http://schemas.openxmlformats.org/officeDocument/2006/relationships/hyperlink" Target="https://en.wikipedia.org/wiki/Australia" TargetMode="External"/><Relationship Id="rId822" Type="http://schemas.openxmlformats.org/officeDocument/2006/relationships/hyperlink" Target="https://en.wikipedia.org/wiki/Telesphore_Placidus_Toppo" TargetMode="External"/><Relationship Id="rId821" Type="http://schemas.openxmlformats.org/officeDocument/2006/relationships/hyperlink" Target="https://en.wikipedia.org/wiki/Roman_Catholic_Archdiocese_of_Cape_Coast" TargetMode="External"/><Relationship Id="rId820" Type="http://schemas.openxmlformats.org/officeDocument/2006/relationships/hyperlink" Target="https://en.wikipedia.org/wiki/Cardinal_priest" TargetMode="External"/><Relationship Id="rId826" Type="http://schemas.openxmlformats.org/officeDocument/2006/relationships/hyperlink" Target="https://en.wikipedia.org/wiki/George_Pell" TargetMode="External"/><Relationship Id="rId825" Type="http://schemas.openxmlformats.org/officeDocument/2006/relationships/hyperlink" Target="https://en.wikipedia.org/wiki/Roman_Catholic_Archdiocese_of_Ranchi" TargetMode="External"/><Relationship Id="rId824" Type="http://schemas.openxmlformats.org/officeDocument/2006/relationships/hyperlink" Target="https://en.wikipedia.org/wiki/Cardinal_priest" TargetMode="External"/><Relationship Id="rId823" Type="http://schemas.openxmlformats.org/officeDocument/2006/relationships/hyperlink" Target="https://en.wikipedia.org/wiki/India" TargetMode="External"/><Relationship Id="rId819" Type="http://schemas.openxmlformats.org/officeDocument/2006/relationships/hyperlink" Target="https://en.wikipedia.org/wiki/Ghana" TargetMode="External"/><Relationship Id="rId818" Type="http://schemas.openxmlformats.org/officeDocument/2006/relationships/hyperlink" Target="https://en.wikipedia.org/wiki/Peter_Kodwo_Appiah_Turkson" TargetMode="External"/><Relationship Id="rId817" Type="http://schemas.openxmlformats.org/officeDocument/2006/relationships/hyperlink" Target="https://en.wikipedia.org/wiki/Roman_Catholic_Archdiocese_of_Genoa" TargetMode="External"/><Relationship Id="rId816" Type="http://schemas.openxmlformats.org/officeDocument/2006/relationships/hyperlink" Target="https://en.wikipedia.org/wiki/Cardinal_priest" TargetMode="External"/><Relationship Id="rId811" Type="http://schemas.openxmlformats.org/officeDocument/2006/relationships/hyperlink" Target="https://en.wikipedia.org/wiki/Italy" TargetMode="External"/><Relationship Id="rId810" Type="http://schemas.openxmlformats.org/officeDocument/2006/relationships/hyperlink" Target="https://en.wikipedia.org/wiki/Ennio_Antonelli" TargetMode="External"/><Relationship Id="rId815" Type="http://schemas.openxmlformats.org/officeDocument/2006/relationships/hyperlink" Target="https://en.wikipedia.org/wiki/Italy" TargetMode="External"/><Relationship Id="rId814" Type="http://schemas.openxmlformats.org/officeDocument/2006/relationships/hyperlink" Target="https://en.wikipedia.org/wiki/Tarcisio_Bertone" TargetMode="External"/><Relationship Id="rId813" Type="http://schemas.openxmlformats.org/officeDocument/2006/relationships/hyperlink" Target="https://en.wikipedia.org/wiki/Roman_Catholic_Archdiocese_of_Florence" TargetMode="External"/><Relationship Id="rId812" Type="http://schemas.openxmlformats.org/officeDocument/2006/relationships/hyperlink" Target="https://en.wikipedia.org/wiki/Cardinal_priest" TargetMode="External"/><Relationship Id="rId609" Type="http://schemas.openxmlformats.org/officeDocument/2006/relationships/hyperlink" Target="https://en.wikipedia.org/wiki/Roman_Catholic_Archdiocese_of_Tokyo" TargetMode="External"/><Relationship Id="rId608" Type="http://schemas.openxmlformats.org/officeDocument/2006/relationships/hyperlink" Target="https://en.wikipedia.org/wiki/Cardinal_priest" TargetMode="External"/><Relationship Id="rId607" Type="http://schemas.openxmlformats.org/officeDocument/2006/relationships/hyperlink" Target="https://en.wikipedia.org/wiki/Japan" TargetMode="External"/><Relationship Id="rId849" Type="http://schemas.openxmlformats.org/officeDocument/2006/relationships/hyperlink" Target="https://en.wikipedia.org/wiki/Roman_Catholic_Archdiocese_of_Esztergom%E2%80%93Budapest" TargetMode="External"/><Relationship Id="rId602" Type="http://schemas.openxmlformats.org/officeDocument/2006/relationships/hyperlink" Target="https://en.wikipedia.org/wiki/Miloslav_Vlk" TargetMode="External"/><Relationship Id="rId844" Type="http://schemas.openxmlformats.org/officeDocument/2006/relationships/hyperlink" Target="https://en.wikipedia.org/wiki/Cardinal_priest" TargetMode="External"/><Relationship Id="rId601" Type="http://schemas.openxmlformats.org/officeDocument/2006/relationships/hyperlink" Target="https://en.wikipedia.org/wiki/Roman_Catholic_Archdiocese_of_Berlin" TargetMode="External"/><Relationship Id="rId843" Type="http://schemas.openxmlformats.org/officeDocument/2006/relationships/hyperlink" Target="https://en.wikipedia.org/wiki/France" TargetMode="External"/><Relationship Id="rId600" Type="http://schemas.openxmlformats.org/officeDocument/2006/relationships/hyperlink" Target="https://en.wikipedia.org/wiki/Cardinal_priest" TargetMode="External"/><Relationship Id="rId842" Type="http://schemas.openxmlformats.org/officeDocument/2006/relationships/hyperlink" Target="https://en.wikipedia.org/wiki/Philippe_Barbarin" TargetMode="External"/><Relationship Id="rId841" Type="http://schemas.openxmlformats.org/officeDocument/2006/relationships/hyperlink" Target="https://en.wikipedia.org/wiki/Roman_Catholic_Archdiocese_of_Guatemala" TargetMode="External"/><Relationship Id="rId606" Type="http://schemas.openxmlformats.org/officeDocument/2006/relationships/hyperlink" Target="https://en.wikipedia.org/wiki/Peter_Seiichi_Shirayanagi" TargetMode="External"/><Relationship Id="rId848" Type="http://schemas.openxmlformats.org/officeDocument/2006/relationships/hyperlink" Target="https://en.wikipedia.org/wiki/Cardinal_priest" TargetMode="External"/><Relationship Id="rId605" Type="http://schemas.openxmlformats.org/officeDocument/2006/relationships/hyperlink" Target="https://en.wikipedia.org/wiki/Roman_Catholic_Archdiocese_of_Prague" TargetMode="External"/><Relationship Id="rId847" Type="http://schemas.openxmlformats.org/officeDocument/2006/relationships/hyperlink" Target="https://en.wikipedia.org/wiki/Hungary" TargetMode="External"/><Relationship Id="rId604" Type="http://schemas.openxmlformats.org/officeDocument/2006/relationships/hyperlink" Target="https://en.wikipedia.org/wiki/Cardinal_priest" TargetMode="External"/><Relationship Id="rId846" Type="http://schemas.openxmlformats.org/officeDocument/2006/relationships/hyperlink" Target="https://en.wikipedia.org/wiki/P%C3%A9ter_Erd%C5%91" TargetMode="External"/><Relationship Id="rId603" Type="http://schemas.openxmlformats.org/officeDocument/2006/relationships/hyperlink" Target="https://en.wikipedia.org/wiki/Czech_Republic" TargetMode="External"/><Relationship Id="rId845" Type="http://schemas.openxmlformats.org/officeDocument/2006/relationships/hyperlink" Target="https://en.wikipedia.org/wiki/Roman_Catholic_Archdiocese_of_Lyon" TargetMode="External"/><Relationship Id="rId840" Type="http://schemas.openxmlformats.org/officeDocument/2006/relationships/hyperlink" Target="https://en.wikipedia.org/wiki/Cardinal_priest" TargetMode="External"/><Relationship Id="rId839" Type="http://schemas.openxmlformats.org/officeDocument/2006/relationships/hyperlink" Target="https://en.wikipedia.org/wiki/Guatemala" TargetMode="External"/><Relationship Id="rId838" Type="http://schemas.openxmlformats.org/officeDocument/2006/relationships/hyperlink" Target="https://en.wikipedia.org/wiki/Rodolfo_Quezada_Toru%C3%B1o" TargetMode="External"/><Relationship Id="rId833" Type="http://schemas.openxmlformats.org/officeDocument/2006/relationships/hyperlink" Target="https://en.wikipedia.org/wiki/Roman_Catholic_Archdiocese_of_Zagreb" TargetMode="External"/><Relationship Id="rId832" Type="http://schemas.openxmlformats.org/officeDocument/2006/relationships/hyperlink" Target="https://en.wikipedia.org/wiki/Cardinal_priest" TargetMode="External"/><Relationship Id="rId831" Type="http://schemas.openxmlformats.org/officeDocument/2006/relationships/hyperlink" Target="https://en.wikipedia.org/wiki/Croatia" TargetMode="External"/><Relationship Id="rId830" Type="http://schemas.openxmlformats.org/officeDocument/2006/relationships/hyperlink" Target="https://en.wikipedia.org/wiki/Josip_Bozani%C4%87" TargetMode="External"/><Relationship Id="rId837" Type="http://schemas.openxmlformats.org/officeDocument/2006/relationships/hyperlink" Target="https://en.wikipedia.org/wiki/Roman_Catholic_Archdiocese_of_Ho_Chi_Minh_City" TargetMode="External"/><Relationship Id="rId836" Type="http://schemas.openxmlformats.org/officeDocument/2006/relationships/hyperlink" Target="https://en.wikipedia.org/wiki/Cardinal_priest" TargetMode="External"/><Relationship Id="rId835" Type="http://schemas.openxmlformats.org/officeDocument/2006/relationships/hyperlink" Target="https://en.wikipedia.org/wiki/Vietnam" TargetMode="External"/><Relationship Id="rId834" Type="http://schemas.openxmlformats.org/officeDocument/2006/relationships/hyperlink" Target="https://en.wikipedia.org/wiki/Jean-Baptiste_Ph%E1%BA%A1m_Minh_M%E1%BA%ABn" TargetMode="External"/><Relationship Id="rId1059" Type="http://schemas.openxmlformats.org/officeDocument/2006/relationships/hyperlink" Target="https://en.wikipedia.org/wiki/Polish_People%27s_Republic" TargetMode="External"/><Relationship Id="rId228" Type="http://schemas.openxmlformats.org/officeDocument/2006/relationships/hyperlink" Target="https://en.wikipedia.org/wiki/Roman_Catholic_Archdiocese_of_Barcelona" TargetMode="External"/><Relationship Id="rId227" Type="http://schemas.openxmlformats.org/officeDocument/2006/relationships/hyperlink" Target="https://en.wikipedia.org/wiki/Cardinal_priest" TargetMode="External"/><Relationship Id="rId469" Type="http://schemas.openxmlformats.org/officeDocument/2006/relationships/hyperlink" Target="https://en.wikipedia.org/wiki/Cardinal_Secretary_of_State" TargetMode="External"/><Relationship Id="rId226" Type="http://schemas.openxmlformats.org/officeDocument/2006/relationships/hyperlink" Target="https://en.wikipedia.org/wiki/Spain" TargetMode="External"/><Relationship Id="rId468" Type="http://schemas.openxmlformats.org/officeDocument/2006/relationships/hyperlink" Target="https://en.wikipedia.org/wiki/Cardinal_bishop" TargetMode="External"/><Relationship Id="rId225" Type="http://schemas.openxmlformats.org/officeDocument/2006/relationships/hyperlink" Target="https://en.wikipedia.org/wiki/Llu%C3%ADs_Mart%C3%ADnez_Sistach" TargetMode="External"/><Relationship Id="rId467" Type="http://schemas.openxmlformats.org/officeDocument/2006/relationships/hyperlink" Target="https://en.wikipedia.org/wiki/Italy" TargetMode="External"/><Relationship Id="rId1290" Type="http://schemas.openxmlformats.org/officeDocument/2006/relationships/hyperlink" Target="https://en.wikipedia.org/wiki/Franti%C5%A1ek_Tom%C3%A1%C5%A1ek" TargetMode="External"/><Relationship Id="rId1291" Type="http://schemas.openxmlformats.org/officeDocument/2006/relationships/hyperlink" Target="https://en.wikipedia.org/wiki/Czechoslovakia" TargetMode="External"/><Relationship Id="rId229" Type="http://schemas.openxmlformats.org/officeDocument/2006/relationships/hyperlink" Target="https://en.wikipedia.org/wiki/Andr%C3%A9_Vingt-Trois" TargetMode="External"/><Relationship Id="rId1050" Type="http://schemas.openxmlformats.org/officeDocument/2006/relationships/hyperlink" Target="https://en.wikipedia.org/wiki/Alfred_Bengsch" TargetMode="External"/><Relationship Id="rId1292" Type="http://schemas.openxmlformats.org/officeDocument/2006/relationships/hyperlink" Target="https://en.wikipedia.org/wiki/Cardinal_priest" TargetMode="External"/><Relationship Id="rId220" Type="http://schemas.openxmlformats.org/officeDocument/2006/relationships/hyperlink" Target="https://en.wikipedia.org/wiki/Roman_Catholic_Archdiocese_of_Bologna" TargetMode="External"/><Relationship Id="rId462" Type="http://schemas.openxmlformats.org/officeDocument/2006/relationships/hyperlink" Target="https://en.wikipedia.org/wiki/Joseph_Ratzinger" TargetMode="External"/><Relationship Id="rId1051" Type="http://schemas.openxmlformats.org/officeDocument/2006/relationships/hyperlink" Target="https://en.wikipedia.org/wiki/East_Germany" TargetMode="External"/><Relationship Id="rId1293" Type="http://schemas.openxmlformats.org/officeDocument/2006/relationships/hyperlink" Target="https://en.wikipedia.org/wiki/Roman_Catholic_Archdiocese_of_Prague" TargetMode="External"/><Relationship Id="rId461" Type="http://schemas.openxmlformats.org/officeDocument/2006/relationships/hyperlink" Target="https://en.wikipedia.org/wiki/Papal_Basilica_of_Saint_Paul_Outside_the_Walls" TargetMode="External"/><Relationship Id="rId1052" Type="http://schemas.openxmlformats.org/officeDocument/2006/relationships/hyperlink" Target="https://en.wikipedia.org/wiki/Cardinal_priest" TargetMode="External"/><Relationship Id="rId1294" Type="http://schemas.openxmlformats.org/officeDocument/2006/relationships/hyperlink" Target="https://en.wikipedia.org/wiki/Dominic_Ignatius_Ekandem" TargetMode="External"/><Relationship Id="rId460" Type="http://schemas.openxmlformats.org/officeDocument/2006/relationships/hyperlink" Target="https://en.wikipedia.org/wiki/Cardinal_deacon" TargetMode="External"/><Relationship Id="rId1053" Type="http://schemas.openxmlformats.org/officeDocument/2006/relationships/hyperlink" Target="https://en.wikipedia.org/wiki/Roman_Catholic_Diocese_of_Berlin" TargetMode="External"/><Relationship Id="rId1295" Type="http://schemas.openxmlformats.org/officeDocument/2006/relationships/hyperlink" Target="https://en.wikipedia.org/wiki/Nigeria" TargetMode="External"/><Relationship Id="rId1054" Type="http://schemas.openxmlformats.org/officeDocument/2006/relationships/hyperlink" Target="https://en.wikipedia.org/wiki/Justinus_Darmojuwono" TargetMode="External"/><Relationship Id="rId1296" Type="http://schemas.openxmlformats.org/officeDocument/2006/relationships/hyperlink" Target="https://en.wikipedia.org/wiki/Cardinal_priest" TargetMode="External"/><Relationship Id="rId224" Type="http://schemas.openxmlformats.org/officeDocument/2006/relationships/hyperlink" Target="https://en.wikipedia.org/wiki/Roman_Catholic_Archdiocese_of_Armagh" TargetMode="External"/><Relationship Id="rId466" Type="http://schemas.openxmlformats.org/officeDocument/2006/relationships/hyperlink" Target="https://en.wikipedia.org/wiki/Angelo_Sodano" TargetMode="External"/><Relationship Id="rId1055" Type="http://schemas.openxmlformats.org/officeDocument/2006/relationships/hyperlink" Target="https://en.wikipedia.org/wiki/Indonesia" TargetMode="External"/><Relationship Id="rId1297" Type="http://schemas.openxmlformats.org/officeDocument/2006/relationships/hyperlink" Target="https://en.wikipedia.org/wiki/Roman_Catholic_Diocese_of_Ikot_Ekpene" TargetMode="External"/><Relationship Id="rId223" Type="http://schemas.openxmlformats.org/officeDocument/2006/relationships/hyperlink" Target="https://en.wikipedia.org/wiki/Cardinal_priest" TargetMode="External"/><Relationship Id="rId465" Type="http://schemas.openxmlformats.org/officeDocument/2006/relationships/hyperlink" Target="https://en.wikipedia.org/wiki/Congregation_for_the_Doctrine_of_the_Faith" TargetMode="External"/><Relationship Id="rId1056" Type="http://schemas.openxmlformats.org/officeDocument/2006/relationships/hyperlink" Target="https://en.wikipedia.org/wiki/Cardinal_priest" TargetMode="External"/><Relationship Id="rId1298" Type="http://schemas.openxmlformats.org/officeDocument/2006/relationships/hyperlink" Target="https://en.wikipedia.org/wiki/Giovanni_Benelli" TargetMode="External"/><Relationship Id="rId222" Type="http://schemas.openxmlformats.org/officeDocument/2006/relationships/hyperlink" Target="https://en.wikipedia.org/wiki/Ireland" TargetMode="External"/><Relationship Id="rId464" Type="http://schemas.openxmlformats.org/officeDocument/2006/relationships/hyperlink" Target="https://en.wikipedia.org/wiki/Cardinal_bishop" TargetMode="External"/><Relationship Id="rId1057" Type="http://schemas.openxmlformats.org/officeDocument/2006/relationships/hyperlink" Target="https://en.wikipedia.org/wiki/Roman_Catholic_Archdiocese_of_Semarang" TargetMode="External"/><Relationship Id="rId1299" Type="http://schemas.openxmlformats.org/officeDocument/2006/relationships/hyperlink" Target="https://en.wikipedia.org/wiki/Italy" TargetMode="External"/><Relationship Id="rId221" Type="http://schemas.openxmlformats.org/officeDocument/2006/relationships/hyperlink" Target="https://en.wikipedia.org/wiki/Se%C3%A1n_Baptist_Brady" TargetMode="External"/><Relationship Id="rId463" Type="http://schemas.openxmlformats.org/officeDocument/2006/relationships/hyperlink" Target="https://en.wikipedia.org/wiki/Germany" TargetMode="External"/><Relationship Id="rId1058" Type="http://schemas.openxmlformats.org/officeDocument/2006/relationships/hyperlink" Target="https://en.wikipedia.org/wiki/Karol_Wojty%C5%82a" TargetMode="External"/><Relationship Id="rId1048" Type="http://schemas.openxmlformats.org/officeDocument/2006/relationships/hyperlink" Target="https://en.wikipedia.org/wiki/Cardinal_priest" TargetMode="External"/><Relationship Id="rId1049" Type="http://schemas.openxmlformats.org/officeDocument/2006/relationships/hyperlink" Target="https://en.wikipedia.org/wiki/Roman_Catholic_Archdiocese_of_Naples" TargetMode="External"/><Relationship Id="rId217" Type="http://schemas.openxmlformats.org/officeDocument/2006/relationships/hyperlink" Target="https://en.wikipedia.org/wiki/Carlo_Caffarra" TargetMode="External"/><Relationship Id="rId459" Type="http://schemas.openxmlformats.org/officeDocument/2006/relationships/hyperlink" Target="https://en.wikipedia.org/wiki/United_States" TargetMode="External"/><Relationship Id="rId216" Type="http://schemas.openxmlformats.org/officeDocument/2006/relationships/hyperlink" Target="https://en.wikipedia.org/wiki/Roman_Catholic_Archdiocese_of_Krak%C3%B3w" TargetMode="External"/><Relationship Id="rId458" Type="http://schemas.openxmlformats.org/officeDocument/2006/relationships/hyperlink" Target="https://en.wikipedia.org/wiki/James_Michael_Harvey" TargetMode="External"/><Relationship Id="rId215" Type="http://schemas.openxmlformats.org/officeDocument/2006/relationships/hyperlink" Target="https://en.wikipedia.org/wiki/Cardinal_priest" TargetMode="External"/><Relationship Id="rId457" Type="http://schemas.openxmlformats.org/officeDocument/2006/relationships/hyperlink" Target="https://en.wikipedia.org/wiki/Prefecture_for_the_Economic_Affairs_of_the_Holy_See" TargetMode="External"/><Relationship Id="rId699" Type="http://schemas.openxmlformats.org/officeDocument/2006/relationships/hyperlink" Target="https://en.wikipedia.org/wiki/Colombia" TargetMode="External"/><Relationship Id="rId214" Type="http://schemas.openxmlformats.org/officeDocument/2006/relationships/hyperlink" Target="https://en.wikipedia.org/wiki/Poland" TargetMode="External"/><Relationship Id="rId456" Type="http://schemas.openxmlformats.org/officeDocument/2006/relationships/hyperlink" Target="https://en.wikipedia.org/wiki/Cardinal_deacon" TargetMode="External"/><Relationship Id="rId698" Type="http://schemas.openxmlformats.org/officeDocument/2006/relationships/hyperlink" Target="https://en.wikipedia.org/wiki/Pedro_Rubiano_S%C3%A1enz" TargetMode="External"/><Relationship Id="rId219" Type="http://schemas.openxmlformats.org/officeDocument/2006/relationships/hyperlink" Target="https://en.wikipedia.org/wiki/Cardinal_priest" TargetMode="External"/><Relationship Id="rId1280" Type="http://schemas.openxmlformats.org/officeDocument/2006/relationships/hyperlink" Target="https://en.wikipedia.org/wiki/Cardinal_priest" TargetMode="External"/><Relationship Id="rId218" Type="http://schemas.openxmlformats.org/officeDocument/2006/relationships/hyperlink" Target="https://en.wikipedia.org/wiki/Italy" TargetMode="External"/><Relationship Id="rId1281" Type="http://schemas.openxmlformats.org/officeDocument/2006/relationships/hyperlink" Target="https://en.wikipedia.org/wiki/Roman_Catholic_Archdiocese_of_Esztergom" TargetMode="External"/><Relationship Id="rId451" Type="http://schemas.openxmlformats.org/officeDocument/2006/relationships/hyperlink" Target="https://en.wikipedia.org/wiki/Italy" TargetMode="External"/><Relationship Id="rId693" Type="http://schemas.openxmlformats.org/officeDocument/2006/relationships/hyperlink" Target="https://en.wikipedia.org/wiki/Roman_Catholic_Archdiocese_of_Bombay" TargetMode="External"/><Relationship Id="rId1040" Type="http://schemas.openxmlformats.org/officeDocument/2006/relationships/hyperlink" Target="https://en.wikipedia.org/wiki/Cardinal_priest" TargetMode="External"/><Relationship Id="rId1282" Type="http://schemas.openxmlformats.org/officeDocument/2006/relationships/hyperlink" Target="https://en.wikipedia.org/wiki/George_Basil_Hume" TargetMode="External"/><Relationship Id="rId450" Type="http://schemas.openxmlformats.org/officeDocument/2006/relationships/hyperlink" Target="https://en.wikipedia.org/wiki/Domenico_Calcagno" TargetMode="External"/><Relationship Id="rId692" Type="http://schemas.openxmlformats.org/officeDocument/2006/relationships/hyperlink" Target="https://en.wikipedia.org/wiki/Cardinal_priest" TargetMode="External"/><Relationship Id="rId1041" Type="http://schemas.openxmlformats.org/officeDocument/2006/relationships/hyperlink" Target="https://en.wikipedia.org/wiki/Roman_Catholic_Archdiocese_of_Philadelphia" TargetMode="External"/><Relationship Id="rId1283" Type="http://schemas.openxmlformats.org/officeDocument/2006/relationships/hyperlink" Target="https://en.wikipedia.org/wiki/United_Kingdom" TargetMode="External"/><Relationship Id="rId691" Type="http://schemas.openxmlformats.org/officeDocument/2006/relationships/hyperlink" Target="https://en.wikipedia.org/wiki/India" TargetMode="External"/><Relationship Id="rId1042" Type="http://schemas.openxmlformats.org/officeDocument/2006/relationships/hyperlink" Target="https://en.wikipedia.org/wiki/John_Patrick_Cody" TargetMode="External"/><Relationship Id="rId1284" Type="http://schemas.openxmlformats.org/officeDocument/2006/relationships/hyperlink" Target="https://en.wikipedia.org/wiki/Cardinal_priest" TargetMode="External"/><Relationship Id="rId690" Type="http://schemas.openxmlformats.org/officeDocument/2006/relationships/hyperlink" Target="https://en.wikipedia.org/wiki/Ivan_Dias" TargetMode="External"/><Relationship Id="rId1043" Type="http://schemas.openxmlformats.org/officeDocument/2006/relationships/hyperlink" Target="https://en.wikipedia.org/wiki/United_States" TargetMode="External"/><Relationship Id="rId1285" Type="http://schemas.openxmlformats.org/officeDocument/2006/relationships/hyperlink" Target="https://en.wikipedia.org/wiki/Roman_Catholic_Diocese_of_Westminster" TargetMode="External"/><Relationship Id="rId213" Type="http://schemas.openxmlformats.org/officeDocument/2006/relationships/hyperlink" Target="https://en.wikipedia.org/wiki/Stanis%C5%82aw_Dziwisz" TargetMode="External"/><Relationship Id="rId455" Type="http://schemas.openxmlformats.org/officeDocument/2006/relationships/hyperlink" Target="https://en.wikipedia.org/wiki/Italy" TargetMode="External"/><Relationship Id="rId697" Type="http://schemas.openxmlformats.org/officeDocument/2006/relationships/hyperlink" Target="https://en.wikipedia.org/wiki/Roman_Catholic_Archdiocese_of_S%C3%A3o_Salvador_da_Bahia" TargetMode="External"/><Relationship Id="rId1044" Type="http://schemas.openxmlformats.org/officeDocument/2006/relationships/hyperlink" Target="https://en.wikipedia.org/wiki/Cardinal_priest" TargetMode="External"/><Relationship Id="rId1286" Type="http://schemas.openxmlformats.org/officeDocument/2006/relationships/hyperlink" Target="https://en.wikipedia.org/wiki/Victor_Razafimahatratra" TargetMode="External"/><Relationship Id="rId212" Type="http://schemas.openxmlformats.org/officeDocument/2006/relationships/hyperlink" Target="https://en.wikipedia.org/wiki/Roman_Catholic_Archdiocese_of_Boston" TargetMode="External"/><Relationship Id="rId454" Type="http://schemas.openxmlformats.org/officeDocument/2006/relationships/hyperlink" Target="https://en.wikipedia.org/wiki/Giuseppe_Versaldi" TargetMode="External"/><Relationship Id="rId696" Type="http://schemas.openxmlformats.org/officeDocument/2006/relationships/hyperlink" Target="https://en.wikipedia.org/wiki/Cardinal_priest" TargetMode="External"/><Relationship Id="rId1045" Type="http://schemas.openxmlformats.org/officeDocument/2006/relationships/hyperlink" Target="https://en.wikipedia.org/wiki/Roman_Catholic_Archdiocese_of_Chicago" TargetMode="External"/><Relationship Id="rId1287" Type="http://schemas.openxmlformats.org/officeDocument/2006/relationships/hyperlink" Target="https://en.wikipedia.org/wiki/Madagascar" TargetMode="External"/><Relationship Id="rId211" Type="http://schemas.openxmlformats.org/officeDocument/2006/relationships/hyperlink" Target="https://en.wikipedia.org/wiki/Cardinal_priest" TargetMode="External"/><Relationship Id="rId453" Type="http://schemas.openxmlformats.org/officeDocument/2006/relationships/hyperlink" Target="https://en.wikipedia.org/wiki/Administration_of_the_Patrimony_of_the_Apostolic_See" TargetMode="External"/><Relationship Id="rId695" Type="http://schemas.openxmlformats.org/officeDocument/2006/relationships/hyperlink" Target="https://en.wikipedia.org/wiki/Brazil" TargetMode="External"/><Relationship Id="rId1046" Type="http://schemas.openxmlformats.org/officeDocument/2006/relationships/hyperlink" Target="https://en.wikipedia.org/wiki/Corrado_Ursi" TargetMode="External"/><Relationship Id="rId1288" Type="http://schemas.openxmlformats.org/officeDocument/2006/relationships/hyperlink" Target="https://en.wikipedia.org/wiki/Cardinal_priest" TargetMode="External"/><Relationship Id="rId210" Type="http://schemas.openxmlformats.org/officeDocument/2006/relationships/hyperlink" Target="https://en.wikipedia.org/wiki/United_States" TargetMode="External"/><Relationship Id="rId452" Type="http://schemas.openxmlformats.org/officeDocument/2006/relationships/hyperlink" Target="https://en.wikipedia.org/wiki/Cardinal_deacon" TargetMode="External"/><Relationship Id="rId694" Type="http://schemas.openxmlformats.org/officeDocument/2006/relationships/hyperlink" Target="https://en.wikipedia.org/wiki/Geraldo_Majella_Agnelo" TargetMode="External"/><Relationship Id="rId1047" Type="http://schemas.openxmlformats.org/officeDocument/2006/relationships/hyperlink" Target="https://en.wikipedia.org/wiki/Italy" TargetMode="External"/><Relationship Id="rId1289" Type="http://schemas.openxmlformats.org/officeDocument/2006/relationships/hyperlink" Target="https://en.wikipedia.org/wiki/Roman_Catholic_Archdiocese_of_Tananarive" TargetMode="External"/><Relationship Id="rId491" Type="http://schemas.openxmlformats.org/officeDocument/2006/relationships/hyperlink" Target="https://en.wikipedia.org/wiki/Poland" TargetMode="External"/><Relationship Id="rId490" Type="http://schemas.openxmlformats.org/officeDocument/2006/relationships/hyperlink" Target="https://en.wikipedia.org/wiki/Franciszek_Macharski" TargetMode="External"/><Relationship Id="rId249" Type="http://schemas.openxmlformats.org/officeDocument/2006/relationships/hyperlink" Target="https://en.wikipedia.org/wiki/Daniel_Nicholas_DiNardo" TargetMode="External"/><Relationship Id="rId248" Type="http://schemas.openxmlformats.org/officeDocument/2006/relationships/hyperlink" Target="https://en.wikipedia.org/wiki/Roman_Catholic_Archdiocese_of_Guadalajara" TargetMode="External"/><Relationship Id="rId247" Type="http://schemas.openxmlformats.org/officeDocument/2006/relationships/hyperlink" Target="https://en.wikipedia.org/wiki/Cardinal_priest" TargetMode="External"/><Relationship Id="rId489" Type="http://schemas.openxmlformats.org/officeDocument/2006/relationships/hyperlink" Target="https://en.wikipedia.org/wiki/Patriarchate_of_Venice" TargetMode="External"/><Relationship Id="rId1070" Type="http://schemas.openxmlformats.org/officeDocument/2006/relationships/hyperlink" Target="https://en.wikipedia.org/wiki/Alfredo_Vicente_Scherer" TargetMode="External"/><Relationship Id="rId1071" Type="http://schemas.openxmlformats.org/officeDocument/2006/relationships/hyperlink" Target="https://en.wikipedia.org/wiki/Brazil" TargetMode="External"/><Relationship Id="rId1072" Type="http://schemas.openxmlformats.org/officeDocument/2006/relationships/hyperlink" Target="https://en.wikipedia.org/wiki/Cardinal_priest" TargetMode="External"/><Relationship Id="rId242" Type="http://schemas.openxmlformats.org/officeDocument/2006/relationships/hyperlink" Target="https://en.wikipedia.org/wiki/India" TargetMode="External"/><Relationship Id="rId484" Type="http://schemas.openxmlformats.org/officeDocument/2006/relationships/hyperlink" Target="https://en.wikipedia.org/wiki/Cardinal_priest" TargetMode="External"/><Relationship Id="rId1073" Type="http://schemas.openxmlformats.org/officeDocument/2006/relationships/hyperlink" Target="https://en.wikipedia.org/wiki/Roman_Catholic_Archdiocese_of_Porto_Alegre" TargetMode="External"/><Relationship Id="rId241" Type="http://schemas.openxmlformats.org/officeDocument/2006/relationships/hyperlink" Target="https://en.wikipedia.org/wiki/Oswald_Gracias" TargetMode="External"/><Relationship Id="rId483" Type="http://schemas.openxmlformats.org/officeDocument/2006/relationships/hyperlink" Target="https://en.wikipedia.org/wiki/United_States" TargetMode="External"/><Relationship Id="rId1074" Type="http://schemas.openxmlformats.org/officeDocument/2006/relationships/hyperlink" Target="https://en.wikipedia.org/wiki/Julio_Rosales_y_Ras" TargetMode="External"/><Relationship Id="rId240" Type="http://schemas.openxmlformats.org/officeDocument/2006/relationships/hyperlink" Target="https://en.wikipedia.org/wiki/Roman_Catholic_Archdiocese_of_Dakar" TargetMode="External"/><Relationship Id="rId482" Type="http://schemas.openxmlformats.org/officeDocument/2006/relationships/hyperlink" Target="https://en.wikipedia.org/wiki/William_Wakefield_Baum" TargetMode="External"/><Relationship Id="rId1075" Type="http://schemas.openxmlformats.org/officeDocument/2006/relationships/hyperlink" Target="https://en.wikipedia.org/wiki/Philippines" TargetMode="External"/><Relationship Id="rId481" Type="http://schemas.openxmlformats.org/officeDocument/2006/relationships/hyperlink" Target="https://en.wikipedia.org/wiki/Congregation_for_the_Oriental_Churches" TargetMode="External"/><Relationship Id="rId1076" Type="http://schemas.openxmlformats.org/officeDocument/2006/relationships/hyperlink" Target="https://en.wikipedia.org/wiki/Cardinal_priest" TargetMode="External"/><Relationship Id="rId246" Type="http://schemas.openxmlformats.org/officeDocument/2006/relationships/hyperlink" Target="https://en.wikipedia.org/wiki/Mexico" TargetMode="External"/><Relationship Id="rId488" Type="http://schemas.openxmlformats.org/officeDocument/2006/relationships/hyperlink" Target="https://en.wikipedia.org/wiki/Cardinal_priest" TargetMode="External"/><Relationship Id="rId1077" Type="http://schemas.openxmlformats.org/officeDocument/2006/relationships/hyperlink" Target="https://en.wikipedia.org/wiki/Roman_Catholic_Archdiocese_of_Cebu" TargetMode="External"/><Relationship Id="rId245" Type="http://schemas.openxmlformats.org/officeDocument/2006/relationships/hyperlink" Target="https://en.wikipedia.org/wiki/Francisco_Robles_Ortega" TargetMode="External"/><Relationship Id="rId487" Type="http://schemas.openxmlformats.org/officeDocument/2006/relationships/hyperlink" Target="https://en.wikipedia.org/wiki/Italy" TargetMode="External"/><Relationship Id="rId1078" Type="http://schemas.openxmlformats.org/officeDocument/2006/relationships/hyperlink" Target="https://en.wikipedia.org/wiki/Gordon_Joseph_Gray" TargetMode="External"/><Relationship Id="rId244" Type="http://schemas.openxmlformats.org/officeDocument/2006/relationships/hyperlink" Target="https://en.wikipedia.org/wiki/Roman_Catholic_Archdiocese_of_Bombay" TargetMode="External"/><Relationship Id="rId486" Type="http://schemas.openxmlformats.org/officeDocument/2006/relationships/hyperlink" Target="https://en.wikipedia.org/wiki/Marco_C%C3%A9" TargetMode="External"/><Relationship Id="rId1079" Type="http://schemas.openxmlformats.org/officeDocument/2006/relationships/hyperlink" Target="https://en.wikipedia.org/wiki/United_Kingdom" TargetMode="External"/><Relationship Id="rId243" Type="http://schemas.openxmlformats.org/officeDocument/2006/relationships/hyperlink" Target="https://en.wikipedia.org/wiki/Cardinal_priest" TargetMode="External"/><Relationship Id="rId485" Type="http://schemas.openxmlformats.org/officeDocument/2006/relationships/hyperlink" Target="https://en.wikipedia.org/wiki/Apostolic_Penitentiary" TargetMode="External"/><Relationship Id="rId480" Type="http://schemas.openxmlformats.org/officeDocument/2006/relationships/hyperlink" Target="https://en.wikipedia.org/wiki/Cardinal_bishop" TargetMode="External"/><Relationship Id="rId239" Type="http://schemas.openxmlformats.org/officeDocument/2006/relationships/hyperlink" Target="https://en.wikipedia.org/wiki/Cardinal_priest" TargetMode="External"/><Relationship Id="rId238" Type="http://schemas.openxmlformats.org/officeDocument/2006/relationships/hyperlink" Target="https://en.wikipedia.org/wiki/Senegal" TargetMode="External"/><Relationship Id="rId237" Type="http://schemas.openxmlformats.org/officeDocument/2006/relationships/hyperlink" Target="https://en.wikipedia.org/wiki/Th%C3%A9odore-Adrien_Sarr" TargetMode="External"/><Relationship Id="rId479" Type="http://schemas.openxmlformats.org/officeDocument/2006/relationships/hyperlink" Target="https://en.wikipedia.org/wiki/Syria" TargetMode="External"/><Relationship Id="rId236" Type="http://schemas.openxmlformats.org/officeDocument/2006/relationships/hyperlink" Target="https://en.wikipedia.org/wiki/Roman_Catholic_Archdiocese_of_Genoa" TargetMode="External"/><Relationship Id="rId478" Type="http://schemas.openxmlformats.org/officeDocument/2006/relationships/hyperlink" Target="https://en.wikipedia.org/wiki/Ignace_Moussa_I_Daoud" TargetMode="External"/><Relationship Id="rId1060" Type="http://schemas.openxmlformats.org/officeDocument/2006/relationships/hyperlink" Target="https://en.wikipedia.org/wiki/Cardinal_priest" TargetMode="External"/><Relationship Id="rId1061" Type="http://schemas.openxmlformats.org/officeDocument/2006/relationships/hyperlink" Target="https://en.wikipedia.org/wiki/Roman_Catholic_Archdiocese_of_Krak%C3%B3w" TargetMode="External"/><Relationship Id="rId231" Type="http://schemas.openxmlformats.org/officeDocument/2006/relationships/hyperlink" Target="https://en.wikipedia.org/wiki/Cardinal_priest" TargetMode="External"/><Relationship Id="rId473" Type="http://schemas.openxmlformats.org/officeDocument/2006/relationships/hyperlink" Target="https://en.wikipedia.org/wiki/Pontifical_Council_for_the_Family" TargetMode="External"/><Relationship Id="rId1062" Type="http://schemas.openxmlformats.org/officeDocument/2006/relationships/hyperlink" Target="https://en.wikipedia.org/wiki/Michele_Pellegrino" TargetMode="External"/><Relationship Id="rId230" Type="http://schemas.openxmlformats.org/officeDocument/2006/relationships/hyperlink" Target="https://en.wikipedia.org/wiki/France" TargetMode="External"/><Relationship Id="rId472" Type="http://schemas.openxmlformats.org/officeDocument/2006/relationships/hyperlink" Target="https://en.wikipedia.org/wiki/Cardinal_bishop" TargetMode="External"/><Relationship Id="rId1063" Type="http://schemas.openxmlformats.org/officeDocument/2006/relationships/hyperlink" Target="https://en.wikipedia.org/wiki/Italy" TargetMode="External"/><Relationship Id="rId471" Type="http://schemas.openxmlformats.org/officeDocument/2006/relationships/hyperlink" Target="https://en.wikipedia.org/wiki/Colombia" TargetMode="External"/><Relationship Id="rId1064" Type="http://schemas.openxmlformats.org/officeDocument/2006/relationships/hyperlink" Target="https://en.wikipedia.org/wiki/Cardinal_priest" TargetMode="External"/><Relationship Id="rId470" Type="http://schemas.openxmlformats.org/officeDocument/2006/relationships/hyperlink" Target="https://en.wikipedia.org/wiki/Alfonso_L%C3%B3pez_Trujillo" TargetMode="External"/><Relationship Id="rId1065" Type="http://schemas.openxmlformats.org/officeDocument/2006/relationships/hyperlink" Target="https://en.wikipedia.org/wiki/Roman_Catholic_Archdiocese_of_Turin" TargetMode="External"/><Relationship Id="rId235" Type="http://schemas.openxmlformats.org/officeDocument/2006/relationships/hyperlink" Target="https://en.wikipedia.org/wiki/Cardinal_priest" TargetMode="External"/><Relationship Id="rId477" Type="http://schemas.openxmlformats.org/officeDocument/2006/relationships/hyperlink" Target="https://en.wikipedia.org/wiki/Congregation_for_Bishops" TargetMode="External"/><Relationship Id="rId1066" Type="http://schemas.openxmlformats.org/officeDocument/2006/relationships/hyperlink" Target="https://en.wikipedia.org/wiki/Alexandre-Charles_Renard" TargetMode="External"/><Relationship Id="rId234" Type="http://schemas.openxmlformats.org/officeDocument/2006/relationships/hyperlink" Target="https://en.wikipedia.org/wiki/Italy" TargetMode="External"/><Relationship Id="rId476" Type="http://schemas.openxmlformats.org/officeDocument/2006/relationships/hyperlink" Target="https://en.wikipedia.org/wiki/Cardinal_bishop" TargetMode="External"/><Relationship Id="rId1067" Type="http://schemas.openxmlformats.org/officeDocument/2006/relationships/hyperlink" Target="https://en.wikipedia.org/wiki/France" TargetMode="External"/><Relationship Id="rId233" Type="http://schemas.openxmlformats.org/officeDocument/2006/relationships/hyperlink" Target="https://en.wikipedia.org/wiki/Angelo_Bagnasco" TargetMode="External"/><Relationship Id="rId475" Type="http://schemas.openxmlformats.org/officeDocument/2006/relationships/hyperlink" Target="https://en.wikipedia.org/wiki/Italy" TargetMode="External"/><Relationship Id="rId1068" Type="http://schemas.openxmlformats.org/officeDocument/2006/relationships/hyperlink" Target="https://en.wikipedia.org/wiki/Cardinal_priest" TargetMode="External"/><Relationship Id="rId232" Type="http://schemas.openxmlformats.org/officeDocument/2006/relationships/hyperlink" Target="https://en.wikipedia.org/wiki/Roman_Catholic_Archdiocese_of_Paris" TargetMode="External"/><Relationship Id="rId474" Type="http://schemas.openxmlformats.org/officeDocument/2006/relationships/hyperlink" Target="https://en.wikipedia.org/wiki/Giovanni_Battista_Re" TargetMode="External"/><Relationship Id="rId1069" Type="http://schemas.openxmlformats.org/officeDocument/2006/relationships/hyperlink" Target="https://en.wikipedia.org/wiki/Roman_Catholic_Archdiocese_of_Lyon" TargetMode="External"/><Relationship Id="rId1015" Type="http://schemas.openxmlformats.org/officeDocument/2006/relationships/hyperlink" Target="https://en.wikipedia.org/wiki/Brazil" TargetMode="External"/><Relationship Id="rId1257" Type="http://schemas.openxmlformats.org/officeDocument/2006/relationships/hyperlink" Target="https://en.wikipedia.org/wiki/Roman_Catholic_Archdiocese_of_Kampala" TargetMode="External"/><Relationship Id="rId1016" Type="http://schemas.openxmlformats.org/officeDocument/2006/relationships/hyperlink" Target="https://en.wikipedia.org/wiki/Cardinal_priest" TargetMode="External"/><Relationship Id="rId1258" Type="http://schemas.openxmlformats.org/officeDocument/2006/relationships/hyperlink" Target="https://en.wikipedia.org/wiki/Lawrence_Trevor_Picachy" TargetMode="External"/><Relationship Id="rId1017" Type="http://schemas.openxmlformats.org/officeDocument/2006/relationships/hyperlink" Target="https://en.wikipedia.org/wiki/Sacred_Congregation_for_the_Evangelization_of_Peoples" TargetMode="External"/><Relationship Id="rId1259" Type="http://schemas.openxmlformats.org/officeDocument/2006/relationships/hyperlink" Target="https://en.wikipedia.org/wiki/India" TargetMode="External"/><Relationship Id="rId1018" Type="http://schemas.openxmlformats.org/officeDocument/2006/relationships/hyperlink" Target="https://en.wikipedia.org/wiki/Giovanni_Colombo" TargetMode="External"/><Relationship Id="rId1019" Type="http://schemas.openxmlformats.org/officeDocument/2006/relationships/hyperlink" Target="https://en.wikipedia.org/wiki/Italy" TargetMode="External"/><Relationship Id="rId426" Type="http://schemas.openxmlformats.org/officeDocument/2006/relationships/hyperlink" Target="https://en.wikipedia.org/wiki/Santos_Abril_y_Castell%C3%B3" TargetMode="External"/><Relationship Id="rId668" Type="http://schemas.openxmlformats.org/officeDocument/2006/relationships/hyperlink" Target="https://en.wikipedia.org/wiki/Cardinal_priest" TargetMode="External"/><Relationship Id="rId425" Type="http://schemas.openxmlformats.org/officeDocument/2006/relationships/hyperlink" Target="https://en.wikipedia.org/wiki/Apostolic_Penitentiary" TargetMode="External"/><Relationship Id="rId667" Type="http://schemas.openxmlformats.org/officeDocument/2006/relationships/hyperlink" Target="https://en.wikipedia.org/wiki/Tanzania" TargetMode="External"/><Relationship Id="rId424" Type="http://schemas.openxmlformats.org/officeDocument/2006/relationships/hyperlink" Target="https://en.wikipedia.org/wiki/Cardinal_deacon" TargetMode="External"/><Relationship Id="rId666" Type="http://schemas.openxmlformats.org/officeDocument/2006/relationships/hyperlink" Target="https://en.wikipedia.org/wiki/Polycarp_Pengo" TargetMode="External"/><Relationship Id="rId423" Type="http://schemas.openxmlformats.org/officeDocument/2006/relationships/hyperlink" Target="https://en.wikipedia.org/wiki/Portugal" TargetMode="External"/><Relationship Id="rId665" Type="http://schemas.openxmlformats.org/officeDocument/2006/relationships/hyperlink" Target="https://en.wikipedia.org/wiki/Roman_Catholic_Archdiocese_of_Milan" TargetMode="External"/><Relationship Id="rId429" Type="http://schemas.openxmlformats.org/officeDocument/2006/relationships/hyperlink" Target="https://en.wikipedia.org/wiki/Papal_Basilica_of_Saint_Mary_Major" TargetMode="External"/><Relationship Id="rId428" Type="http://schemas.openxmlformats.org/officeDocument/2006/relationships/hyperlink" Target="https://en.wikipedia.org/wiki/Cardinal_deacon" TargetMode="External"/><Relationship Id="rId427" Type="http://schemas.openxmlformats.org/officeDocument/2006/relationships/hyperlink" Target="https://en.wikipedia.org/wiki/Spain" TargetMode="External"/><Relationship Id="rId669" Type="http://schemas.openxmlformats.org/officeDocument/2006/relationships/hyperlink" Target="https://en.wikipedia.org/wiki/Roman_Catholic_Archdiocese_of_Dar-es-Salaam" TargetMode="External"/><Relationship Id="rId660" Type="http://schemas.openxmlformats.org/officeDocument/2006/relationships/hyperlink" Target="https://en.wikipedia.org/wiki/Cardinal_priest" TargetMode="External"/><Relationship Id="rId1250" Type="http://schemas.openxmlformats.org/officeDocument/2006/relationships/hyperlink" Target="https://en.wikipedia.org/wiki/Hyacinthe_Thiandoum" TargetMode="External"/><Relationship Id="rId1251" Type="http://schemas.openxmlformats.org/officeDocument/2006/relationships/hyperlink" Target="https://en.wikipedia.org/wiki/Senegal" TargetMode="External"/><Relationship Id="rId1010" Type="http://schemas.openxmlformats.org/officeDocument/2006/relationships/hyperlink" Target="https://en.wikipedia.org/wiki/Paul_Zoungrana" TargetMode="External"/><Relationship Id="rId1252" Type="http://schemas.openxmlformats.org/officeDocument/2006/relationships/hyperlink" Target="https://en.wikipedia.org/wiki/Cardinal_priest" TargetMode="External"/><Relationship Id="rId422" Type="http://schemas.openxmlformats.org/officeDocument/2006/relationships/hyperlink" Target="https://en.wikipedia.org/wiki/Manuel_Monteiro_de_Castro" TargetMode="External"/><Relationship Id="rId664" Type="http://schemas.openxmlformats.org/officeDocument/2006/relationships/hyperlink" Target="https://en.wikipedia.org/wiki/Cardinal_priest" TargetMode="External"/><Relationship Id="rId1011" Type="http://schemas.openxmlformats.org/officeDocument/2006/relationships/hyperlink" Target="https://en.wikipedia.org/wiki/Republic_of_Upper_Volta" TargetMode="External"/><Relationship Id="rId1253" Type="http://schemas.openxmlformats.org/officeDocument/2006/relationships/hyperlink" Target="https://en.wikipedia.org/wiki/Roman_Catholic_Archdiocese_of_Dakar" TargetMode="External"/><Relationship Id="rId421" Type="http://schemas.openxmlformats.org/officeDocument/2006/relationships/hyperlink" Target="https://en.wikipedia.org/wiki/Congregation_for_the_Evangelization_of_Peoples" TargetMode="External"/><Relationship Id="rId663" Type="http://schemas.openxmlformats.org/officeDocument/2006/relationships/hyperlink" Target="https://en.wikipedia.org/wiki/Italy" TargetMode="External"/><Relationship Id="rId1012" Type="http://schemas.openxmlformats.org/officeDocument/2006/relationships/hyperlink" Target="https://en.wikipedia.org/wiki/Cardinal_priest" TargetMode="External"/><Relationship Id="rId1254" Type="http://schemas.openxmlformats.org/officeDocument/2006/relationships/hyperlink" Target="https://en.wikipedia.org/wiki/Emmanuel_Nsubuga" TargetMode="External"/><Relationship Id="rId420" Type="http://schemas.openxmlformats.org/officeDocument/2006/relationships/hyperlink" Target="https://en.wikipedia.org/wiki/Cardinal_deacon" TargetMode="External"/><Relationship Id="rId662" Type="http://schemas.openxmlformats.org/officeDocument/2006/relationships/hyperlink" Target="https://en.wikipedia.org/wiki/Dionigi_Tettamanzi" TargetMode="External"/><Relationship Id="rId1013" Type="http://schemas.openxmlformats.org/officeDocument/2006/relationships/hyperlink" Target="https://en.wikipedia.org/wiki/Roman_Catholic_Archdiocese_of_Ouagadougou" TargetMode="External"/><Relationship Id="rId1255" Type="http://schemas.openxmlformats.org/officeDocument/2006/relationships/hyperlink" Target="https://en.wikipedia.org/wiki/Uganda" TargetMode="External"/><Relationship Id="rId661" Type="http://schemas.openxmlformats.org/officeDocument/2006/relationships/hyperlink" Target="https://en.wikipedia.org/wiki/Roman_Catholic_Archdiocese_of_Toronto" TargetMode="External"/><Relationship Id="rId1014" Type="http://schemas.openxmlformats.org/officeDocument/2006/relationships/hyperlink" Target="https://en.wikipedia.org/wiki/Agnelo_Rossi" TargetMode="External"/><Relationship Id="rId1256" Type="http://schemas.openxmlformats.org/officeDocument/2006/relationships/hyperlink" Target="https://en.wikipedia.org/wiki/Cardinal_priest" TargetMode="External"/><Relationship Id="rId1004" Type="http://schemas.openxmlformats.org/officeDocument/2006/relationships/hyperlink" Target="https://en.wikipedia.org/wiki/Cardinal_priest" TargetMode="External"/><Relationship Id="rId1246" Type="http://schemas.openxmlformats.org/officeDocument/2006/relationships/hyperlink" Target="https://en.wikipedia.org/wiki/Joseph-Marie_Tr%E1%BB%8Bnh_Nh%C6%B0_Khu%C3%AA" TargetMode="External"/><Relationship Id="rId1005" Type="http://schemas.openxmlformats.org/officeDocument/2006/relationships/hyperlink" Target="https://en.wikipedia.org/wiki/Roman_Catholic_Archdiocese_of_Florence" TargetMode="External"/><Relationship Id="rId1247" Type="http://schemas.openxmlformats.org/officeDocument/2006/relationships/hyperlink" Target="https://en.wikipedia.org/wiki/Vietnam" TargetMode="External"/><Relationship Id="rId1006" Type="http://schemas.openxmlformats.org/officeDocument/2006/relationships/hyperlink" Target="https://en.wikipedia.org/wiki/Franjo_%C5%A0eper" TargetMode="External"/><Relationship Id="rId1248" Type="http://schemas.openxmlformats.org/officeDocument/2006/relationships/hyperlink" Target="https://en.wikipedia.org/wiki/Cardinal_priest" TargetMode="External"/><Relationship Id="rId1007" Type="http://schemas.openxmlformats.org/officeDocument/2006/relationships/hyperlink" Target="https://en.wikipedia.org/wiki/Socialist_Federal_Republic_of_Yugoslavia" TargetMode="External"/><Relationship Id="rId1249" Type="http://schemas.openxmlformats.org/officeDocument/2006/relationships/hyperlink" Target="https://en.wikipedia.org/wiki/Roman_Catholic_Archdiocese_of_Hanoi" TargetMode="External"/><Relationship Id="rId1008" Type="http://schemas.openxmlformats.org/officeDocument/2006/relationships/hyperlink" Target="https://en.wikipedia.org/wiki/Cardinal_priest" TargetMode="External"/><Relationship Id="rId1009" Type="http://schemas.openxmlformats.org/officeDocument/2006/relationships/hyperlink" Target="https://en.wikipedia.org/wiki/Sacred_Congregation_for_the_Doctrine_of_the_Faith" TargetMode="External"/><Relationship Id="rId415" Type="http://schemas.openxmlformats.org/officeDocument/2006/relationships/hyperlink" Target="https://en.wikipedia.org/wiki/Italy" TargetMode="External"/><Relationship Id="rId657" Type="http://schemas.openxmlformats.org/officeDocument/2006/relationships/hyperlink" Target="https://en.wikipedia.org/wiki/Roman_Catholic_Archdiocese_of_Madrid" TargetMode="External"/><Relationship Id="rId899" Type="http://schemas.openxmlformats.org/officeDocument/2006/relationships/hyperlink" Target="https://en.wikipedia.org/wiki/Italy" TargetMode="External"/><Relationship Id="rId414" Type="http://schemas.openxmlformats.org/officeDocument/2006/relationships/hyperlink" Target="https://en.wikipedia.org/wiki/Gianfranco_Ravasi" TargetMode="External"/><Relationship Id="rId656" Type="http://schemas.openxmlformats.org/officeDocument/2006/relationships/hyperlink" Target="https://en.wikipedia.org/wiki/Cardinal_priest" TargetMode="External"/><Relationship Id="rId898" Type="http://schemas.openxmlformats.org/officeDocument/2006/relationships/hyperlink" Target="https://en.wikipedia.org/wiki/Renato_Raffaele_Martino" TargetMode="External"/><Relationship Id="rId413" Type="http://schemas.openxmlformats.org/officeDocument/2006/relationships/hyperlink" Target="https://en.wikipedia.org/wiki/Prefecture_for_the_Economic_Affairs_of_the_Holy_See" TargetMode="External"/><Relationship Id="rId655" Type="http://schemas.openxmlformats.org/officeDocument/2006/relationships/hyperlink" Target="https://en.wikipedia.org/wiki/Spain" TargetMode="External"/><Relationship Id="rId897" Type="http://schemas.openxmlformats.org/officeDocument/2006/relationships/hyperlink" Target="https://en.wikipedia.org/wiki/Archivist_and_Librarian_of_the_Holy_Roman_Church" TargetMode="External"/><Relationship Id="rId412" Type="http://schemas.openxmlformats.org/officeDocument/2006/relationships/hyperlink" Target="https://en.wikipedia.org/wiki/Cardinal_deacon" TargetMode="External"/><Relationship Id="rId654" Type="http://schemas.openxmlformats.org/officeDocument/2006/relationships/hyperlink" Target="https://en.wikipedia.org/wiki/Antonio_Mar%C3%ADa_Rouco_Varela" TargetMode="External"/><Relationship Id="rId896" Type="http://schemas.openxmlformats.org/officeDocument/2006/relationships/hyperlink" Target="https://en.wikipedia.org/wiki/Cardinal_deacon" TargetMode="External"/><Relationship Id="rId419" Type="http://schemas.openxmlformats.org/officeDocument/2006/relationships/hyperlink" Target="https://en.wikipedia.org/wiki/Italy" TargetMode="External"/><Relationship Id="rId418" Type="http://schemas.openxmlformats.org/officeDocument/2006/relationships/hyperlink" Target="https://en.wikipedia.org/wiki/Fernando_Filoni" TargetMode="External"/><Relationship Id="rId417" Type="http://schemas.openxmlformats.org/officeDocument/2006/relationships/hyperlink" Target="https://en.wikipedia.org/wiki/Pontifical_Council_for_Culture" TargetMode="External"/><Relationship Id="rId659" Type="http://schemas.openxmlformats.org/officeDocument/2006/relationships/hyperlink" Target="https://en.wikipedia.org/wiki/Canada" TargetMode="External"/><Relationship Id="rId416" Type="http://schemas.openxmlformats.org/officeDocument/2006/relationships/hyperlink" Target="https://en.wikipedia.org/wiki/Cardinal_deacon" TargetMode="External"/><Relationship Id="rId658" Type="http://schemas.openxmlformats.org/officeDocument/2006/relationships/hyperlink" Target="https://en.wikipedia.org/wiki/Aloysius_Matthew_Ambrozic" TargetMode="External"/><Relationship Id="rId891" Type="http://schemas.openxmlformats.org/officeDocument/2006/relationships/hyperlink" Target="https://en.wikipedia.org/wiki/Germany" TargetMode="External"/><Relationship Id="rId890" Type="http://schemas.openxmlformats.org/officeDocument/2006/relationships/hyperlink" Target="https://en.wikipedia.org/wiki/Walter_Kasper" TargetMode="External"/><Relationship Id="rId1240" Type="http://schemas.openxmlformats.org/officeDocument/2006/relationships/hyperlink" Target="https://en.wikipedia.org/wiki/Cardinal_priest" TargetMode="External"/><Relationship Id="rId1241" Type="http://schemas.openxmlformats.org/officeDocument/2006/relationships/hyperlink" Target="https://en.wikipedia.org/wiki/Roman_Catholic_Archdiocese_of_Santo_Domingo" TargetMode="External"/><Relationship Id="rId411" Type="http://schemas.openxmlformats.org/officeDocument/2006/relationships/hyperlink" Target="https://en.wikipedia.org/wiki/Italy" TargetMode="External"/><Relationship Id="rId653" Type="http://schemas.openxmlformats.org/officeDocument/2006/relationships/hyperlink" Target="https://en.wikipedia.org/wiki/Roman_Catholic_Archdiocese_of_Palermo" TargetMode="External"/><Relationship Id="rId895" Type="http://schemas.openxmlformats.org/officeDocument/2006/relationships/hyperlink" Target="https://en.wikipedia.org/wiki/France" TargetMode="External"/><Relationship Id="rId1000" Type="http://schemas.openxmlformats.org/officeDocument/2006/relationships/hyperlink" Target="https://en.wikipedia.org/wiki/Cardinal_priest" TargetMode="External"/><Relationship Id="rId1242" Type="http://schemas.openxmlformats.org/officeDocument/2006/relationships/hyperlink" Target="https://en.wikipedia.org/wiki/Juan_Carlos_Aramburu" TargetMode="External"/><Relationship Id="rId410" Type="http://schemas.openxmlformats.org/officeDocument/2006/relationships/hyperlink" Target="https://en.wikipedia.org/wiki/Velasio_De_Paolis" TargetMode="External"/><Relationship Id="rId652" Type="http://schemas.openxmlformats.org/officeDocument/2006/relationships/hyperlink" Target="https://en.wikipedia.org/wiki/Cardinal_priest" TargetMode="External"/><Relationship Id="rId894" Type="http://schemas.openxmlformats.org/officeDocument/2006/relationships/hyperlink" Target="https://en.wikipedia.org/wiki/Jean-Louis_Tauran" TargetMode="External"/><Relationship Id="rId1001" Type="http://schemas.openxmlformats.org/officeDocument/2006/relationships/hyperlink" Target="https://en.wikipedia.org/wiki/Roman_Catholic_Archdiocese_of_Algiers" TargetMode="External"/><Relationship Id="rId1243" Type="http://schemas.openxmlformats.org/officeDocument/2006/relationships/hyperlink" Target="https://en.wikipedia.org/wiki/Argentina" TargetMode="External"/><Relationship Id="rId651" Type="http://schemas.openxmlformats.org/officeDocument/2006/relationships/hyperlink" Target="https://en.wikipedia.org/wiki/Italy" TargetMode="External"/><Relationship Id="rId893" Type="http://schemas.openxmlformats.org/officeDocument/2006/relationships/hyperlink" Target="https://en.wikipedia.org/wiki/Pontifical_Council_for_Promoting_Christian_Unity" TargetMode="External"/><Relationship Id="rId1002" Type="http://schemas.openxmlformats.org/officeDocument/2006/relationships/hyperlink" Target="https://en.wikipedia.org/wiki/Ermenegildo_Florit" TargetMode="External"/><Relationship Id="rId1244" Type="http://schemas.openxmlformats.org/officeDocument/2006/relationships/hyperlink" Target="https://en.wikipedia.org/wiki/Cardinal_priest" TargetMode="External"/><Relationship Id="rId650" Type="http://schemas.openxmlformats.org/officeDocument/2006/relationships/hyperlink" Target="https://en.wikipedia.org/wiki/Salvatore_De_Giorgi" TargetMode="External"/><Relationship Id="rId892" Type="http://schemas.openxmlformats.org/officeDocument/2006/relationships/hyperlink" Target="https://en.wikipedia.org/wiki/Cardinal_deacon" TargetMode="External"/><Relationship Id="rId1003" Type="http://schemas.openxmlformats.org/officeDocument/2006/relationships/hyperlink" Target="https://en.wikipedia.org/wiki/Italy" TargetMode="External"/><Relationship Id="rId1245" Type="http://schemas.openxmlformats.org/officeDocument/2006/relationships/hyperlink" Target="https://en.wikipedia.org/wiki/Roman_Catholic_Archdiocese_of_Buenos_Aires" TargetMode="External"/><Relationship Id="rId1037" Type="http://schemas.openxmlformats.org/officeDocument/2006/relationships/hyperlink" Target="https://en.wikipedia.org/wiki/Roman_Catholic_Archdiocese_of_Sucre" TargetMode="External"/><Relationship Id="rId1279" Type="http://schemas.openxmlformats.org/officeDocument/2006/relationships/hyperlink" Target="https://en.wikipedia.org/wiki/Hungarian_People%27s_Republic" TargetMode="External"/><Relationship Id="rId1038" Type="http://schemas.openxmlformats.org/officeDocument/2006/relationships/hyperlink" Target="https://en.wikipedia.org/wiki/John_Joseph_Krol" TargetMode="External"/><Relationship Id="rId1039" Type="http://schemas.openxmlformats.org/officeDocument/2006/relationships/hyperlink" Target="https://en.wikipedia.org/wiki/United_States" TargetMode="External"/><Relationship Id="rId206" Type="http://schemas.openxmlformats.org/officeDocument/2006/relationships/hyperlink" Target="https://en.wikipedia.org/wiki/Spain" TargetMode="External"/><Relationship Id="rId448" Type="http://schemas.openxmlformats.org/officeDocument/2006/relationships/hyperlink" Target="https://en.wikipedia.org/wiki/Cardinal_deacon" TargetMode="External"/><Relationship Id="rId205" Type="http://schemas.openxmlformats.org/officeDocument/2006/relationships/hyperlink" Target="https://en.wikipedia.org/wiki/Antonio_Ca%C3%B1izares_Llovera" TargetMode="External"/><Relationship Id="rId447" Type="http://schemas.openxmlformats.org/officeDocument/2006/relationships/hyperlink" Target="https://en.wikipedia.org/wiki/United_States" TargetMode="External"/><Relationship Id="rId689" Type="http://schemas.openxmlformats.org/officeDocument/2006/relationships/hyperlink" Target="https://en.wikipedia.org/wiki/Roman_Catholic_Archdiocese_of_Riga" TargetMode="External"/><Relationship Id="rId204" Type="http://schemas.openxmlformats.org/officeDocument/2006/relationships/hyperlink" Target="https://en.wikipedia.org/wiki/Roman_Catholic_Archdiocese_of_Bordeaux" TargetMode="External"/><Relationship Id="rId446" Type="http://schemas.openxmlformats.org/officeDocument/2006/relationships/hyperlink" Target="https://en.wikipedia.org/wiki/Edwin_Frederick_O%27Brien" TargetMode="External"/><Relationship Id="rId688" Type="http://schemas.openxmlformats.org/officeDocument/2006/relationships/hyperlink" Target="https://en.wikipedia.org/wiki/Cardinal_priest" TargetMode="External"/><Relationship Id="rId203" Type="http://schemas.openxmlformats.org/officeDocument/2006/relationships/hyperlink" Target="https://en.wikipedia.org/wiki/Cardinal_priest" TargetMode="External"/><Relationship Id="rId445" Type="http://schemas.openxmlformats.org/officeDocument/2006/relationships/hyperlink" Target="https://en.wikipedia.org/wiki/Congregation_for_Institutes_of_Consecrated_Life_and_Societies_of_Apostolic_Life" TargetMode="External"/><Relationship Id="rId687" Type="http://schemas.openxmlformats.org/officeDocument/2006/relationships/hyperlink" Target="https://en.wikipedia.org/wiki/Latvia" TargetMode="External"/><Relationship Id="rId209" Type="http://schemas.openxmlformats.org/officeDocument/2006/relationships/hyperlink" Target="https://en.wikipedia.org/wiki/Se%C3%A1n_Patrick_O%27Malley" TargetMode="External"/><Relationship Id="rId208" Type="http://schemas.openxmlformats.org/officeDocument/2006/relationships/hyperlink" Target="https://en.wikipedia.org/wiki/Congregation_for_Divine_Worship_and_the_Discipline_of_the_Sacraments" TargetMode="External"/><Relationship Id="rId207" Type="http://schemas.openxmlformats.org/officeDocument/2006/relationships/hyperlink" Target="https://en.wikipedia.org/wiki/Cardinal_priest" TargetMode="External"/><Relationship Id="rId449" Type="http://schemas.openxmlformats.org/officeDocument/2006/relationships/hyperlink" Target="https://en.wikipedia.org/wiki/Order_of_the_Holy_Sepulchre" TargetMode="External"/><Relationship Id="rId1270" Type="http://schemas.openxmlformats.org/officeDocument/2006/relationships/hyperlink" Target="https://en.wikipedia.org/wiki/Alo%C3%ADsio_Lorscheider" TargetMode="External"/><Relationship Id="rId440" Type="http://schemas.openxmlformats.org/officeDocument/2006/relationships/hyperlink" Target="https://en.wikipedia.org/wiki/Cardinal_deacon" TargetMode="External"/><Relationship Id="rId682" Type="http://schemas.openxmlformats.org/officeDocument/2006/relationships/hyperlink" Target="https://en.wikipedia.org/wiki/Marian_Jaworski" TargetMode="External"/><Relationship Id="rId1271" Type="http://schemas.openxmlformats.org/officeDocument/2006/relationships/hyperlink" Target="https://en.wikipedia.org/wiki/Brazil" TargetMode="External"/><Relationship Id="rId681" Type="http://schemas.openxmlformats.org/officeDocument/2006/relationships/hyperlink" Target="https://en.wikipedia.org/wiki/Roman_Catholic_Archdiocese_of_Chicago" TargetMode="External"/><Relationship Id="rId1030" Type="http://schemas.openxmlformats.org/officeDocument/2006/relationships/hyperlink" Target="https://en.wikipedia.org/wiki/Maximilien_de_Furstenberg" TargetMode="External"/><Relationship Id="rId1272" Type="http://schemas.openxmlformats.org/officeDocument/2006/relationships/hyperlink" Target="https://en.wikipedia.org/wiki/Cardinal_priest" TargetMode="External"/><Relationship Id="rId680" Type="http://schemas.openxmlformats.org/officeDocument/2006/relationships/hyperlink" Target="https://en.wikipedia.org/wiki/Cardinal_priest" TargetMode="External"/><Relationship Id="rId1031" Type="http://schemas.openxmlformats.org/officeDocument/2006/relationships/hyperlink" Target="https://en.wikipedia.org/wiki/Belgium" TargetMode="External"/><Relationship Id="rId1273" Type="http://schemas.openxmlformats.org/officeDocument/2006/relationships/hyperlink" Target="https://en.wikipedia.org/wiki/Roman_Catholic_Archdiocese_of_Fortaleza" TargetMode="External"/><Relationship Id="rId1032" Type="http://schemas.openxmlformats.org/officeDocument/2006/relationships/hyperlink" Target="https://en.wikipedia.org/wiki/Cardinal_priest" TargetMode="External"/><Relationship Id="rId1274" Type="http://schemas.openxmlformats.org/officeDocument/2006/relationships/hyperlink" Target="https://en.wikipedia.org/wiki/Reginald_Delargey" TargetMode="External"/><Relationship Id="rId202" Type="http://schemas.openxmlformats.org/officeDocument/2006/relationships/hyperlink" Target="https://en.wikipedia.org/wiki/France" TargetMode="External"/><Relationship Id="rId444" Type="http://schemas.openxmlformats.org/officeDocument/2006/relationships/hyperlink" Target="https://en.wikipedia.org/wiki/Cardinal_deacon" TargetMode="External"/><Relationship Id="rId686" Type="http://schemas.openxmlformats.org/officeDocument/2006/relationships/hyperlink" Target="https://en.wikipedia.org/wiki/J%C4%81nis_Pujats" TargetMode="External"/><Relationship Id="rId1033" Type="http://schemas.openxmlformats.org/officeDocument/2006/relationships/hyperlink" Target="https://en.wikipedia.org/wiki/Order_of_the_Holy_Sepulchre" TargetMode="External"/><Relationship Id="rId1275" Type="http://schemas.openxmlformats.org/officeDocument/2006/relationships/hyperlink" Target="https://en.wikipedia.org/wiki/New_Zealand" TargetMode="External"/><Relationship Id="rId201" Type="http://schemas.openxmlformats.org/officeDocument/2006/relationships/hyperlink" Target="https://en.wikipedia.org/wiki/Jean-Pierre_Ricard" TargetMode="External"/><Relationship Id="rId443" Type="http://schemas.openxmlformats.org/officeDocument/2006/relationships/hyperlink" Target="https://en.wikipedia.org/wiki/Brazil" TargetMode="External"/><Relationship Id="rId685" Type="http://schemas.openxmlformats.org/officeDocument/2006/relationships/hyperlink" Target="https://en.wikipedia.org/wiki/Roman_Catholic_Archdiocese_of_Lviv" TargetMode="External"/><Relationship Id="rId1034" Type="http://schemas.openxmlformats.org/officeDocument/2006/relationships/hyperlink" Target="https://en.wikipedia.org/wiki/Jos%C3%A9_Clemente_Maurer" TargetMode="External"/><Relationship Id="rId1276" Type="http://schemas.openxmlformats.org/officeDocument/2006/relationships/hyperlink" Target="https://en.wikipedia.org/wiki/Cardinal_priest" TargetMode="External"/><Relationship Id="rId200" Type="http://schemas.openxmlformats.org/officeDocument/2006/relationships/hyperlink" Target="https://en.wikipedia.org/wiki/Roman_Catholic_Archdiocese_of_Caracas" TargetMode="External"/><Relationship Id="rId442" Type="http://schemas.openxmlformats.org/officeDocument/2006/relationships/hyperlink" Target="https://en.wikipedia.org/wiki/Jo%C3%A3o_Braz_de_Aviz" TargetMode="External"/><Relationship Id="rId684" Type="http://schemas.openxmlformats.org/officeDocument/2006/relationships/hyperlink" Target="https://en.wikipedia.org/wiki/Cardinal_priest" TargetMode="External"/><Relationship Id="rId1035" Type="http://schemas.openxmlformats.org/officeDocument/2006/relationships/hyperlink" Target="https://en.wikipedia.org/wiki/Bolivia" TargetMode="External"/><Relationship Id="rId1277" Type="http://schemas.openxmlformats.org/officeDocument/2006/relationships/hyperlink" Target="https://en.wikipedia.org/wiki/Roman_Catholic_Archdiocese_of_Wellington" TargetMode="External"/><Relationship Id="rId441" Type="http://schemas.openxmlformats.org/officeDocument/2006/relationships/hyperlink" Target="https://en.wikipedia.org/wiki/Pontifical_Council_for_Legislative_Texts" TargetMode="External"/><Relationship Id="rId683" Type="http://schemas.openxmlformats.org/officeDocument/2006/relationships/hyperlink" Target="https://en.wikipedia.org/wiki/Poland" TargetMode="External"/><Relationship Id="rId1036" Type="http://schemas.openxmlformats.org/officeDocument/2006/relationships/hyperlink" Target="https://en.wikipedia.org/wiki/Cardinal_priest" TargetMode="External"/><Relationship Id="rId1278" Type="http://schemas.openxmlformats.org/officeDocument/2006/relationships/hyperlink" Target="https://en.wikipedia.org/wiki/L%C3%A1szl%C3%B3_L%C3%A9kai" TargetMode="External"/><Relationship Id="rId1026" Type="http://schemas.openxmlformats.org/officeDocument/2006/relationships/hyperlink" Target="https://en.wikipedia.org/wiki/Egidio_Vagnozzi" TargetMode="External"/><Relationship Id="rId1268" Type="http://schemas.openxmlformats.org/officeDocument/2006/relationships/hyperlink" Target="https://en.wikipedia.org/wiki/Cardinal_priest" TargetMode="External"/><Relationship Id="rId1027" Type="http://schemas.openxmlformats.org/officeDocument/2006/relationships/hyperlink" Target="https://en.wikipedia.org/wiki/Italy" TargetMode="External"/><Relationship Id="rId1269" Type="http://schemas.openxmlformats.org/officeDocument/2006/relationships/hyperlink" Target="https://en.wikipedia.org/wiki/Roman_Catholic_Archdiocese_of_Washington" TargetMode="External"/><Relationship Id="rId1028" Type="http://schemas.openxmlformats.org/officeDocument/2006/relationships/hyperlink" Target="https://en.wikipedia.org/wiki/Cardinal_priest" TargetMode="External"/><Relationship Id="rId1029" Type="http://schemas.openxmlformats.org/officeDocument/2006/relationships/hyperlink" Target="https://en.wikipedia.org/wiki/Prefecture_for_the_Economic_Affairs_of_the_Holy_See" TargetMode="External"/><Relationship Id="rId437" Type="http://schemas.openxmlformats.org/officeDocument/2006/relationships/hyperlink" Target="https://en.wikipedia.org/wiki/Pontifical_Commission_for_Vatican_City_State" TargetMode="External"/><Relationship Id="rId679" Type="http://schemas.openxmlformats.org/officeDocument/2006/relationships/hyperlink" Target="https://en.wikipedia.org/wiki/United_States" TargetMode="External"/><Relationship Id="rId436" Type="http://schemas.openxmlformats.org/officeDocument/2006/relationships/hyperlink" Target="https://en.wikipedia.org/wiki/Cardinal_deacon" TargetMode="External"/><Relationship Id="rId678" Type="http://schemas.openxmlformats.org/officeDocument/2006/relationships/hyperlink" Target="https://en.wikipedia.org/wiki/Francis_Eugene_George" TargetMode="External"/><Relationship Id="rId435" Type="http://schemas.openxmlformats.org/officeDocument/2006/relationships/hyperlink" Target="https://en.wikipedia.org/wiki/Italy" TargetMode="External"/><Relationship Id="rId677" Type="http://schemas.openxmlformats.org/officeDocument/2006/relationships/hyperlink" Target="https://en.wikipedia.org/wiki/Roman_Catholic_Archdiocese_of_Mexico" TargetMode="External"/><Relationship Id="rId434" Type="http://schemas.openxmlformats.org/officeDocument/2006/relationships/hyperlink" Target="https://en.wikipedia.org/wiki/Giuseppe_Bertello" TargetMode="External"/><Relationship Id="rId676" Type="http://schemas.openxmlformats.org/officeDocument/2006/relationships/hyperlink" Target="https://en.wikipedia.org/wiki/Cardinal_priest" TargetMode="External"/><Relationship Id="rId439" Type="http://schemas.openxmlformats.org/officeDocument/2006/relationships/hyperlink" Target="https://en.wikipedia.org/wiki/Italy" TargetMode="External"/><Relationship Id="rId438" Type="http://schemas.openxmlformats.org/officeDocument/2006/relationships/hyperlink" Target="https://en.wikipedia.org/wiki/Francesco_Coccopalmerio" TargetMode="External"/><Relationship Id="rId671" Type="http://schemas.openxmlformats.org/officeDocument/2006/relationships/hyperlink" Target="https://en.wikipedia.org/wiki/Austria" TargetMode="External"/><Relationship Id="rId1260" Type="http://schemas.openxmlformats.org/officeDocument/2006/relationships/hyperlink" Target="https://en.wikipedia.org/wiki/Cardinal_priest" TargetMode="External"/><Relationship Id="rId670" Type="http://schemas.openxmlformats.org/officeDocument/2006/relationships/hyperlink" Target="https://en.wikipedia.org/wiki/Christoph_Sch%C3%B6nborn" TargetMode="External"/><Relationship Id="rId1261" Type="http://schemas.openxmlformats.org/officeDocument/2006/relationships/hyperlink" Target="https://en.wikipedia.org/wiki/Roman_Catholic_Archdiocese_of_Calcutta" TargetMode="External"/><Relationship Id="rId1020" Type="http://schemas.openxmlformats.org/officeDocument/2006/relationships/hyperlink" Target="https://en.wikipedia.org/wiki/Cardinal_priest" TargetMode="External"/><Relationship Id="rId1262" Type="http://schemas.openxmlformats.org/officeDocument/2006/relationships/hyperlink" Target="https://en.wikipedia.org/wiki/Jaime_Lachica_Sin" TargetMode="External"/><Relationship Id="rId1021" Type="http://schemas.openxmlformats.org/officeDocument/2006/relationships/hyperlink" Target="https://en.wikipedia.org/wiki/Roman_Catholic_Archdiocese_of_Milan" TargetMode="External"/><Relationship Id="rId1263" Type="http://schemas.openxmlformats.org/officeDocument/2006/relationships/hyperlink" Target="https://en.wikipedia.org/wiki/Philippines" TargetMode="External"/><Relationship Id="rId433" Type="http://schemas.openxmlformats.org/officeDocument/2006/relationships/hyperlink" Target="https://en.wikipedia.org/wiki/Pontifical_Council_for_the_Pastoral_Care_of_Migrants_and_Itinerant_People" TargetMode="External"/><Relationship Id="rId675" Type="http://schemas.openxmlformats.org/officeDocument/2006/relationships/hyperlink" Target="https://en.wikipedia.org/wiki/Mexico" TargetMode="External"/><Relationship Id="rId1022" Type="http://schemas.openxmlformats.org/officeDocument/2006/relationships/hyperlink" Target="https://en.wikipedia.org/wiki/Gabriel-Marie_Garrone" TargetMode="External"/><Relationship Id="rId1264" Type="http://schemas.openxmlformats.org/officeDocument/2006/relationships/hyperlink" Target="https://en.wikipedia.org/wiki/Cardinal_priest" TargetMode="External"/><Relationship Id="rId432" Type="http://schemas.openxmlformats.org/officeDocument/2006/relationships/hyperlink" Target="https://en.wikipedia.org/wiki/Cardinal_deacon" TargetMode="External"/><Relationship Id="rId674" Type="http://schemas.openxmlformats.org/officeDocument/2006/relationships/hyperlink" Target="https://en.wikipedia.org/wiki/Norberto_Rivera_Carrera" TargetMode="External"/><Relationship Id="rId1023" Type="http://schemas.openxmlformats.org/officeDocument/2006/relationships/hyperlink" Target="https://en.wikipedia.org/wiki/France" TargetMode="External"/><Relationship Id="rId1265" Type="http://schemas.openxmlformats.org/officeDocument/2006/relationships/hyperlink" Target="https://en.wikipedia.org/wiki/Roman_Catholic_Archdiocese_of_Manila" TargetMode="External"/><Relationship Id="rId431" Type="http://schemas.openxmlformats.org/officeDocument/2006/relationships/hyperlink" Target="https://en.wikipedia.org/wiki/Italy" TargetMode="External"/><Relationship Id="rId673" Type="http://schemas.openxmlformats.org/officeDocument/2006/relationships/hyperlink" Target="https://en.wikipedia.org/wiki/Roman_Catholic_Archdiocese_of_Vienna" TargetMode="External"/><Relationship Id="rId1024" Type="http://schemas.openxmlformats.org/officeDocument/2006/relationships/hyperlink" Target="https://en.wikipedia.org/wiki/Cardinal_priest" TargetMode="External"/><Relationship Id="rId1266" Type="http://schemas.openxmlformats.org/officeDocument/2006/relationships/hyperlink" Target="https://en.wikipedia.org/wiki/William_Wakefield_Baum" TargetMode="External"/><Relationship Id="rId430" Type="http://schemas.openxmlformats.org/officeDocument/2006/relationships/hyperlink" Target="https://en.wikipedia.org/wiki/Antonio_Maria_Vegli%C3%B2" TargetMode="External"/><Relationship Id="rId672" Type="http://schemas.openxmlformats.org/officeDocument/2006/relationships/hyperlink" Target="https://en.wikipedia.org/wiki/Cardinal_priest" TargetMode="External"/><Relationship Id="rId1025" Type="http://schemas.openxmlformats.org/officeDocument/2006/relationships/hyperlink" Target="https://en.wikipedia.org/wiki/Sacred_Congregation_for_Catholic_Education" TargetMode="External"/><Relationship Id="rId1267" Type="http://schemas.openxmlformats.org/officeDocument/2006/relationships/hyperlink" Target="https://en.wikipedia.org/wiki/United_St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1.5"/>
    <col customWidth="1" min="2" max="2" width="11.63"/>
    <col customWidth="1" min="3" max="3" width="6.63"/>
    <col customWidth="1" min="4" max="4" width="22.75"/>
    <col customWidth="1" min="5" max="5" width="5.5"/>
    <col customWidth="1" min="8" max="8" width="10.0"/>
    <col customWidth="1" min="9" max="10" width="10.88"/>
    <col customWidth="1" min="13" max="13" width="21.88"/>
    <col customWidth="1" min="18" max="18" width="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7" t="s">
        <v>16</v>
      </c>
      <c r="R1" s="1" t="s">
        <v>17</v>
      </c>
    </row>
    <row r="2">
      <c r="A2" s="3" t="s">
        <v>18</v>
      </c>
      <c r="B2" s="1" t="s">
        <v>19</v>
      </c>
      <c r="C2" s="2">
        <v>1.0</v>
      </c>
      <c r="D2" s="1" t="s">
        <v>20</v>
      </c>
      <c r="E2" s="1">
        <f>IFERROR(__xludf.DUMMYFUNCTION("IF(D2="""", 0, COUNTA(SPLIT(D2, "" "")))"),2.0)</f>
        <v>2</v>
      </c>
      <c r="F2" s="8" t="s">
        <v>21</v>
      </c>
      <c r="G2" s="3" t="s">
        <v>22</v>
      </c>
      <c r="H2" s="4">
        <f t="shared" ref="H2:H361" si="1">(A2-G2) / 365.25</f>
        <v>75.3155373</v>
      </c>
      <c r="I2" s="9">
        <f t="shared" ref="I2:I361" si="2">(A2-K2)/365.25</f>
        <v>52.26283368</v>
      </c>
      <c r="J2" s="10" t="s">
        <v>23</v>
      </c>
      <c r="K2" s="11" t="s">
        <v>24</v>
      </c>
      <c r="L2" s="1" t="s">
        <v>25</v>
      </c>
      <c r="M2" s="1" t="s">
        <v>26</v>
      </c>
      <c r="N2" s="1">
        <v>0.0</v>
      </c>
      <c r="O2" s="1">
        <v>0.0</v>
      </c>
      <c r="P2" s="1">
        <v>0.0</v>
      </c>
      <c r="Q2" s="1" t="s">
        <v>27</v>
      </c>
      <c r="R2" s="1" t="s">
        <v>28</v>
      </c>
    </row>
    <row r="3">
      <c r="A3" s="3" t="s">
        <v>29</v>
      </c>
      <c r="B3" s="1" t="s">
        <v>30</v>
      </c>
      <c r="C3" s="2">
        <v>1.0</v>
      </c>
      <c r="D3" s="1" t="s">
        <v>31</v>
      </c>
      <c r="E3" s="1">
        <f>IFERROR(__xludf.DUMMYFUNCTION("IF(D3="""", 0, COUNTA(SPLIT(D3, "" "")))"),2.0)</f>
        <v>2</v>
      </c>
      <c r="F3" s="8" t="s">
        <v>32</v>
      </c>
      <c r="G3" s="3" t="s">
        <v>33</v>
      </c>
      <c r="H3" s="4">
        <f t="shared" si="1"/>
        <v>78.2587269</v>
      </c>
      <c r="I3" s="9">
        <f t="shared" si="2"/>
        <v>24.15331964</v>
      </c>
      <c r="J3" s="10" t="s">
        <v>23</v>
      </c>
      <c r="K3" s="11" t="s">
        <v>34</v>
      </c>
      <c r="L3" s="1" t="s">
        <v>35</v>
      </c>
      <c r="M3" s="1" t="s">
        <v>36</v>
      </c>
      <c r="N3" s="1">
        <v>0.0</v>
      </c>
      <c r="O3" s="1">
        <v>0.0</v>
      </c>
      <c r="P3" s="1">
        <v>0.0</v>
      </c>
      <c r="Q3" s="1" t="s">
        <v>27</v>
      </c>
      <c r="R3" s="1" t="s">
        <v>28</v>
      </c>
    </row>
    <row r="4">
      <c r="A4" s="3" t="s">
        <v>37</v>
      </c>
      <c r="B4" s="1" t="s">
        <v>38</v>
      </c>
      <c r="C4" s="2">
        <v>23.0</v>
      </c>
      <c r="D4" s="1" t="s">
        <v>39</v>
      </c>
      <c r="E4" s="1">
        <f>IFERROR(__xludf.DUMMYFUNCTION("IF(D4="""", 0, COUNTA(SPLIT(D4, "" "")))"),3.0)</f>
        <v>3</v>
      </c>
      <c r="F4" s="8" t="s">
        <v>40</v>
      </c>
      <c r="G4" s="3" t="s">
        <v>41</v>
      </c>
      <c r="H4" s="4">
        <f t="shared" si="1"/>
        <v>65.3798768</v>
      </c>
      <c r="I4" s="9">
        <f t="shared" si="2"/>
        <v>12.29842574</v>
      </c>
      <c r="J4" s="10" t="s">
        <v>42</v>
      </c>
      <c r="K4" s="11" t="s">
        <v>43</v>
      </c>
      <c r="L4" s="1" t="s">
        <v>19</v>
      </c>
      <c r="M4" s="1" t="s">
        <v>44</v>
      </c>
      <c r="N4" s="1">
        <v>0.0</v>
      </c>
      <c r="O4" s="1">
        <v>0.0</v>
      </c>
      <c r="P4" s="1">
        <v>0.0</v>
      </c>
      <c r="Q4" s="1" t="s">
        <v>27</v>
      </c>
      <c r="R4" s="1" t="s">
        <v>28</v>
      </c>
    </row>
    <row r="5">
      <c r="A5" s="3" t="s">
        <v>45</v>
      </c>
      <c r="B5" s="1" t="s">
        <v>46</v>
      </c>
      <c r="C5" s="2">
        <v>25.0</v>
      </c>
      <c r="D5" s="1" t="s">
        <v>47</v>
      </c>
      <c r="E5" s="1">
        <f>IFERROR(__xludf.DUMMYFUNCTION("IF(D5="""", 0, COUNTA(SPLIT(D5, "" "")))"),5.0)</f>
        <v>5</v>
      </c>
      <c r="F5" s="8" t="s">
        <v>48</v>
      </c>
      <c r="G5" s="3" t="s">
        <v>49</v>
      </c>
      <c r="H5" s="4">
        <f t="shared" si="1"/>
        <v>65.32785763</v>
      </c>
      <c r="I5" s="9">
        <f t="shared" si="2"/>
        <v>20.54209446</v>
      </c>
      <c r="J5" s="10" t="s">
        <v>42</v>
      </c>
      <c r="K5" s="11" t="s">
        <v>50</v>
      </c>
      <c r="L5" s="1" t="s">
        <v>30</v>
      </c>
      <c r="M5" s="1" t="s">
        <v>51</v>
      </c>
      <c r="N5" s="1">
        <v>0.0</v>
      </c>
      <c r="O5" s="1">
        <v>0.0</v>
      </c>
      <c r="P5" s="1">
        <v>0.0</v>
      </c>
      <c r="Q5" s="1" t="s">
        <v>27</v>
      </c>
      <c r="R5" s="1" t="s">
        <v>28</v>
      </c>
    </row>
    <row r="6">
      <c r="A6" s="3" t="s">
        <v>52</v>
      </c>
      <c r="B6" s="1" t="s">
        <v>53</v>
      </c>
      <c r="C6" s="2">
        <v>50.0</v>
      </c>
      <c r="D6" s="1" t="s">
        <v>54</v>
      </c>
      <c r="E6" s="1">
        <f>IFERROR(__xludf.DUMMYFUNCTION("IF(D6="""", 0, COUNTA(SPLIT(D6, "" "")))"),4.0)</f>
        <v>4</v>
      </c>
      <c r="F6" s="8" t="s">
        <v>55</v>
      </c>
      <c r="G6" s="3" t="s">
        <v>56</v>
      </c>
      <c r="H6" s="4">
        <f t="shared" si="1"/>
        <v>63.54825462</v>
      </c>
      <c r="I6" s="9">
        <f t="shared" si="2"/>
        <v>9.650924025</v>
      </c>
      <c r="J6" s="10" t="s">
        <v>42</v>
      </c>
      <c r="K6" s="11" t="s">
        <v>57</v>
      </c>
      <c r="L6" s="1" t="s">
        <v>46</v>
      </c>
      <c r="M6" s="1" t="s">
        <v>58</v>
      </c>
      <c r="N6" s="1">
        <v>0.0</v>
      </c>
      <c r="O6" s="1">
        <v>0.0</v>
      </c>
      <c r="P6" s="1">
        <v>0.0</v>
      </c>
      <c r="Q6" s="1" t="s">
        <v>27</v>
      </c>
      <c r="R6" s="1" t="s">
        <v>28</v>
      </c>
    </row>
    <row r="7">
      <c r="A7" s="3" t="s">
        <v>59</v>
      </c>
      <c r="B7" s="1" t="s">
        <v>60</v>
      </c>
      <c r="C7" s="2">
        <v>35.0</v>
      </c>
      <c r="D7" s="1" t="s">
        <v>61</v>
      </c>
      <c r="E7" s="1">
        <f>IFERROR(__xludf.DUMMYFUNCTION("IF(D7="""", 0, COUNTA(SPLIT(D7, "" "")))"),7.0)</f>
        <v>7</v>
      </c>
      <c r="F7" s="8" t="s">
        <v>62</v>
      </c>
      <c r="G7" s="3" t="s">
        <v>63</v>
      </c>
      <c r="H7" s="4">
        <f t="shared" si="1"/>
        <v>57.14168378</v>
      </c>
      <c r="I7" s="9">
        <f t="shared" si="2"/>
        <v>1.80698152</v>
      </c>
      <c r="J7" s="10" t="s">
        <v>42</v>
      </c>
      <c r="K7" s="11" t="s">
        <v>64</v>
      </c>
      <c r="L7" s="1" t="s">
        <v>53</v>
      </c>
      <c r="M7" s="1" t="s">
        <v>65</v>
      </c>
      <c r="N7" s="1">
        <v>0.0</v>
      </c>
      <c r="O7" s="1">
        <v>0.0</v>
      </c>
      <c r="P7" s="1">
        <v>0.0</v>
      </c>
      <c r="Q7" s="1" t="s">
        <v>27</v>
      </c>
      <c r="R7" s="1" t="s">
        <v>28</v>
      </c>
    </row>
    <row r="8">
      <c r="A8" s="3" t="s">
        <v>66</v>
      </c>
      <c r="B8" s="1" t="s">
        <v>67</v>
      </c>
      <c r="C8" s="2">
        <v>50.0</v>
      </c>
      <c r="D8" s="1" t="s">
        <v>68</v>
      </c>
      <c r="E8" s="1">
        <f>IFERROR(__xludf.DUMMYFUNCTION("IF(D8="""", 0, COUNTA(SPLIT(D8, "" "")))"),5.0)</f>
        <v>5</v>
      </c>
      <c r="F8" s="8" t="s">
        <v>69</v>
      </c>
      <c r="G8" s="3" t="s">
        <v>70</v>
      </c>
      <c r="H8" s="4">
        <f t="shared" si="1"/>
        <v>57.5797399</v>
      </c>
      <c r="I8" s="9">
        <f t="shared" si="2"/>
        <v>15.07460643</v>
      </c>
      <c r="J8" s="10" t="s">
        <v>42</v>
      </c>
      <c r="K8" s="11" t="s">
        <v>71</v>
      </c>
      <c r="L8" s="1" t="s">
        <v>60</v>
      </c>
      <c r="M8" s="1" t="s">
        <v>72</v>
      </c>
      <c r="N8" s="1">
        <v>0.0</v>
      </c>
      <c r="O8" s="1">
        <v>0.0</v>
      </c>
      <c r="P8" s="1">
        <v>0.0</v>
      </c>
      <c r="Q8" s="1" t="s">
        <v>27</v>
      </c>
      <c r="R8" s="1" t="s">
        <v>28</v>
      </c>
    </row>
    <row r="9">
      <c r="A9" s="3" t="s">
        <v>73</v>
      </c>
      <c r="B9" s="1" t="s">
        <v>74</v>
      </c>
      <c r="C9" s="2">
        <v>8.0</v>
      </c>
      <c r="D9" s="1" t="s">
        <v>75</v>
      </c>
      <c r="E9" s="1">
        <f>IFERROR(__xludf.DUMMYFUNCTION("IF(D9="""", 0, COUNTA(SPLIT(D9, "" "")))"),8.0)</f>
        <v>8</v>
      </c>
      <c r="F9" s="8" t="s">
        <v>76</v>
      </c>
      <c r="G9" s="3" t="s">
        <v>77</v>
      </c>
      <c r="H9" s="4">
        <f t="shared" si="1"/>
        <v>63.09650924</v>
      </c>
      <c r="I9" s="9">
        <f t="shared" si="2"/>
        <v>7.556468172</v>
      </c>
      <c r="J9" s="10" t="s">
        <v>42</v>
      </c>
      <c r="K9" s="11" t="s">
        <v>78</v>
      </c>
      <c r="L9" s="1" t="s">
        <v>67</v>
      </c>
      <c r="M9" s="1" t="s">
        <v>79</v>
      </c>
      <c r="N9" s="1">
        <v>0.0</v>
      </c>
      <c r="O9" s="1">
        <v>0.0</v>
      </c>
      <c r="P9" s="1">
        <v>0.0</v>
      </c>
      <c r="Q9" s="1" t="s">
        <v>27</v>
      </c>
      <c r="R9" s="1" t="s">
        <v>28</v>
      </c>
    </row>
    <row r="10">
      <c r="A10" s="3" t="s">
        <v>80</v>
      </c>
      <c r="B10" s="1" t="s">
        <v>81</v>
      </c>
      <c r="C10" s="2">
        <v>9.0</v>
      </c>
      <c r="D10" s="1" t="s">
        <v>82</v>
      </c>
      <c r="E10" s="1">
        <f>IFERROR(__xludf.DUMMYFUNCTION("IF(D10="""", 0, COUNTA(SPLIT(D10, "" "")))"),5.0)</f>
        <v>5</v>
      </c>
      <c r="F10" s="8" t="s">
        <v>83</v>
      </c>
      <c r="G10" s="3" t="s">
        <v>84</v>
      </c>
      <c r="H10" s="4">
        <f t="shared" si="1"/>
        <v>67.35660507</v>
      </c>
      <c r="I10" s="9">
        <f t="shared" si="2"/>
        <v>13.06228611</v>
      </c>
      <c r="J10" s="10" t="s">
        <v>42</v>
      </c>
      <c r="K10" s="11" t="s">
        <v>78</v>
      </c>
      <c r="L10" s="1" t="s">
        <v>67</v>
      </c>
      <c r="M10" s="1" t="s">
        <v>85</v>
      </c>
      <c r="N10" s="1">
        <v>0.0</v>
      </c>
      <c r="O10" s="1">
        <v>0.0</v>
      </c>
      <c r="P10" s="1">
        <v>0.0</v>
      </c>
      <c r="Q10" s="1" t="s">
        <v>27</v>
      </c>
      <c r="R10" s="1" t="s">
        <v>28</v>
      </c>
    </row>
    <row r="11">
      <c r="A11" s="3" t="s">
        <v>86</v>
      </c>
      <c r="B11" s="1" t="s">
        <v>87</v>
      </c>
      <c r="C11" s="2">
        <v>45.0</v>
      </c>
      <c r="D11" s="1" t="s">
        <v>88</v>
      </c>
      <c r="E11" s="1">
        <f>IFERROR(__xludf.DUMMYFUNCTION("IF(D11="""", 0, COUNTA(SPLIT(D11, "" "")))"),3.0)</f>
        <v>3</v>
      </c>
      <c r="F11" s="8" t="s">
        <v>89</v>
      </c>
      <c r="G11" s="3" t="s">
        <v>90</v>
      </c>
      <c r="H11" s="4">
        <f t="shared" si="1"/>
        <v>65.37166324</v>
      </c>
      <c r="I11" s="9">
        <f t="shared" si="2"/>
        <v>5.869952088</v>
      </c>
      <c r="J11" s="10" t="s">
        <v>42</v>
      </c>
      <c r="K11" s="11" t="s">
        <v>91</v>
      </c>
      <c r="L11" s="1" t="s">
        <v>74</v>
      </c>
      <c r="M11" s="1" t="s">
        <v>92</v>
      </c>
      <c r="N11" s="1">
        <v>0.0</v>
      </c>
      <c r="O11" s="1">
        <v>0.0</v>
      </c>
      <c r="P11" s="1">
        <v>0.0</v>
      </c>
      <c r="Q11" s="1" t="s">
        <v>27</v>
      </c>
      <c r="R11" s="1" t="s">
        <v>28</v>
      </c>
    </row>
    <row r="12">
      <c r="A12" s="3" t="s">
        <v>93</v>
      </c>
      <c r="B12" s="1" t="s">
        <v>94</v>
      </c>
      <c r="C12" s="2">
        <v>45.0</v>
      </c>
      <c r="D12" s="1" t="s">
        <v>95</v>
      </c>
      <c r="E12" s="1">
        <f>IFERROR(__xludf.DUMMYFUNCTION("IF(D12="""", 0, COUNTA(SPLIT(D12, "" "")))"),7.0)</f>
        <v>7</v>
      </c>
      <c r="F12" s="8" t="s">
        <v>96</v>
      </c>
      <c r="G12" s="3" t="s">
        <v>97</v>
      </c>
      <c r="H12" s="4">
        <f t="shared" si="1"/>
        <v>54.08898015</v>
      </c>
      <c r="I12" s="9">
        <f t="shared" si="2"/>
        <v>5.503080082</v>
      </c>
      <c r="J12" s="10" t="s">
        <v>42</v>
      </c>
      <c r="K12" s="11" t="s">
        <v>98</v>
      </c>
      <c r="L12" s="1" t="s">
        <v>87</v>
      </c>
      <c r="M12" s="1" t="s">
        <v>99</v>
      </c>
      <c r="N12" s="1">
        <v>0.0</v>
      </c>
      <c r="O12" s="1">
        <v>0.0</v>
      </c>
      <c r="P12" s="1">
        <v>0.0</v>
      </c>
      <c r="Q12" s="1" t="s">
        <v>27</v>
      </c>
      <c r="R12" s="1" t="s">
        <v>28</v>
      </c>
    </row>
    <row r="13">
      <c r="A13" s="3" t="s">
        <v>100</v>
      </c>
      <c r="B13" s="1" t="s">
        <v>101</v>
      </c>
      <c r="C13" s="2">
        <v>5.0</v>
      </c>
      <c r="D13" s="1" t="s">
        <v>102</v>
      </c>
      <c r="E13" s="1">
        <f>IFERROR(__xludf.DUMMYFUNCTION("IF(D13="""", 0, COUNTA(SPLIT(D13, "" "")))"),5.0)</f>
        <v>5</v>
      </c>
      <c r="F13" s="8" t="s">
        <v>103</v>
      </c>
      <c r="G13" s="3" t="s">
        <v>104</v>
      </c>
      <c r="H13" s="4">
        <f t="shared" si="1"/>
        <v>67.97262149</v>
      </c>
      <c r="I13" s="9">
        <f t="shared" si="2"/>
        <v>24.1724846</v>
      </c>
      <c r="J13" s="10" t="s">
        <v>42</v>
      </c>
      <c r="K13" s="11" t="s">
        <v>105</v>
      </c>
      <c r="L13" s="1" t="s">
        <v>94</v>
      </c>
      <c r="M13" s="1" t="s">
        <v>106</v>
      </c>
      <c r="N13" s="1">
        <v>0.0</v>
      </c>
      <c r="O13" s="1">
        <v>0.0</v>
      </c>
      <c r="P13" s="1">
        <v>0.0</v>
      </c>
      <c r="Q13" s="1" t="s">
        <v>27</v>
      </c>
      <c r="R13" s="1" t="s">
        <v>28</v>
      </c>
    </row>
    <row r="14">
      <c r="A14" s="3">
        <v>1312.0</v>
      </c>
      <c r="B14" s="1" t="s">
        <v>107</v>
      </c>
      <c r="C14" s="2">
        <v>27.0</v>
      </c>
      <c r="D14" s="1" t="s">
        <v>108</v>
      </c>
      <c r="E14" s="1">
        <f>IFERROR(__xludf.DUMMYFUNCTION("IF(D14="""", 0, COUNTA(SPLIT(D14, "" "")))"),3.0)</f>
        <v>3</v>
      </c>
      <c r="F14" s="8" t="s">
        <v>109</v>
      </c>
      <c r="G14" s="3" t="s">
        <v>110</v>
      </c>
      <c r="H14" s="4">
        <f t="shared" si="1"/>
        <v>68.16974675</v>
      </c>
      <c r="I14" s="9">
        <f t="shared" si="2"/>
        <v>10.14099932</v>
      </c>
      <c r="J14" s="10" t="s">
        <v>42</v>
      </c>
      <c r="K14" s="11" t="s">
        <v>111</v>
      </c>
      <c r="L14" s="1" t="s">
        <v>101</v>
      </c>
      <c r="M14" s="1" t="s">
        <v>112</v>
      </c>
      <c r="N14" s="1">
        <v>0.0</v>
      </c>
      <c r="O14" s="1">
        <v>0.0</v>
      </c>
      <c r="P14" s="1">
        <v>0.0</v>
      </c>
      <c r="Q14" s="1" t="s">
        <v>27</v>
      </c>
      <c r="R14" s="1" t="s">
        <v>28</v>
      </c>
    </row>
    <row r="15">
      <c r="A15" s="3">
        <v>5360.0</v>
      </c>
      <c r="B15" s="1" t="s">
        <v>113</v>
      </c>
      <c r="C15" s="2">
        <v>62.0</v>
      </c>
      <c r="D15" s="1" t="s">
        <v>114</v>
      </c>
      <c r="E15" s="1">
        <f>IFERROR(__xludf.DUMMYFUNCTION("IF(D15="""", 0, COUNTA(SPLIT(D15, "" "")))"),6.0)</f>
        <v>6</v>
      </c>
      <c r="F15" s="8" t="s">
        <v>115</v>
      </c>
      <c r="G15" s="3" t="s">
        <v>116</v>
      </c>
      <c r="H15" s="4">
        <f t="shared" si="1"/>
        <v>59.78097194</v>
      </c>
      <c r="I15" s="9">
        <f t="shared" si="2"/>
        <v>0.2765229295</v>
      </c>
      <c r="J15" s="10" t="s">
        <v>42</v>
      </c>
      <c r="K15" s="11">
        <v>5259.0</v>
      </c>
      <c r="L15" s="1" t="s">
        <v>107</v>
      </c>
      <c r="M15" s="1" t="s">
        <v>117</v>
      </c>
      <c r="N15" s="1">
        <v>0.0</v>
      </c>
      <c r="O15" s="1">
        <v>0.0</v>
      </c>
      <c r="P15" s="1">
        <v>0.0</v>
      </c>
      <c r="Q15" s="1" t="s">
        <v>27</v>
      </c>
      <c r="R15" s="1" t="s">
        <v>28</v>
      </c>
    </row>
    <row r="16">
      <c r="A16" s="3">
        <v>8073.0</v>
      </c>
      <c r="B16" s="1" t="s">
        <v>118</v>
      </c>
      <c r="C16" s="2">
        <v>53.0</v>
      </c>
      <c r="D16" s="1" t="s">
        <v>119</v>
      </c>
      <c r="E16" s="1">
        <f>IFERROR(__xludf.DUMMYFUNCTION("IF(D16="""", 0, COUNTA(SPLIT(D16, "" "")))"),4.0)</f>
        <v>4</v>
      </c>
      <c r="F16" s="8" t="s">
        <v>120</v>
      </c>
      <c r="G16" s="3" t="s">
        <v>121</v>
      </c>
      <c r="H16" s="4">
        <f t="shared" si="1"/>
        <v>64.6844627</v>
      </c>
      <c r="I16" s="9">
        <f t="shared" si="2"/>
        <v>0.6516084873</v>
      </c>
      <c r="J16" s="10" t="s">
        <v>42</v>
      </c>
      <c r="K16" s="11">
        <v>7835.0</v>
      </c>
      <c r="L16" s="1" t="s">
        <v>113</v>
      </c>
      <c r="M16" s="1" t="s">
        <v>122</v>
      </c>
      <c r="N16" s="1">
        <v>0.0</v>
      </c>
      <c r="O16" s="1">
        <v>0.0</v>
      </c>
      <c r="P16" s="1">
        <v>0.0</v>
      </c>
      <c r="Q16" s="1" t="s">
        <v>27</v>
      </c>
      <c r="R16" s="1" t="s">
        <v>28</v>
      </c>
    </row>
    <row r="17">
      <c r="A17" s="3">
        <v>14306.0</v>
      </c>
      <c r="B17" s="1" t="s">
        <v>123</v>
      </c>
      <c r="C17" s="2">
        <v>20.0</v>
      </c>
      <c r="D17" s="1" t="s">
        <v>124</v>
      </c>
      <c r="E17" s="1">
        <f>IFERROR(__xludf.DUMMYFUNCTION("IF(D17="""", 0, COUNTA(SPLIT(D17, "" "")))"),5.0)</f>
        <v>5</v>
      </c>
      <c r="F17" s="8" t="s">
        <v>125</v>
      </c>
      <c r="G17" s="3" t="s">
        <v>126</v>
      </c>
      <c r="H17" s="4">
        <f t="shared" si="1"/>
        <v>62.99520876</v>
      </c>
      <c r="I17" s="9">
        <f t="shared" si="2"/>
        <v>9.207392197</v>
      </c>
      <c r="J17" s="10" t="s">
        <v>42</v>
      </c>
      <c r="K17" s="11">
        <v>10943.0</v>
      </c>
      <c r="L17" s="1" t="s">
        <v>118</v>
      </c>
      <c r="M17" s="1" t="s">
        <v>127</v>
      </c>
      <c r="N17" s="1">
        <v>0.0</v>
      </c>
      <c r="O17" s="1">
        <v>0.0</v>
      </c>
      <c r="P17" s="1">
        <v>0.0</v>
      </c>
      <c r="Q17" s="1" t="s">
        <v>27</v>
      </c>
      <c r="R17" s="1" t="s">
        <v>28</v>
      </c>
    </row>
    <row r="18">
      <c r="A18" s="3">
        <v>21486.0</v>
      </c>
      <c r="B18" s="1" t="s">
        <v>128</v>
      </c>
      <c r="C18" s="2">
        <v>11.0</v>
      </c>
      <c r="D18" s="1" t="s">
        <v>129</v>
      </c>
      <c r="E18" s="1">
        <f>IFERROR(__xludf.DUMMYFUNCTION("IF(D18="""", 0, COUNTA(SPLIT(D18, "" "")))"),3.0)</f>
        <v>3</v>
      </c>
      <c r="F18" s="8" t="s">
        <v>130</v>
      </c>
      <c r="G18" s="3" t="s">
        <v>131</v>
      </c>
      <c r="H18" s="4">
        <f t="shared" si="1"/>
        <v>76.91991786</v>
      </c>
      <c r="I18" s="9">
        <f t="shared" si="2"/>
        <v>5.790554415</v>
      </c>
      <c r="J18" s="10" t="s">
        <v>42</v>
      </c>
      <c r="K18" s="11">
        <v>19371.0</v>
      </c>
      <c r="L18" s="1" t="s">
        <v>123</v>
      </c>
      <c r="M18" s="1" t="s">
        <v>112</v>
      </c>
      <c r="N18" s="1">
        <v>0.0</v>
      </c>
      <c r="O18" s="1">
        <v>0.0</v>
      </c>
      <c r="P18" s="1">
        <v>0.0</v>
      </c>
      <c r="Q18" s="1" t="s">
        <v>27</v>
      </c>
      <c r="R18" s="1" t="s">
        <v>28</v>
      </c>
    </row>
    <row r="19">
      <c r="A19" s="3">
        <v>23183.0</v>
      </c>
      <c r="B19" s="1" t="s">
        <v>132</v>
      </c>
      <c r="C19" s="2">
        <v>23.0</v>
      </c>
      <c r="D19" s="1" t="s">
        <v>133</v>
      </c>
      <c r="E19" s="1">
        <f>IFERROR(__xludf.DUMMYFUNCTION("IF(D19="""", 0, COUNTA(SPLIT(D19, "" "")))"),6.0)</f>
        <v>6</v>
      </c>
      <c r="F19" s="8" t="s">
        <v>134</v>
      </c>
      <c r="G19" s="3" t="s">
        <v>135</v>
      </c>
      <c r="H19" s="4">
        <f t="shared" si="1"/>
        <v>65.7303217</v>
      </c>
      <c r="I19" s="9">
        <f t="shared" si="2"/>
        <v>4.514715948</v>
      </c>
      <c r="J19" s="10" t="s">
        <v>42</v>
      </c>
      <c r="K19" s="11">
        <v>21534.0</v>
      </c>
      <c r="L19" s="1" t="s">
        <v>128</v>
      </c>
      <c r="M19" s="1" t="s">
        <v>122</v>
      </c>
      <c r="N19" s="1">
        <v>0.0</v>
      </c>
      <c r="O19" s="1">
        <v>0.0</v>
      </c>
      <c r="P19" s="1">
        <v>0.0</v>
      </c>
      <c r="Q19" s="1" t="s">
        <v>27</v>
      </c>
      <c r="R19" s="1" t="s">
        <v>28</v>
      </c>
    </row>
    <row r="20">
      <c r="A20" s="3">
        <v>41333.0</v>
      </c>
      <c r="B20" s="5" t="s">
        <v>58</v>
      </c>
      <c r="C20" s="2">
        <v>1.0</v>
      </c>
      <c r="D20" s="8" t="s">
        <v>136</v>
      </c>
      <c r="E20" s="1">
        <f>IFERROR(__xludf.DUMMYFUNCTION("IF(D20="""", 0, COUNTA(SPLIT(D20, "" "")))"),3.0)</f>
        <v>3</v>
      </c>
      <c r="F20" s="8" t="s">
        <v>137</v>
      </c>
      <c r="G20" s="12">
        <v>12449.0</v>
      </c>
      <c r="H20" s="13">
        <f t="shared" si="1"/>
        <v>79.08008214</v>
      </c>
      <c r="I20" s="9">
        <f t="shared" si="2"/>
        <v>12.01916496</v>
      </c>
      <c r="J20" s="14" t="s">
        <v>23</v>
      </c>
      <c r="K20" s="15">
        <v>36943.0</v>
      </c>
      <c r="L20" s="16" t="s">
        <v>138</v>
      </c>
      <c r="M20" s="8" t="s">
        <v>139</v>
      </c>
      <c r="N20" s="1">
        <v>0.0</v>
      </c>
      <c r="O20" s="1">
        <v>0.0</v>
      </c>
      <c r="P20" s="16">
        <v>0.0</v>
      </c>
      <c r="Q20" s="16" t="s">
        <v>27</v>
      </c>
      <c r="R20" s="1" t="s">
        <v>140</v>
      </c>
    </row>
    <row r="21">
      <c r="A21" s="3">
        <v>41333.0</v>
      </c>
      <c r="B21" s="5" t="s">
        <v>58</v>
      </c>
      <c r="C21" s="2">
        <v>2.0</v>
      </c>
      <c r="D21" s="17" t="s">
        <v>141</v>
      </c>
      <c r="E21" s="1">
        <f>IFERROR(__xludf.DUMMYFUNCTION("IF(D21="""", 0, COUNTA(SPLIT(D21, "" "")))"),2.0)</f>
        <v>2</v>
      </c>
      <c r="F21" s="8" t="s">
        <v>142</v>
      </c>
      <c r="G21" s="12">
        <v>12755.0</v>
      </c>
      <c r="H21" s="13">
        <f t="shared" si="1"/>
        <v>78.24229979</v>
      </c>
      <c r="I21" s="9">
        <f t="shared" si="2"/>
        <v>9.35797399</v>
      </c>
      <c r="J21" s="14" t="s">
        <v>23</v>
      </c>
      <c r="K21" s="15">
        <v>37915.0</v>
      </c>
      <c r="L21" s="16" t="s">
        <v>138</v>
      </c>
      <c r="M21" s="8" t="s">
        <v>143</v>
      </c>
      <c r="N21" s="1">
        <v>0.0</v>
      </c>
      <c r="O21" s="1">
        <v>0.0</v>
      </c>
      <c r="P21" s="16">
        <v>0.16</v>
      </c>
      <c r="Q21" s="16" t="s">
        <v>27</v>
      </c>
      <c r="R21" s="1" t="s">
        <v>140</v>
      </c>
    </row>
    <row r="22">
      <c r="A22" s="3">
        <v>41333.0</v>
      </c>
      <c r="B22" s="5" t="s">
        <v>58</v>
      </c>
      <c r="C22" s="2">
        <v>3.0</v>
      </c>
      <c r="D22" s="8" t="s">
        <v>144</v>
      </c>
      <c r="E22" s="1">
        <f>IFERROR(__xludf.DUMMYFUNCTION("IF(D22="""", 0, COUNTA(SPLIT(D22, "" "")))"),2.0)</f>
        <v>2</v>
      </c>
      <c r="F22" s="8" t="s">
        <v>145</v>
      </c>
      <c r="G22" s="12">
        <v>12861.0</v>
      </c>
      <c r="H22" s="13">
        <f t="shared" si="1"/>
        <v>77.95208761</v>
      </c>
      <c r="I22" s="9">
        <f t="shared" si="2"/>
        <v>2.275154004</v>
      </c>
      <c r="J22" s="14" t="s">
        <v>23</v>
      </c>
      <c r="K22" s="15">
        <v>40502.0</v>
      </c>
      <c r="L22" s="16" t="s">
        <v>146</v>
      </c>
      <c r="M22" s="8" t="s">
        <v>147</v>
      </c>
      <c r="N22" s="1">
        <v>0.0</v>
      </c>
      <c r="O22" s="1">
        <v>0.0</v>
      </c>
      <c r="P22" s="16">
        <v>0.0</v>
      </c>
      <c r="Q22" s="16" t="s">
        <v>148</v>
      </c>
      <c r="R22" s="1" t="s">
        <v>140</v>
      </c>
    </row>
    <row r="23">
      <c r="A23" s="3">
        <v>41333.0</v>
      </c>
      <c r="B23" s="5" t="s">
        <v>58</v>
      </c>
      <c r="C23" s="2">
        <v>4.0</v>
      </c>
      <c r="D23" s="17" t="s">
        <v>149</v>
      </c>
      <c r="E23" s="1">
        <f>IFERROR(__xludf.DUMMYFUNCTION("IF(D23="""", 0, COUNTA(SPLIT(D23, "" "")))"),3.0)</f>
        <v>3</v>
      </c>
      <c r="F23" s="8" t="s">
        <v>150</v>
      </c>
      <c r="G23" s="12">
        <v>14666.0</v>
      </c>
      <c r="H23" s="13">
        <f t="shared" si="1"/>
        <v>73.01026694</v>
      </c>
      <c r="I23" s="9">
        <f t="shared" si="2"/>
        <v>0.2628336756</v>
      </c>
      <c r="J23" s="14" t="s">
        <v>23</v>
      </c>
      <c r="K23" s="15">
        <v>41237.0</v>
      </c>
      <c r="L23" s="16" t="s">
        <v>146</v>
      </c>
      <c r="M23" s="8" t="s">
        <v>151</v>
      </c>
      <c r="N23" s="1">
        <v>0.0</v>
      </c>
      <c r="O23" s="1">
        <v>0.0</v>
      </c>
      <c r="P23" s="16">
        <v>0.0</v>
      </c>
      <c r="Q23" s="16" t="s">
        <v>148</v>
      </c>
      <c r="R23" s="1" t="s">
        <v>140</v>
      </c>
    </row>
    <row r="24">
      <c r="A24" s="3">
        <v>41333.0</v>
      </c>
      <c r="B24" s="5" t="s">
        <v>58</v>
      </c>
      <c r="C24" s="2">
        <v>5.0</v>
      </c>
      <c r="D24" s="8" t="s">
        <v>152</v>
      </c>
      <c r="E24" s="1">
        <f>IFERROR(__xludf.DUMMYFUNCTION("IF(D24="""", 0, COUNTA(SPLIT(D24, "" "")))"),2.0)</f>
        <v>2</v>
      </c>
      <c r="F24" s="8" t="s">
        <v>153</v>
      </c>
      <c r="G24" s="12">
        <v>12209.0</v>
      </c>
      <c r="H24" s="13">
        <f t="shared" si="1"/>
        <v>79.73716632</v>
      </c>
      <c r="I24" s="9">
        <f t="shared" si="2"/>
        <v>30.07255305</v>
      </c>
      <c r="J24" s="14" t="s">
        <v>42</v>
      </c>
      <c r="K24" s="15">
        <v>30349.0</v>
      </c>
      <c r="L24" s="16" t="s">
        <v>138</v>
      </c>
      <c r="M24" s="8" t="s">
        <v>154</v>
      </c>
      <c r="N24" s="1">
        <v>0.0</v>
      </c>
      <c r="O24" s="1">
        <v>0.0</v>
      </c>
      <c r="P24" s="16">
        <v>0.0</v>
      </c>
      <c r="Q24" s="16" t="s">
        <v>155</v>
      </c>
      <c r="R24" s="1" t="s">
        <v>140</v>
      </c>
    </row>
    <row r="25">
      <c r="A25" s="3">
        <v>41333.0</v>
      </c>
      <c r="B25" s="5" t="s">
        <v>58</v>
      </c>
      <c r="C25" s="2">
        <v>6.0</v>
      </c>
      <c r="D25" s="8" t="s">
        <v>156</v>
      </c>
      <c r="E25" s="1">
        <f>IFERROR(__xludf.DUMMYFUNCTION("IF(D25="""", 0, COUNTA(SPLIT(D25, "" "")))"),2.0)</f>
        <v>2</v>
      </c>
      <c r="F25" s="8" t="s">
        <v>157</v>
      </c>
      <c r="G25" s="12">
        <v>12413.0</v>
      </c>
      <c r="H25" s="13">
        <f t="shared" si="1"/>
        <v>79.17864476</v>
      </c>
      <c r="I25" s="9">
        <f t="shared" si="2"/>
        <v>30.07255305</v>
      </c>
      <c r="J25" s="14" t="s">
        <v>42</v>
      </c>
      <c r="K25" s="15">
        <v>30349.0</v>
      </c>
      <c r="L25" s="16" t="s">
        <v>138</v>
      </c>
      <c r="M25" s="8" t="s">
        <v>158</v>
      </c>
      <c r="N25" s="1">
        <v>0.0</v>
      </c>
      <c r="O25" s="1">
        <v>0.0</v>
      </c>
      <c r="P25" s="16">
        <v>0.0</v>
      </c>
      <c r="Q25" s="16" t="s">
        <v>159</v>
      </c>
      <c r="R25" s="1" t="s">
        <v>140</v>
      </c>
    </row>
    <row r="26">
      <c r="A26" s="3">
        <v>41333.0</v>
      </c>
      <c r="B26" s="5" t="s">
        <v>58</v>
      </c>
      <c r="C26" s="2">
        <v>7.0</v>
      </c>
      <c r="D26" s="8" t="s">
        <v>160</v>
      </c>
      <c r="E26" s="1">
        <f>IFERROR(__xludf.DUMMYFUNCTION("IF(D26="""", 0, COUNTA(SPLIT(D26, "" "")))"),5.0)</f>
        <v>5</v>
      </c>
      <c r="F26" s="8" t="s">
        <v>161</v>
      </c>
      <c r="G26" s="12">
        <v>13454.0</v>
      </c>
      <c r="H26" s="13">
        <f t="shared" si="1"/>
        <v>76.32854209</v>
      </c>
      <c r="I26" s="9">
        <f t="shared" si="2"/>
        <v>21.67282683</v>
      </c>
      <c r="J26" s="14" t="s">
        <v>42</v>
      </c>
      <c r="K26" s="15">
        <v>33417.0</v>
      </c>
      <c r="L26" s="16" t="s">
        <v>138</v>
      </c>
      <c r="M26" s="8" t="s">
        <v>162</v>
      </c>
      <c r="N26" s="1">
        <v>0.0</v>
      </c>
      <c r="O26" s="1">
        <v>0.0</v>
      </c>
      <c r="P26" s="16">
        <v>0.0</v>
      </c>
      <c r="Q26" s="16" t="s">
        <v>163</v>
      </c>
      <c r="R26" s="1" t="s">
        <v>140</v>
      </c>
    </row>
    <row r="27">
      <c r="A27" s="3">
        <v>41333.0</v>
      </c>
      <c r="B27" s="5" t="s">
        <v>58</v>
      </c>
      <c r="C27" s="2">
        <v>8.0</v>
      </c>
      <c r="D27" s="8" t="s">
        <v>164</v>
      </c>
      <c r="E27" s="1">
        <f>IFERROR(__xludf.DUMMYFUNCTION("IF(D27="""", 0, COUNTA(SPLIT(D27, "" "")))"),3.0)</f>
        <v>3</v>
      </c>
      <c r="F27" s="8" t="s">
        <v>165</v>
      </c>
      <c r="G27" s="12">
        <v>13207.0</v>
      </c>
      <c r="H27" s="13">
        <f t="shared" si="1"/>
        <v>77.00479124</v>
      </c>
      <c r="I27" s="9">
        <f t="shared" si="2"/>
        <v>21.67282683</v>
      </c>
      <c r="J27" s="14" t="s">
        <v>42</v>
      </c>
      <c r="K27" s="15">
        <v>33417.0</v>
      </c>
      <c r="L27" s="16" t="s">
        <v>138</v>
      </c>
      <c r="M27" s="8" t="s">
        <v>166</v>
      </c>
      <c r="N27" s="1">
        <v>0.0</v>
      </c>
      <c r="O27" s="1">
        <v>0.0</v>
      </c>
      <c r="P27" s="16">
        <v>0.0</v>
      </c>
      <c r="Q27" s="16" t="s">
        <v>167</v>
      </c>
      <c r="R27" s="1" t="s">
        <v>140</v>
      </c>
    </row>
    <row r="28">
      <c r="A28" s="3">
        <v>41333.0</v>
      </c>
      <c r="B28" s="5" t="s">
        <v>58</v>
      </c>
      <c r="C28" s="2">
        <v>9.0</v>
      </c>
      <c r="D28" s="8" t="s">
        <v>168</v>
      </c>
      <c r="E28" s="1">
        <f>IFERROR(__xludf.DUMMYFUNCTION("IF(D28="""", 0, COUNTA(SPLIT(D28, "" "")))"),5.0)</f>
        <v>5</v>
      </c>
      <c r="F28" s="8" t="s">
        <v>169</v>
      </c>
      <c r="G28" s="12">
        <v>13441.0</v>
      </c>
      <c r="H28" s="13">
        <f t="shared" si="1"/>
        <v>76.36413415</v>
      </c>
      <c r="I28" s="9">
        <f t="shared" si="2"/>
        <v>18.2587269</v>
      </c>
      <c r="J28" s="14" t="s">
        <v>42</v>
      </c>
      <c r="K28" s="15">
        <v>34664.0</v>
      </c>
      <c r="L28" s="16" t="s">
        <v>138</v>
      </c>
      <c r="M28" s="8" t="s">
        <v>170</v>
      </c>
      <c r="N28" s="1">
        <v>0.0</v>
      </c>
      <c r="O28" s="1">
        <v>0.0</v>
      </c>
      <c r="P28" s="16">
        <v>0.0</v>
      </c>
      <c r="Q28" s="16" t="s">
        <v>163</v>
      </c>
      <c r="R28" s="1" t="s">
        <v>140</v>
      </c>
    </row>
    <row r="29">
      <c r="A29" s="3">
        <v>41333.0</v>
      </c>
      <c r="B29" s="5" t="s">
        <v>58</v>
      </c>
      <c r="C29" s="2">
        <v>10.0</v>
      </c>
      <c r="D29" s="8" t="s">
        <v>171</v>
      </c>
      <c r="E29" s="1">
        <f>IFERROR(__xludf.DUMMYFUNCTION("IF(D29="""", 0, COUNTA(SPLIT(D29, "" "")))"),2.0)</f>
        <v>2</v>
      </c>
      <c r="F29" s="8" t="s">
        <v>172</v>
      </c>
      <c r="G29" s="12">
        <v>13327.0</v>
      </c>
      <c r="H29" s="13">
        <f t="shared" si="1"/>
        <v>76.67624914</v>
      </c>
      <c r="I29" s="9">
        <f t="shared" si="2"/>
        <v>18.2587269</v>
      </c>
      <c r="J29" s="14" t="s">
        <v>42</v>
      </c>
      <c r="K29" s="15">
        <v>34664.0</v>
      </c>
      <c r="L29" s="16" t="s">
        <v>138</v>
      </c>
      <c r="M29" s="8" t="s">
        <v>173</v>
      </c>
      <c r="N29" s="1">
        <v>0.0</v>
      </c>
      <c r="O29" s="1">
        <v>0.0</v>
      </c>
      <c r="P29" s="16">
        <v>0.0</v>
      </c>
      <c r="Q29" s="16" t="s">
        <v>174</v>
      </c>
      <c r="R29" s="1" t="s">
        <v>140</v>
      </c>
    </row>
    <row r="30">
      <c r="A30" s="3">
        <v>41333.0</v>
      </c>
      <c r="B30" s="5" t="s">
        <v>58</v>
      </c>
      <c r="C30" s="2">
        <v>11.0</v>
      </c>
      <c r="D30" s="8" t="s">
        <v>175</v>
      </c>
      <c r="E30" s="1">
        <f>IFERROR(__xludf.DUMMYFUNCTION("IF(D30="""", 0, COUNTA(SPLIT(D30, "" "")))"),2.0)</f>
        <v>2</v>
      </c>
      <c r="F30" s="8" t="s">
        <v>176</v>
      </c>
      <c r="G30" s="12">
        <v>16688.0</v>
      </c>
      <c r="H30" s="13">
        <f t="shared" si="1"/>
        <v>67.47433265</v>
      </c>
      <c r="I30" s="9">
        <f t="shared" si="2"/>
        <v>18.2587269</v>
      </c>
      <c r="J30" s="14" t="s">
        <v>42</v>
      </c>
      <c r="K30" s="15">
        <v>34664.0</v>
      </c>
      <c r="L30" s="16" t="s">
        <v>138</v>
      </c>
      <c r="M30" s="8" t="s">
        <v>177</v>
      </c>
      <c r="N30" s="1">
        <v>0.0</v>
      </c>
      <c r="O30" s="1">
        <v>0.0</v>
      </c>
      <c r="P30" s="16">
        <v>0.0</v>
      </c>
      <c r="Q30" s="16" t="s">
        <v>178</v>
      </c>
      <c r="R30" s="1" t="s">
        <v>140</v>
      </c>
    </row>
    <row r="31">
      <c r="A31" s="3">
        <v>41333.0</v>
      </c>
      <c r="B31" s="5" t="s">
        <v>58</v>
      </c>
      <c r="C31" s="2">
        <v>12.0</v>
      </c>
      <c r="D31" s="8" t="s">
        <v>179</v>
      </c>
      <c r="E31" s="1">
        <f>IFERROR(__xludf.DUMMYFUNCTION("IF(D31="""", 0, COUNTA(SPLIT(D31, "" "")))"),3.0)</f>
        <v>3</v>
      </c>
      <c r="F31" s="8" t="s">
        <v>180</v>
      </c>
      <c r="G31" s="12">
        <v>12141.0</v>
      </c>
      <c r="H31" s="13">
        <f t="shared" si="1"/>
        <v>79.92334018</v>
      </c>
      <c r="I31" s="9">
        <f t="shared" si="2"/>
        <v>18.2587269</v>
      </c>
      <c r="J31" s="14" t="s">
        <v>42</v>
      </c>
      <c r="K31" s="15">
        <v>34664.0</v>
      </c>
      <c r="L31" s="16" t="s">
        <v>138</v>
      </c>
      <c r="M31" s="8" t="s">
        <v>181</v>
      </c>
      <c r="N31" s="1">
        <v>0.0</v>
      </c>
      <c r="O31" s="1">
        <v>0.0</v>
      </c>
      <c r="P31" s="16">
        <v>0.0</v>
      </c>
      <c r="Q31" s="16" t="s">
        <v>163</v>
      </c>
      <c r="R31" s="1" t="s">
        <v>140</v>
      </c>
    </row>
    <row r="32">
      <c r="A32" s="3">
        <v>41333.0</v>
      </c>
      <c r="B32" s="5" t="s">
        <v>58</v>
      </c>
      <c r="C32" s="2">
        <v>13.0</v>
      </c>
      <c r="D32" s="8" t="s">
        <v>182</v>
      </c>
      <c r="E32" s="1">
        <f>IFERROR(__xludf.DUMMYFUNCTION("IF(D32="""", 0, COUNTA(SPLIT(D32, "" "")))"),4.0)</f>
        <v>4</v>
      </c>
      <c r="F32" s="8" t="s">
        <v>183</v>
      </c>
      <c r="G32" s="12">
        <v>13382.0</v>
      </c>
      <c r="H32" s="13">
        <f t="shared" si="1"/>
        <v>76.52566735</v>
      </c>
      <c r="I32" s="9">
        <f t="shared" si="2"/>
        <v>15.01984942</v>
      </c>
      <c r="J32" s="14" t="s">
        <v>42</v>
      </c>
      <c r="K32" s="15">
        <v>35847.0</v>
      </c>
      <c r="L32" s="16" t="s">
        <v>138</v>
      </c>
      <c r="M32" s="8" t="s">
        <v>184</v>
      </c>
      <c r="N32" s="1">
        <v>0.0</v>
      </c>
      <c r="O32" s="1">
        <v>0.0</v>
      </c>
      <c r="P32" s="16">
        <v>0.0</v>
      </c>
      <c r="Q32" s="16" t="s">
        <v>163</v>
      </c>
      <c r="R32" s="1" t="s">
        <v>140</v>
      </c>
    </row>
    <row r="33">
      <c r="A33" s="3">
        <v>41333.0</v>
      </c>
      <c r="B33" s="5" t="s">
        <v>58</v>
      </c>
      <c r="C33" s="2">
        <v>14.0</v>
      </c>
      <c r="D33" s="8" t="s">
        <v>185</v>
      </c>
      <c r="E33" s="1">
        <f>IFERROR(__xludf.DUMMYFUNCTION("IF(D33="""", 0, COUNTA(SPLIT(D33, "" "")))"),2.0)</f>
        <v>2</v>
      </c>
      <c r="F33" s="8" t="s">
        <v>186</v>
      </c>
      <c r="G33" s="12">
        <v>12492.0</v>
      </c>
      <c r="H33" s="13">
        <f t="shared" si="1"/>
        <v>78.96235455</v>
      </c>
      <c r="I33" s="9">
        <f t="shared" si="2"/>
        <v>15.01984942</v>
      </c>
      <c r="J33" s="14" t="s">
        <v>42</v>
      </c>
      <c r="K33" s="15">
        <v>35847.0</v>
      </c>
      <c r="L33" s="16" t="s">
        <v>138</v>
      </c>
      <c r="M33" s="8" t="s">
        <v>187</v>
      </c>
      <c r="N33" s="1">
        <v>2.0</v>
      </c>
      <c r="O33" s="1">
        <v>0.0</v>
      </c>
      <c r="P33" s="16">
        <v>0.0</v>
      </c>
      <c r="Q33" s="16" t="s">
        <v>27</v>
      </c>
      <c r="R33" s="1" t="s">
        <v>140</v>
      </c>
    </row>
    <row r="34">
      <c r="A34" s="3">
        <v>41333.0</v>
      </c>
      <c r="B34" s="5" t="s">
        <v>58</v>
      </c>
      <c r="C34" s="2">
        <v>15.0</v>
      </c>
      <c r="D34" s="8" t="s">
        <v>188</v>
      </c>
      <c r="E34" s="1">
        <f>IFERROR(__xludf.DUMMYFUNCTION("IF(D34="""", 0, COUNTA(SPLIT(D34, "" "")))"),2.0)</f>
        <v>2</v>
      </c>
      <c r="F34" s="8" t="s">
        <v>189</v>
      </c>
      <c r="G34" s="12">
        <v>16289.0</v>
      </c>
      <c r="H34" s="13">
        <f t="shared" si="1"/>
        <v>68.56673511</v>
      </c>
      <c r="I34" s="9">
        <f t="shared" si="2"/>
        <v>15.01984942</v>
      </c>
      <c r="J34" s="14" t="s">
        <v>42</v>
      </c>
      <c r="K34" s="15">
        <v>35847.0</v>
      </c>
      <c r="L34" s="16" t="s">
        <v>138</v>
      </c>
      <c r="M34" s="8" t="s">
        <v>190</v>
      </c>
      <c r="N34" s="1">
        <v>0.0</v>
      </c>
      <c r="O34" s="1">
        <v>0.0</v>
      </c>
      <c r="P34" s="16">
        <v>0.0</v>
      </c>
      <c r="Q34" s="16" t="s">
        <v>191</v>
      </c>
      <c r="R34" s="1" t="s">
        <v>140</v>
      </c>
    </row>
    <row r="35">
      <c r="A35" s="3">
        <v>41333.0</v>
      </c>
      <c r="B35" s="5" t="s">
        <v>58</v>
      </c>
      <c r="C35" s="2">
        <v>16.0</v>
      </c>
      <c r="D35" s="17" t="s">
        <v>192</v>
      </c>
      <c r="E35" s="1">
        <f>IFERROR(__xludf.DUMMYFUNCTION("IF(D35="""", 0, COUNTA(SPLIT(D35, "" "")))"),2.0)</f>
        <v>2</v>
      </c>
      <c r="F35" s="8" t="s">
        <v>193</v>
      </c>
      <c r="G35" s="12">
        <v>16459.0</v>
      </c>
      <c r="H35" s="13">
        <f t="shared" si="1"/>
        <v>68.10130048</v>
      </c>
      <c r="I35" s="9">
        <f t="shared" si="2"/>
        <v>15.01984942</v>
      </c>
      <c r="J35" s="14" t="s">
        <v>42</v>
      </c>
      <c r="K35" s="15">
        <v>35847.0</v>
      </c>
      <c r="L35" s="16" t="s">
        <v>138</v>
      </c>
      <c r="M35" s="8" t="s">
        <v>194</v>
      </c>
      <c r="N35" s="1">
        <v>0.0</v>
      </c>
      <c r="O35" s="1">
        <v>0.0</v>
      </c>
      <c r="P35" s="16">
        <v>0.06</v>
      </c>
      <c r="Q35" s="16" t="s">
        <v>159</v>
      </c>
      <c r="R35" s="1" t="s">
        <v>140</v>
      </c>
    </row>
    <row r="36">
      <c r="A36" s="3">
        <v>41333.0</v>
      </c>
      <c r="B36" s="5" t="s">
        <v>58</v>
      </c>
      <c r="C36" s="2">
        <v>17.0</v>
      </c>
      <c r="D36" s="8" t="s">
        <v>195</v>
      </c>
      <c r="E36" s="1">
        <f>IFERROR(__xludf.DUMMYFUNCTION("IF(D36="""", 0, COUNTA(SPLIT(D36, "" "")))"),3.0)</f>
        <v>3</v>
      </c>
      <c r="F36" s="8" t="s">
        <v>196</v>
      </c>
      <c r="G36" s="12">
        <v>15498.0</v>
      </c>
      <c r="H36" s="13">
        <f t="shared" si="1"/>
        <v>70.73237509</v>
      </c>
      <c r="I36" s="9">
        <f t="shared" si="2"/>
        <v>15.01984942</v>
      </c>
      <c r="J36" s="14" t="s">
        <v>42</v>
      </c>
      <c r="K36" s="15">
        <v>35847.0</v>
      </c>
      <c r="L36" s="16" t="s">
        <v>138</v>
      </c>
      <c r="M36" s="8" t="s">
        <v>197</v>
      </c>
      <c r="N36" s="1">
        <v>0.0</v>
      </c>
      <c r="O36" s="1">
        <v>0.0</v>
      </c>
      <c r="P36" s="16">
        <v>0.02</v>
      </c>
      <c r="Q36" s="16" t="s">
        <v>163</v>
      </c>
      <c r="R36" s="1" t="s">
        <v>140</v>
      </c>
    </row>
    <row r="37">
      <c r="A37" s="3">
        <v>41333.0</v>
      </c>
      <c r="B37" s="5" t="s">
        <v>58</v>
      </c>
      <c r="C37" s="2">
        <v>18.0</v>
      </c>
      <c r="D37" s="17" t="s">
        <v>198</v>
      </c>
      <c r="E37" s="1">
        <f>IFERROR(__xludf.DUMMYFUNCTION("IF(D37="""", 0, COUNTA(SPLIT(D37, "" "")))"),3.0)</f>
        <v>3</v>
      </c>
      <c r="F37" s="8" t="s">
        <v>199</v>
      </c>
      <c r="G37" s="12">
        <v>13531.0</v>
      </c>
      <c r="H37" s="13">
        <f t="shared" si="1"/>
        <v>76.11772758</v>
      </c>
      <c r="I37" s="9">
        <f t="shared" si="2"/>
        <v>15.01984942</v>
      </c>
      <c r="J37" s="14" t="s">
        <v>42</v>
      </c>
      <c r="K37" s="15">
        <v>35847.0</v>
      </c>
      <c r="L37" s="16" t="s">
        <v>138</v>
      </c>
      <c r="M37" s="8" t="s">
        <v>200</v>
      </c>
      <c r="N37" s="1">
        <v>0.0</v>
      </c>
      <c r="O37" s="1">
        <v>0.0</v>
      </c>
      <c r="P37" s="16">
        <v>0.0</v>
      </c>
      <c r="Q37" s="16" t="s">
        <v>167</v>
      </c>
      <c r="R37" s="1" t="s">
        <v>140</v>
      </c>
    </row>
    <row r="38">
      <c r="A38" s="3">
        <v>41333.0</v>
      </c>
      <c r="B38" s="5" t="s">
        <v>58</v>
      </c>
      <c r="C38" s="2">
        <v>19.0</v>
      </c>
      <c r="D38" s="8" t="s">
        <v>201</v>
      </c>
      <c r="E38" s="1">
        <f>IFERROR(__xludf.DUMMYFUNCTION("IF(D38="""", 0, COUNTA(SPLIT(D38, "" "")))"),2.0)</f>
        <v>2</v>
      </c>
      <c r="F38" s="8" t="s">
        <v>202</v>
      </c>
      <c r="G38" s="12">
        <v>14529.0</v>
      </c>
      <c r="H38" s="13">
        <f t="shared" si="1"/>
        <v>73.3853525</v>
      </c>
      <c r="I38" s="9">
        <f t="shared" si="2"/>
        <v>12.01916496</v>
      </c>
      <c r="J38" s="14" t="s">
        <v>42</v>
      </c>
      <c r="K38" s="15">
        <v>36943.0</v>
      </c>
      <c r="L38" s="16" t="s">
        <v>138</v>
      </c>
      <c r="M38" s="8" t="s">
        <v>203</v>
      </c>
      <c r="N38" s="1">
        <v>0.0</v>
      </c>
      <c r="O38" s="1">
        <v>0.0</v>
      </c>
      <c r="P38" s="16">
        <v>0.0</v>
      </c>
      <c r="Q38" s="16" t="s">
        <v>204</v>
      </c>
      <c r="R38" s="1" t="s">
        <v>140</v>
      </c>
    </row>
    <row r="39">
      <c r="A39" s="3">
        <v>41333.0</v>
      </c>
      <c r="B39" s="5" t="s">
        <v>58</v>
      </c>
      <c r="C39" s="2">
        <v>20.0</v>
      </c>
      <c r="D39" s="8" t="s">
        <v>205</v>
      </c>
      <c r="E39" s="1">
        <f>IFERROR(__xludf.DUMMYFUNCTION("IF(D39="""", 0, COUNTA(SPLIT(D39, "" "")))"),2.0)</f>
        <v>2</v>
      </c>
      <c r="F39" s="8" t="s">
        <v>206</v>
      </c>
      <c r="G39" s="12">
        <v>15859.0</v>
      </c>
      <c r="H39" s="13">
        <f t="shared" si="1"/>
        <v>69.74401095</v>
      </c>
      <c r="I39" s="9">
        <f t="shared" si="2"/>
        <v>12.01916496</v>
      </c>
      <c r="J39" s="14" t="s">
        <v>42</v>
      </c>
      <c r="K39" s="15">
        <v>36943.0</v>
      </c>
      <c r="L39" s="16" t="s">
        <v>138</v>
      </c>
      <c r="M39" s="8" t="s">
        <v>207</v>
      </c>
      <c r="N39" s="1">
        <v>0.0</v>
      </c>
      <c r="O39" s="1">
        <v>0.0</v>
      </c>
      <c r="P39" s="16">
        <v>0.0</v>
      </c>
      <c r="Q39" s="16" t="s">
        <v>27</v>
      </c>
      <c r="R39" s="1" t="s">
        <v>140</v>
      </c>
    </row>
    <row r="40">
      <c r="A40" s="3">
        <v>41333.0</v>
      </c>
      <c r="B40" s="5" t="s">
        <v>58</v>
      </c>
      <c r="C40" s="2">
        <v>21.0</v>
      </c>
      <c r="D40" s="17" t="s">
        <v>208</v>
      </c>
      <c r="E40" s="1">
        <f>IFERROR(__xludf.DUMMYFUNCTION("IF(D40="""", 0, COUNTA(SPLIT(D40, "" "")))"),2.0)</f>
        <v>2</v>
      </c>
      <c r="F40" s="8" t="s">
        <v>209</v>
      </c>
      <c r="G40" s="12">
        <v>12118.0</v>
      </c>
      <c r="H40" s="13">
        <f t="shared" si="1"/>
        <v>79.98631075</v>
      </c>
      <c r="I40" s="9">
        <f t="shared" si="2"/>
        <v>12.01916496</v>
      </c>
      <c r="J40" s="14" t="s">
        <v>42</v>
      </c>
      <c r="K40" s="15">
        <v>36943.0</v>
      </c>
      <c r="L40" s="16" t="s">
        <v>138</v>
      </c>
      <c r="M40" s="8" t="s">
        <v>210</v>
      </c>
      <c r="N40" s="1">
        <v>0.0</v>
      </c>
      <c r="O40" s="1">
        <v>0.0</v>
      </c>
      <c r="P40" s="16">
        <v>0.0</v>
      </c>
      <c r="Q40" s="16" t="s">
        <v>159</v>
      </c>
      <c r="R40" s="1" t="s">
        <v>140</v>
      </c>
    </row>
    <row r="41">
      <c r="A41" s="3">
        <v>41333.0</v>
      </c>
      <c r="B41" s="5" t="s">
        <v>58</v>
      </c>
      <c r="C41" s="2">
        <v>22.0</v>
      </c>
      <c r="D41" s="8" t="s">
        <v>211</v>
      </c>
      <c r="E41" s="1">
        <f>IFERROR(__xludf.DUMMYFUNCTION("IF(D41="""", 0, COUNTA(SPLIT(D41, "" "")))"),2.0)</f>
        <v>2</v>
      </c>
      <c r="F41" s="8" t="s">
        <v>212</v>
      </c>
      <c r="G41" s="12">
        <v>13254.0</v>
      </c>
      <c r="H41" s="13">
        <f t="shared" si="1"/>
        <v>76.87611225</v>
      </c>
      <c r="I41" s="9">
        <f t="shared" si="2"/>
        <v>12.01916496</v>
      </c>
      <c r="J41" s="14" t="s">
        <v>42</v>
      </c>
      <c r="K41" s="15">
        <v>36943.0</v>
      </c>
      <c r="L41" s="16" t="s">
        <v>138</v>
      </c>
      <c r="M41" s="8" t="s">
        <v>213</v>
      </c>
      <c r="N41" s="1">
        <v>0.0</v>
      </c>
      <c r="O41" s="1">
        <v>0.0</v>
      </c>
      <c r="P41" s="16">
        <v>0.0</v>
      </c>
      <c r="Q41" s="16" t="s">
        <v>214</v>
      </c>
      <c r="R41" s="1" t="s">
        <v>140</v>
      </c>
    </row>
    <row r="42">
      <c r="A42" s="3">
        <v>41333.0</v>
      </c>
      <c r="B42" s="5" t="s">
        <v>58</v>
      </c>
      <c r="C42" s="2">
        <v>23.0</v>
      </c>
      <c r="D42" s="8" t="s">
        <v>215</v>
      </c>
      <c r="E42" s="1">
        <f>IFERROR(__xludf.DUMMYFUNCTION("IF(D42="""", 0, COUNTA(SPLIT(D42, "" "")))"),3.0)</f>
        <v>3</v>
      </c>
      <c r="F42" s="8" t="s">
        <v>216</v>
      </c>
      <c r="G42" s="12">
        <v>12346.0</v>
      </c>
      <c r="H42" s="13">
        <f t="shared" si="1"/>
        <v>79.36208077</v>
      </c>
      <c r="I42" s="9">
        <f t="shared" si="2"/>
        <v>12.01916496</v>
      </c>
      <c r="J42" s="14" t="s">
        <v>42</v>
      </c>
      <c r="K42" s="15">
        <v>36943.0</v>
      </c>
      <c r="L42" s="16" t="s">
        <v>138</v>
      </c>
      <c r="M42" s="8" t="s">
        <v>217</v>
      </c>
      <c r="N42" s="1">
        <v>0.0</v>
      </c>
      <c r="O42" s="1">
        <v>0.0</v>
      </c>
      <c r="P42" s="16">
        <v>0.0</v>
      </c>
      <c r="Q42" s="16" t="s">
        <v>218</v>
      </c>
      <c r="R42" s="1" t="s">
        <v>140</v>
      </c>
    </row>
    <row r="43">
      <c r="A43" s="3">
        <v>41333.0</v>
      </c>
      <c r="B43" s="5" t="s">
        <v>58</v>
      </c>
      <c r="C43" s="2">
        <v>24.0</v>
      </c>
      <c r="D43" s="8" t="s">
        <v>219</v>
      </c>
      <c r="E43" s="1">
        <f>IFERROR(__xludf.DUMMYFUNCTION("IF(D43="""", 0, COUNTA(SPLIT(D43, "" "")))"),3.0)</f>
        <v>3</v>
      </c>
      <c r="F43" s="8" t="s">
        <v>220</v>
      </c>
      <c r="G43" s="12">
        <v>13547.0</v>
      </c>
      <c r="H43" s="13">
        <f t="shared" si="1"/>
        <v>76.07392197</v>
      </c>
      <c r="I43" s="9">
        <f t="shared" si="2"/>
        <v>12.01916496</v>
      </c>
      <c r="J43" s="14" t="s">
        <v>42</v>
      </c>
      <c r="K43" s="15">
        <v>36943.0</v>
      </c>
      <c r="L43" s="16" t="s">
        <v>138</v>
      </c>
      <c r="M43" s="8" t="s">
        <v>221</v>
      </c>
      <c r="N43" s="1">
        <v>0.0</v>
      </c>
      <c r="O43" s="1">
        <v>0.0</v>
      </c>
      <c r="P43" s="16">
        <v>0.0</v>
      </c>
      <c r="Q43" s="16" t="s">
        <v>222</v>
      </c>
      <c r="R43" s="1" t="s">
        <v>140</v>
      </c>
    </row>
    <row r="44">
      <c r="A44" s="3">
        <v>41333.0</v>
      </c>
      <c r="B44" s="5" t="s">
        <v>58</v>
      </c>
      <c r="C44" s="2">
        <v>25.0</v>
      </c>
      <c r="D44" s="17" t="s">
        <v>223</v>
      </c>
      <c r="E44" s="1">
        <f>IFERROR(__xludf.DUMMYFUNCTION("IF(D44="""", 0, COUNTA(SPLIT(D44, "" "")))"),4.0)</f>
        <v>4</v>
      </c>
      <c r="F44" s="8" t="s">
        <v>224</v>
      </c>
      <c r="G44" s="12">
        <v>12302.0</v>
      </c>
      <c r="H44" s="13">
        <f t="shared" si="1"/>
        <v>79.4825462</v>
      </c>
      <c r="I44" s="9">
        <f t="shared" si="2"/>
        <v>12.01916496</v>
      </c>
      <c r="J44" s="14" t="s">
        <v>42</v>
      </c>
      <c r="K44" s="15">
        <v>36943.0</v>
      </c>
      <c r="L44" s="16" t="s">
        <v>138</v>
      </c>
      <c r="M44" s="8" t="s">
        <v>225</v>
      </c>
      <c r="N44" s="1">
        <v>0.0</v>
      </c>
      <c r="O44" s="1">
        <v>0.0</v>
      </c>
      <c r="P44" s="16">
        <v>0.0</v>
      </c>
      <c r="Q44" s="16" t="s">
        <v>163</v>
      </c>
      <c r="R44" s="1" t="s">
        <v>140</v>
      </c>
    </row>
    <row r="45">
      <c r="A45" s="3">
        <v>41333.0</v>
      </c>
      <c r="B45" s="5" t="s">
        <v>58</v>
      </c>
      <c r="C45" s="2">
        <v>26.0</v>
      </c>
      <c r="D45" s="17" t="s">
        <v>226</v>
      </c>
      <c r="E45" s="1">
        <f>IFERROR(__xludf.DUMMYFUNCTION("IF(D45="""", 0, COUNTA(SPLIT(D45, "" "")))"),3.0)</f>
        <v>3</v>
      </c>
      <c r="F45" s="8" t="s">
        <v>227</v>
      </c>
      <c r="G45" s="12">
        <v>13216.0</v>
      </c>
      <c r="H45" s="13">
        <f t="shared" si="1"/>
        <v>76.98015058</v>
      </c>
      <c r="I45" s="9">
        <f t="shared" si="2"/>
        <v>12.01916496</v>
      </c>
      <c r="J45" s="14" t="s">
        <v>42</v>
      </c>
      <c r="K45" s="15">
        <v>36943.0</v>
      </c>
      <c r="L45" s="16" t="s">
        <v>138</v>
      </c>
      <c r="M45" s="8" t="s">
        <v>228</v>
      </c>
      <c r="N45" s="1">
        <v>0.0</v>
      </c>
      <c r="O45" s="1">
        <v>0.0</v>
      </c>
      <c r="P45" s="16">
        <v>0.0</v>
      </c>
      <c r="Q45" s="16" t="s">
        <v>163</v>
      </c>
      <c r="R45" s="1" t="s">
        <v>140</v>
      </c>
    </row>
    <row r="46">
      <c r="A46" s="3">
        <v>41333.0</v>
      </c>
      <c r="B46" s="5" t="s">
        <v>58</v>
      </c>
      <c r="C46" s="2">
        <v>27.0</v>
      </c>
      <c r="D46" s="17" t="s">
        <v>229</v>
      </c>
      <c r="E46" s="1">
        <f>IFERROR(__xludf.DUMMYFUNCTION("IF(D46="""", 0, COUNTA(SPLIT(D46, "" "")))"),3.0)</f>
        <v>3</v>
      </c>
      <c r="F46" s="8" t="s">
        <v>230</v>
      </c>
      <c r="G46" s="12">
        <v>15043.0</v>
      </c>
      <c r="H46" s="13">
        <f t="shared" si="1"/>
        <v>71.97809719</v>
      </c>
      <c r="I46" s="9">
        <f t="shared" si="2"/>
        <v>12.01916496</v>
      </c>
      <c r="J46" s="14" t="s">
        <v>42</v>
      </c>
      <c r="K46" s="15">
        <v>36943.0</v>
      </c>
      <c r="L46" s="16" t="s">
        <v>138</v>
      </c>
      <c r="M46" s="8" t="s">
        <v>231</v>
      </c>
      <c r="N46" s="1">
        <v>0.0</v>
      </c>
      <c r="O46" s="1">
        <v>0.0</v>
      </c>
      <c r="P46" s="16">
        <v>0.0</v>
      </c>
      <c r="Q46" s="16" t="s">
        <v>167</v>
      </c>
      <c r="R46" s="1" t="s">
        <v>140</v>
      </c>
    </row>
    <row r="47">
      <c r="A47" s="3">
        <v>41333.0</v>
      </c>
      <c r="B47" s="5" t="s">
        <v>58</v>
      </c>
      <c r="C47" s="2">
        <v>28.0</v>
      </c>
      <c r="D47" s="17" t="s">
        <v>232</v>
      </c>
      <c r="E47" s="1">
        <f>IFERROR(__xludf.DUMMYFUNCTION("IF(D47="""", 0, COUNTA(SPLIT(D47, "" "")))"),4.0)</f>
        <v>4</v>
      </c>
      <c r="F47" s="8" t="s">
        <v>233</v>
      </c>
      <c r="G47" s="12">
        <v>15704.0</v>
      </c>
      <c r="H47" s="13">
        <f t="shared" si="1"/>
        <v>70.16837782</v>
      </c>
      <c r="I47" s="9">
        <f t="shared" si="2"/>
        <v>12.01916496</v>
      </c>
      <c r="J47" s="14" t="s">
        <v>42</v>
      </c>
      <c r="K47" s="15">
        <v>36943.0</v>
      </c>
      <c r="L47" s="16" t="s">
        <v>138</v>
      </c>
      <c r="M47" s="8" t="s">
        <v>234</v>
      </c>
      <c r="N47" s="1">
        <v>3.0</v>
      </c>
      <c r="O47" s="1">
        <v>0.0</v>
      </c>
      <c r="P47" s="16">
        <v>0.05</v>
      </c>
      <c r="Q47" s="16" t="s">
        <v>163</v>
      </c>
      <c r="R47" s="1" t="s">
        <v>140</v>
      </c>
    </row>
    <row r="48">
      <c r="A48" s="3">
        <v>41333.0</v>
      </c>
      <c r="B48" s="5" t="s">
        <v>58</v>
      </c>
      <c r="C48" s="2">
        <v>29.0</v>
      </c>
      <c r="D48" s="8" t="s">
        <v>235</v>
      </c>
      <c r="E48" s="1">
        <f>IFERROR(__xludf.DUMMYFUNCTION("IF(D48="""", 0, COUNTA(SPLIT(D48, "" "")))"),4.0)</f>
        <v>4</v>
      </c>
      <c r="F48" s="8" t="s">
        <v>236</v>
      </c>
      <c r="G48" s="12">
        <v>16068.0</v>
      </c>
      <c r="H48" s="13">
        <f t="shared" si="1"/>
        <v>69.17180014</v>
      </c>
      <c r="I48" s="9">
        <f t="shared" si="2"/>
        <v>12.01916496</v>
      </c>
      <c r="J48" s="14" t="s">
        <v>42</v>
      </c>
      <c r="K48" s="15">
        <v>36943.0</v>
      </c>
      <c r="L48" s="16" t="s">
        <v>138</v>
      </c>
      <c r="M48" s="8" t="s">
        <v>237</v>
      </c>
      <c r="N48" s="1">
        <v>0.0</v>
      </c>
      <c r="O48" s="1">
        <v>0.0</v>
      </c>
      <c r="P48" s="16">
        <v>0.0</v>
      </c>
      <c r="Q48" s="16" t="s">
        <v>163</v>
      </c>
      <c r="R48" s="1" t="s">
        <v>140</v>
      </c>
    </row>
    <row r="49">
      <c r="A49" s="3">
        <v>41333.0</v>
      </c>
      <c r="B49" s="5" t="s">
        <v>58</v>
      </c>
      <c r="C49" s="2">
        <v>30.0</v>
      </c>
      <c r="D49" s="17" t="s">
        <v>238</v>
      </c>
      <c r="E49" s="1">
        <f>IFERROR(__xludf.DUMMYFUNCTION("IF(D49="""", 0, COUNTA(SPLIT(D49, "" "")))"),2.0)</f>
        <v>2</v>
      </c>
      <c r="F49" s="8" t="s">
        <v>239</v>
      </c>
      <c r="G49" s="12">
        <v>12639.0</v>
      </c>
      <c r="H49" s="13">
        <f t="shared" si="1"/>
        <v>78.55989049</v>
      </c>
      <c r="I49" s="9">
        <f t="shared" si="2"/>
        <v>12.01916496</v>
      </c>
      <c r="J49" s="14" t="s">
        <v>42</v>
      </c>
      <c r="K49" s="15">
        <v>36943.0</v>
      </c>
      <c r="L49" s="16" t="s">
        <v>138</v>
      </c>
      <c r="M49" s="8" t="s">
        <v>240</v>
      </c>
      <c r="N49" s="1">
        <v>0.0</v>
      </c>
      <c r="O49" s="1">
        <v>0.0</v>
      </c>
      <c r="P49" s="16">
        <v>0.03</v>
      </c>
      <c r="Q49" s="16" t="s">
        <v>218</v>
      </c>
      <c r="R49" s="1" t="s">
        <v>140</v>
      </c>
    </row>
    <row r="50">
      <c r="A50" s="3">
        <v>41333.0</v>
      </c>
      <c r="B50" s="18" t="s">
        <v>241</v>
      </c>
      <c r="C50" s="19">
        <v>31.0</v>
      </c>
      <c r="D50" s="17" t="s">
        <v>242</v>
      </c>
      <c r="E50" s="1">
        <f>IFERROR(__xludf.DUMMYFUNCTION("IF(D50="""", 0, COUNTA(SPLIT(D50, "" "")))"),3.0)</f>
        <v>3</v>
      </c>
      <c r="F50" s="8" t="s">
        <v>243</v>
      </c>
      <c r="G50" s="20">
        <v>13501.0</v>
      </c>
      <c r="H50" s="13">
        <f t="shared" si="1"/>
        <v>76.19986311</v>
      </c>
      <c r="I50" s="9">
        <f t="shared" si="2"/>
        <v>12.01916496</v>
      </c>
      <c r="J50" s="14" t="s">
        <v>42</v>
      </c>
      <c r="K50" s="15">
        <v>36943.0</v>
      </c>
      <c r="L50" s="16" t="s">
        <v>138</v>
      </c>
      <c r="M50" s="8" t="s">
        <v>244</v>
      </c>
      <c r="N50" s="1">
        <v>10.0</v>
      </c>
      <c r="O50" s="1">
        <v>0.0</v>
      </c>
      <c r="P50" s="16">
        <v>0.04</v>
      </c>
      <c r="Q50" s="16" t="s">
        <v>163</v>
      </c>
      <c r="R50" s="1" t="s">
        <v>28</v>
      </c>
    </row>
    <row r="51">
      <c r="A51" s="3">
        <v>41333.0</v>
      </c>
      <c r="B51" s="5" t="s">
        <v>58</v>
      </c>
      <c r="C51" s="2">
        <v>32.0</v>
      </c>
      <c r="D51" s="8" t="s">
        <v>245</v>
      </c>
      <c r="E51" s="1">
        <f>IFERROR(__xludf.DUMMYFUNCTION("IF(D51="""", 0, COUNTA(SPLIT(D51, "" "")))"),4.0)</f>
        <v>4</v>
      </c>
      <c r="F51" s="8" t="s">
        <v>246</v>
      </c>
      <c r="G51" s="12">
        <v>13206.0</v>
      </c>
      <c r="H51" s="13">
        <f t="shared" si="1"/>
        <v>77.00752909</v>
      </c>
      <c r="I51" s="9">
        <f t="shared" si="2"/>
        <v>12.01916496</v>
      </c>
      <c r="J51" s="14" t="s">
        <v>42</v>
      </c>
      <c r="K51" s="15">
        <v>36943.0</v>
      </c>
      <c r="L51" s="16" t="s">
        <v>138</v>
      </c>
      <c r="M51" s="8" t="s">
        <v>247</v>
      </c>
      <c r="N51" s="1">
        <v>0.0</v>
      </c>
      <c r="O51" s="1">
        <v>0.0</v>
      </c>
      <c r="P51" s="16">
        <v>0.0</v>
      </c>
      <c r="Q51" s="16" t="s">
        <v>218</v>
      </c>
      <c r="R51" s="1" t="s">
        <v>140</v>
      </c>
    </row>
    <row r="52">
      <c r="A52" s="3">
        <v>41333.0</v>
      </c>
      <c r="B52" s="5" t="s">
        <v>58</v>
      </c>
      <c r="C52" s="2">
        <v>33.0</v>
      </c>
      <c r="D52" s="8" t="s">
        <v>248</v>
      </c>
      <c r="E52" s="1">
        <f>IFERROR(__xludf.DUMMYFUNCTION("IF(D52="""", 0, COUNTA(SPLIT(D52, "" "")))"),2.0)</f>
        <v>2</v>
      </c>
      <c r="F52" s="8" t="s">
        <v>249</v>
      </c>
      <c r="G52" s="12">
        <v>12131.0</v>
      </c>
      <c r="H52" s="13">
        <f t="shared" si="1"/>
        <v>79.95071869</v>
      </c>
      <c r="I52" s="9">
        <f t="shared" si="2"/>
        <v>12.01916496</v>
      </c>
      <c r="J52" s="14" t="s">
        <v>42</v>
      </c>
      <c r="K52" s="15">
        <v>36943.0</v>
      </c>
      <c r="L52" s="16" t="s">
        <v>138</v>
      </c>
      <c r="M52" s="8" t="s">
        <v>250</v>
      </c>
      <c r="N52" s="1">
        <v>0.0</v>
      </c>
      <c r="O52" s="1">
        <v>0.0</v>
      </c>
      <c r="P52" s="16">
        <v>0.0</v>
      </c>
      <c r="Q52" s="16" t="s">
        <v>27</v>
      </c>
      <c r="R52" s="1" t="s">
        <v>140</v>
      </c>
    </row>
    <row r="53">
      <c r="A53" s="3">
        <v>41333.0</v>
      </c>
      <c r="B53" s="5" t="s">
        <v>58</v>
      </c>
      <c r="C53" s="2">
        <v>34.0</v>
      </c>
      <c r="D53" s="8" t="s">
        <v>251</v>
      </c>
      <c r="E53" s="1">
        <f>IFERROR(__xludf.DUMMYFUNCTION("IF(D53="""", 0, COUNTA(SPLIT(D53, "" "")))"),2.0)</f>
        <v>2</v>
      </c>
      <c r="F53" s="8" t="s">
        <v>252</v>
      </c>
      <c r="G53" s="12">
        <v>13286.0</v>
      </c>
      <c r="H53" s="13">
        <f t="shared" si="1"/>
        <v>76.78850103</v>
      </c>
      <c r="I53" s="9">
        <f t="shared" si="2"/>
        <v>9.35797399</v>
      </c>
      <c r="J53" s="14" t="s">
        <v>42</v>
      </c>
      <c r="K53" s="15">
        <v>37915.0</v>
      </c>
      <c r="L53" s="16" t="s">
        <v>138</v>
      </c>
      <c r="M53" s="8" t="s">
        <v>253</v>
      </c>
      <c r="N53" s="1">
        <v>0.0</v>
      </c>
      <c r="O53" s="1">
        <v>0.0</v>
      </c>
      <c r="P53" s="16">
        <v>0.0</v>
      </c>
      <c r="Q53" s="16" t="s">
        <v>159</v>
      </c>
      <c r="R53" s="1" t="s">
        <v>140</v>
      </c>
    </row>
    <row r="54">
      <c r="A54" s="3">
        <v>41333.0</v>
      </c>
      <c r="B54" s="5" t="s">
        <v>58</v>
      </c>
      <c r="C54" s="2">
        <v>35.0</v>
      </c>
      <c r="D54" s="8" t="s">
        <v>254</v>
      </c>
      <c r="E54" s="1">
        <f>IFERROR(__xludf.DUMMYFUNCTION("IF(D54="""", 0, COUNTA(SPLIT(D54, "" "")))"),2.0)</f>
        <v>2</v>
      </c>
      <c r="F54" s="8" t="s">
        <v>255</v>
      </c>
      <c r="G54" s="12">
        <v>15287.0</v>
      </c>
      <c r="H54" s="13">
        <f t="shared" si="1"/>
        <v>71.3100616</v>
      </c>
      <c r="I54" s="9">
        <f t="shared" si="2"/>
        <v>9.35797399</v>
      </c>
      <c r="J54" s="14" t="s">
        <v>42</v>
      </c>
      <c r="K54" s="15">
        <v>37915.0</v>
      </c>
      <c r="L54" s="16" t="s">
        <v>138</v>
      </c>
      <c r="M54" s="8" t="s">
        <v>256</v>
      </c>
      <c r="N54" s="1">
        <v>0.0</v>
      </c>
      <c r="O54" s="1">
        <v>0.0</v>
      </c>
      <c r="P54" s="16">
        <v>0.0</v>
      </c>
      <c r="Q54" s="16" t="s">
        <v>27</v>
      </c>
      <c r="R54" s="1" t="s">
        <v>140</v>
      </c>
    </row>
    <row r="55">
      <c r="A55" s="3">
        <v>41333.0</v>
      </c>
      <c r="B55" s="5" t="s">
        <v>58</v>
      </c>
      <c r="C55" s="2">
        <v>36.0</v>
      </c>
      <c r="D55" s="8" t="s">
        <v>257</v>
      </c>
      <c r="E55" s="1">
        <f>IFERROR(__xludf.DUMMYFUNCTION("IF(D55="""", 0, COUNTA(SPLIT(D55, "" "")))"),3.0)</f>
        <v>3</v>
      </c>
      <c r="F55" s="8" t="s">
        <v>258</v>
      </c>
      <c r="G55" s="12">
        <v>13317.0</v>
      </c>
      <c r="H55" s="13">
        <f t="shared" si="1"/>
        <v>76.70362765</v>
      </c>
      <c r="I55" s="9">
        <f t="shared" si="2"/>
        <v>9.35797399</v>
      </c>
      <c r="J55" s="14" t="s">
        <v>42</v>
      </c>
      <c r="K55" s="15">
        <v>37915.0</v>
      </c>
      <c r="L55" s="16" t="s">
        <v>138</v>
      </c>
      <c r="M55" s="8" t="s">
        <v>259</v>
      </c>
      <c r="N55" s="1">
        <v>0.0</v>
      </c>
      <c r="O55" s="1">
        <v>0.0</v>
      </c>
      <c r="P55" s="16">
        <v>0.0</v>
      </c>
      <c r="Q55" s="16" t="s">
        <v>260</v>
      </c>
      <c r="R55" s="1" t="s">
        <v>140</v>
      </c>
    </row>
    <row r="56">
      <c r="A56" s="3">
        <v>41333.0</v>
      </c>
      <c r="B56" s="5" t="s">
        <v>58</v>
      </c>
      <c r="C56" s="2">
        <v>37.0</v>
      </c>
      <c r="D56" s="8" t="s">
        <v>261</v>
      </c>
      <c r="E56" s="1">
        <f>IFERROR(__xludf.DUMMYFUNCTION("IF(D56="""", 0, COUNTA(SPLIT(D56, "" "")))"),3.0)</f>
        <v>3</v>
      </c>
      <c r="F56" s="8" t="s">
        <v>262</v>
      </c>
      <c r="G56" s="12">
        <v>15034.0</v>
      </c>
      <c r="H56" s="13">
        <f t="shared" si="1"/>
        <v>72.00273785</v>
      </c>
      <c r="I56" s="9">
        <f t="shared" si="2"/>
        <v>9.35797399</v>
      </c>
      <c r="J56" s="14" t="s">
        <v>42</v>
      </c>
      <c r="K56" s="15">
        <v>37915.0</v>
      </c>
      <c r="L56" s="16" t="s">
        <v>138</v>
      </c>
      <c r="M56" s="8" t="s">
        <v>263</v>
      </c>
      <c r="N56" s="1">
        <v>0.0</v>
      </c>
      <c r="O56" s="1">
        <v>0.0</v>
      </c>
      <c r="P56" s="16">
        <v>0.0</v>
      </c>
      <c r="Q56" s="16" t="s">
        <v>148</v>
      </c>
      <c r="R56" s="1" t="s">
        <v>140</v>
      </c>
    </row>
    <row r="57">
      <c r="A57" s="3">
        <v>41333.0</v>
      </c>
      <c r="B57" s="5" t="s">
        <v>58</v>
      </c>
      <c r="C57" s="2">
        <v>38.0</v>
      </c>
      <c r="D57" s="17" t="s">
        <v>264</v>
      </c>
      <c r="E57" s="1">
        <f>IFERROR(__xludf.DUMMYFUNCTION("IF(D57="""", 0, COUNTA(SPLIT(D57, "" "")))"),3.0)</f>
        <v>3</v>
      </c>
      <c r="F57" s="8" t="s">
        <v>265</v>
      </c>
      <c r="G57" s="12">
        <v>12654.0</v>
      </c>
      <c r="H57" s="13">
        <f t="shared" si="1"/>
        <v>78.51882272</v>
      </c>
      <c r="I57" s="9">
        <f t="shared" si="2"/>
        <v>9.35797399</v>
      </c>
      <c r="J57" s="14" t="s">
        <v>42</v>
      </c>
      <c r="K57" s="15">
        <v>37915.0</v>
      </c>
      <c r="L57" s="16" t="s">
        <v>138</v>
      </c>
      <c r="M57" s="8" t="s">
        <v>266</v>
      </c>
      <c r="N57" s="1">
        <v>0.0</v>
      </c>
      <c r="O57" s="1">
        <v>0.0</v>
      </c>
      <c r="P57" s="16">
        <v>0.0</v>
      </c>
      <c r="Q57" s="16" t="s">
        <v>163</v>
      </c>
      <c r="R57" s="1" t="s">
        <v>140</v>
      </c>
    </row>
    <row r="58">
      <c r="A58" s="3">
        <v>41333.0</v>
      </c>
      <c r="B58" s="5" t="s">
        <v>58</v>
      </c>
      <c r="C58" s="2">
        <v>39.0</v>
      </c>
      <c r="D58" s="8" t="s">
        <v>267</v>
      </c>
      <c r="E58" s="1">
        <f>IFERROR(__xludf.DUMMYFUNCTION("IF(D58="""", 0, COUNTA(SPLIT(D58, "" "")))"),3.0)</f>
        <v>3</v>
      </c>
      <c r="F58" s="8" t="s">
        <v>268</v>
      </c>
      <c r="G58" s="12">
        <v>12893.0</v>
      </c>
      <c r="H58" s="13">
        <f t="shared" si="1"/>
        <v>77.86447639</v>
      </c>
      <c r="I58" s="9">
        <f t="shared" si="2"/>
        <v>9.35797399</v>
      </c>
      <c r="J58" s="14" t="s">
        <v>42</v>
      </c>
      <c r="K58" s="15">
        <v>37915.0</v>
      </c>
      <c r="L58" s="16" t="s">
        <v>138</v>
      </c>
      <c r="M58" s="8" t="s">
        <v>269</v>
      </c>
      <c r="N58" s="1">
        <v>0.0</v>
      </c>
      <c r="O58" s="1">
        <v>0.0</v>
      </c>
      <c r="P58" s="16">
        <v>0.0</v>
      </c>
      <c r="Q58" s="16" t="s">
        <v>167</v>
      </c>
      <c r="R58" s="1" t="s">
        <v>140</v>
      </c>
    </row>
    <row r="59">
      <c r="A59" s="3">
        <v>41333.0</v>
      </c>
      <c r="B59" s="5" t="s">
        <v>58</v>
      </c>
      <c r="C59" s="2">
        <v>40.0</v>
      </c>
      <c r="D59" s="8" t="s">
        <v>270</v>
      </c>
      <c r="E59" s="1">
        <f>IFERROR(__xludf.DUMMYFUNCTION("IF(D59="""", 0, COUNTA(SPLIT(D59, "" "")))"),2.0)</f>
        <v>2</v>
      </c>
      <c r="F59" s="8" t="s">
        <v>271</v>
      </c>
      <c r="G59" s="12">
        <v>13472.0</v>
      </c>
      <c r="H59" s="13">
        <f t="shared" si="1"/>
        <v>76.27926078</v>
      </c>
      <c r="I59" s="9">
        <f t="shared" si="2"/>
        <v>9.35797399</v>
      </c>
      <c r="J59" s="14" t="s">
        <v>42</v>
      </c>
      <c r="K59" s="15">
        <v>37915.0</v>
      </c>
      <c r="L59" s="16" t="s">
        <v>138</v>
      </c>
      <c r="M59" s="8" t="s">
        <v>272</v>
      </c>
      <c r="N59" s="1">
        <v>0.0</v>
      </c>
      <c r="O59" s="1">
        <v>0.0</v>
      </c>
      <c r="P59" s="16">
        <v>0.0</v>
      </c>
      <c r="Q59" s="16" t="s">
        <v>27</v>
      </c>
      <c r="R59" s="1" t="s">
        <v>140</v>
      </c>
    </row>
    <row r="60">
      <c r="A60" s="3">
        <v>41333.0</v>
      </c>
      <c r="B60" s="5" t="s">
        <v>58</v>
      </c>
      <c r="C60" s="2">
        <v>41.0</v>
      </c>
      <c r="D60" s="8" t="s">
        <v>273</v>
      </c>
      <c r="E60" s="1">
        <f>IFERROR(__xludf.DUMMYFUNCTION("IF(D60="""", 0, COUNTA(SPLIT(D60, "" "")))"),4.0)</f>
        <v>4</v>
      </c>
      <c r="F60" s="8" t="s">
        <v>274</v>
      </c>
      <c r="G60" s="12">
        <v>17817.0</v>
      </c>
      <c r="H60" s="13">
        <f t="shared" si="1"/>
        <v>64.38329911</v>
      </c>
      <c r="I60" s="9">
        <f t="shared" si="2"/>
        <v>9.35797399</v>
      </c>
      <c r="J60" s="14" t="s">
        <v>42</v>
      </c>
      <c r="K60" s="15">
        <v>37915.0</v>
      </c>
      <c r="L60" s="16" t="s">
        <v>138</v>
      </c>
      <c r="M60" s="8" t="s">
        <v>275</v>
      </c>
      <c r="N60" s="1">
        <v>0.0</v>
      </c>
      <c r="O60" s="1">
        <v>1.0</v>
      </c>
      <c r="P60" s="16">
        <v>0.22</v>
      </c>
      <c r="Q60" s="16" t="s">
        <v>276</v>
      </c>
      <c r="R60" s="1" t="s">
        <v>140</v>
      </c>
    </row>
    <row r="61">
      <c r="A61" s="3">
        <v>41333.0</v>
      </c>
      <c r="B61" s="5" t="s">
        <v>58</v>
      </c>
      <c r="C61" s="2">
        <v>42.0</v>
      </c>
      <c r="D61" s="8" t="s">
        <v>277</v>
      </c>
      <c r="E61" s="1">
        <f>IFERROR(__xludf.DUMMYFUNCTION("IF(D61="""", 0, COUNTA(SPLIT(D61, "" "")))"),3.0)</f>
        <v>3</v>
      </c>
      <c r="F61" s="8" t="s">
        <v>278</v>
      </c>
      <c r="G61" s="12">
        <v>14533.0</v>
      </c>
      <c r="H61" s="13">
        <f t="shared" si="1"/>
        <v>73.3744011</v>
      </c>
      <c r="I61" s="9">
        <f t="shared" si="2"/>
        <v>9.35797399</v>
      </c>
      <c r="J61" s="14" t="s">
        <v>42</v>
      </c>
      <c r="K61" s="15">
        <v>37915.0</v>
      </c>
      <c r="L61" s="16" t="s">
        <v>138</v>
      </c>
      <c r="M61" s="8" t="s">
        <v>279</v>
      </c>
      <c r="N61" s="1">
        <v>0.0</v>
      </c>
      <c r="O61" s="1">
        <v>0.0</v>
      </c>
      <c r="P61" s="16">
        <v>0.0</v>
      </c>
      <c r="Q61" s="16" t="s">
        <v>280</v>
      </c>
      <c r="R61" s="1" t="s">
        <v>140</v>
      </c>
    </row>
    <row r="62">
      <c r="A62" s="3">
        <v>41333.0</v>
      </c>
      <c r="B62" s="5" t="s">
        <v>58</v>
      </c>
      <c r="C62" s="2">
        <v>43.0</v>
      </c>
      <c r="D62" s="8" t="s">
        <v>281</v>
      </c>
      <c r="E62" s="1">
        <f>IFERROR(__xludf.DUMMYFUNCTION("IF(D62="""", 0, COUNTA(SPLIT(D62, "" "")))"),2.0)</f>
        <v>2</v>
      </c>
      <c r="F62" s="8" t="s">
        <v>282</v>
      </c>
      <c r="G62" s="12">
        <v>15135.0</v>
      </c>
      <c r="H62" s="13">
        <f t="shared" si="1"/>
        <v>71.72621492</v>
      </c>
      <c r="I62" s="9">
        <f t="shared" si="2"/>
        <v>9.35797399</v>
      </c>
      <c r="J62" s="14" t="s">
        <v>42</v>
      </c>
      <c r="K62" s="15">
        <v>37915.0</v>
      </c>
      <c r="L62" s="16" t="s">
        <v>138</v>
      </c>
      <c r="M62" s="8" t="s">
        <v>283</v>
      </c>
      <c r="N62" s="1">
        <v>0.0</v>
      </c>
      <c r="O62" s="1">
        <v>0.0</v>
      </c>
      <c r="P62" s="16">
        <v>0.0</v>
      </c>
      <c r="Q62" s="16" t="s">
        <v>167</v>
      </c>
      <c r="R62" s="1" t="s">
        <v>140</v>
      </c>
    </row>
    <row r="63">
      <c r="A63" s="3">
        <v>41333.0</v>
      </c>
      <c r="B63" s="5" t="s">
        <v>58</v>
      </c>
      <c r="C63" s="2">
        <v>44.0</v>
      </c>
      <c r="D63" s="8" t="s">
        <v>284</v>
      </c>
      <c r="E63" s="1">
        <f>IFERROR(__xludf.DUMMYFUNCTION("IF(D63="""", 0, COUNTA(SPLIT(D63, "" "")))"),2.0)</f>
        <v>2</v>
      </c>
      <c r="F63" s="8" t="s">
        <v>285</v>
      </c>
      <c r="G63" s="12">
        <v>17977.0</v>
      </c>
      <c r="H63" s="13">
        <f t="shared" si="1"/>
        <v>63.94524298</v>
      </c>
      <c r="I63" s="9">
        <f t="shared" si="2"/>
        <v>9.35797399</v>
      </c>
      <c r="J63" s="14" t="s">
        <v>42</v>
      </c>
      <c r="K63" s="15">
        <v>37915.0</v>
      </c>
      <c r="L63" s="16" t="s">
        <v>138</v>
      </c>
      <c r="M63" s="8" t="s">
        <v>286</v>
      </c>
      <c r="N63" s="1">
        <v>0.0</v>
      </c>
      <c r="O63" s="1">
        <v>0.0</v>
      </c>
      <c r="P63" s="16">
        <v>0.0</v>
      </c>
      <c r="Q63" s="16" t="s">
        <v>178</v>
      </c>
      <c r="R63" s="1" t="s">
        <v>140</v>
      </c>
    </row>
    <row r="64">
      <c r="A64" s="3">
        <v>41333.0</v>
      </c>
      <c r="B64" s="5" t="s">
        <v>58</v>
      </c>
      <c r="C64" s="2">
        <v>45.0</v>
      </c>
      <c r="D64" s="8" t="s">
        <v>287</v>
      </c>
      <c r="E64" s="1">
        <f>IFERROR(__xludf.DUMMYFUNCTION("IF(D64="""", 0, COUNTA(SPLIT(D64, "" "")))"),4.0)</f>
        <v>4</v>
      </c>
      <c r="F64" s="8" t="s">
        <v>288</v>
      </c>
      <c r="G64" s="12">
        <v>12483.0</v>
      </c>
      <c r="H64" s="13">
        <f t="shared" si="1"/>
        <v>78.98699521</v>
      </c>
      <c r="I64" s="9">
        <f t="shared" si="2"/>
        <v>9.35797399</v>
      </c>
      <c r="J64" s="14" t="s">
        <v>42</v>
      </c>
      <c r="K64" s="15">
        <v>37915.0</v>
      </c>
      <c r="L64" s="16" t="s">
        <v>138</v>
      </c>
      <c r="M64" s="8" t="s">
        <v>289</v>
      </c>
      <c r="N64" s="1">
        <v>0.0</v>
      </c>
      <c r="O64" s="1">
        <v>0.0</v>
      </c>
      <c r="P64" s="16">
        <v>0.0</v>
      </c>
      <c r="Q64" s="16" t="s">
        <v>290</v>
      </c>
      <c r="R64" s="1" t="s">
        <v>140</v>
      </c>
    </row>
    <row r="65">
      <c r="A65" s="3">
        <v>41333.0</v>
      </c>
      <c r="B65" s="5" t="s">
        <v>58</v>
      </c>
      <c r="C65" s="2">
        <v>46.0</v>
      </c>
      <c r="D65" s="8" t="s">
        <v>291</v>
      </c>
      <c r="E65" s="1">
        <f>IFERROR(__xludf.DUMMYFUNCTION("IF(D65="""", 0, COUNTA(SPLIT(D65, "" "")))"),2.0)</f>
        <v>2</v>
      </c>
      <c r="F65" s="8" t="s">
        <v>292</v>
      </c>
      <c r="G65" s="12">
        <v>18553.0</v>
      </c>
      <c r="H65" s="13">
        <f t="shared" si="1"/>
        <v>62.36824093</v>
      </c>
      <c r="I65" s="9">
        <f t="shared" si="2"/>
        <v>9.35797399</v>
      </c>
      <c r="J65" s="14" t="s">
        <v>42</v>
      </c>
      <c r="K65" s="15">
        <v>37915.0</v>
      </c>
      <c r="L65" s="16" t="s">
        <v>138</v>
      </c>
      <c r="M65" s="8" t="s">
        <v>293</v>
      </c>
      <c r="N65" s="1">
        <v>0.0</v>
      </c>
      <c r="O65" s="1">
        <v>0.0</v>
      </c>
      <c r="P65" s="16">
        <v>0.0</v>
      </c>
      <c r="Q65" s="16" t="s">
        <v>174</v>
      </c>
      <c r="R65" s="1" t="s">
        <v>140</v>
      </c>
    </row>
    <row r="66">
      <c r="A66" s="3">
        <v>41333.0</v>
      </c>
      <c r="B66" s="5" t="s">
        <v>58</v>
      </c>
      <c r="C66" s="2">
        <v>47.0</v>
      </c>
      <c r="D66" s="8" t="s">
        <v>294</v>
      </c>
      <c r="E66" s="1">
        <f>IFERROR(__xludf.DUMMYFUNCTION("IF(D66="""", 0, COUNTA(SPLIT(D66, "" "")))"),2.0)</f>
        <v>2</v>
      </c>
      <c r="F66" s="8" t="s">
        <v>295</v>
      </c>
      <c r="G66" s="12">
        <v>19170.0</v>
      </c>
      <c r="H66" s="13">
        <f t="shared" si="1"/>
        <v>60.678987</v>
      </c>
      <c r="I66" s="9">
        <f t="shared" si="2"/>
        <v>9.35797399</v>
      </c>
      <c r="J66" s="14" t="s">
        <v>42</v>
      </c>
      <c r="K66" s="15">
        <v>37915.0</v>
      </c>
      <c r="L66" s="16" t="s">
        <v>138</v>
      </c>
      <c r="M66" s="8" t="s">
        <v>296</v>
      </c>
      <c r="N66" s="1">
        <v>0.0</v>
      </c>
      <c r="O66" s="1">
        <v>0.0</v>
      </c>
      <c r="P66" s="16">
        <v>0.07</v>
      </c>
      <c r="Q66" s="16" t="s">
        <v>297</v>
      </c>
      <c r="R66" s="1" t="s">
        <v>140</v>
      </c>
    </row>
    <row r="67">
      <c r="A67" s="3">
        <v>41333.0</v>
      </c>
      <c r="B67" s="5" t="s">
        <v>58</v>
      </c>
      <c r="C67" s="2">
        <v>48.0</v>
      </c>
      <c r="D67" s="17" t="s">
        <v>298</v>
      </c>
      <c r="E67" s="1">
        <f>IFERROR(__xludf.DUMMYFUNCTION("IF(D67="""", 0, COUNTA(SPLIT(D67, "" "")))"),2.0)</f>
        <v>2</v>
      </c>
      <c r="F67" s="8" t="s">
        <v>299</v>
      </c>
      <c r="G67" s="12">
        <v>16231.0</v>
      </c>
      <c r="H67" s="13">
        <f t="shared" si="1"/>
        <v>68.72553046</v>
      </c>
      <c r="I67" s="9">
        <f t="shared" si="2"/>
        <v>9.35797399</v>
      </c>
      <c r="J67" s="14" t="s">
        <v>42</v>
      </c>
      <c r="K67" s="15">
        <v>37915.0</v>
      </c>
      <c r="L67" s="16" t="s">
        <v>138</v>
      </c>
      <c r="M67" s="8" t="s">
        <v>300</v>
      </c>
      <c r="N67" s="1">
        <v>0.0</v>
      </c>
      <c r="O67" s="1">
        <v>0.0</v>
      </c>
      <c r="P67" s="16">
        <v>0.12</v>
      </c>
      <c r="Q67" s="16" t="s">
        <v>174</v>
      </c>
      <c r="R67" s="1" t="s">
        <v>140</v>
      </c>
    </row>
    <row r="68">
      <c r="A68" s="3">
        <v>41333.0</v>
      </c>
      <c r="B68" s="5" t="s">
        <v>58</v>
      </c>
      <c r="C68" s="2">
        <v>49.0</v>
      </c>
      <c r="D68" s="8" t="s">
        <v>301</v>
      </c>
      <c r="E68" s="1">
        <f>IFERROR(__xludf.DUMMYFUNCTION("IF(D68="""", 0, COUNTA(SPLIT(D68, "" "")))"),2.0)</f>
        <v>2</v>
      </c>
      <c r="F68" s="8" t="s">
        <v>302</v>
      </c>
      <c r="G68" s="12">
        <v>14718.0</v>
      </c>
      <c r="H68" s="13">
        <f t="shared" si="1"/>
        <v>72.8678987</v>
      </c>
      <c r="I68" s="9">
        <f t="shared" si="2"/>
        <v>6.934976044</v>
      </c>
      <c r="J68" s="14" t="s">
        <v>42</v>
      </c>
      <c r="K68" s="15">
        <v>38800.0</v>
      </c>
      <c r="L68" s="16" t="s">
        <v>146</v>
      </c>
      <c r="M68" s="8" t="s">
        <v>303</v>
      </c>
      <c r="N68" s="1">
        <v>0.0</v>
      </c>
      <c r="O68" s="1">
        <v>0.0</v>
      </c>
      <c r="P68" s="16">
        <v>0.0</v>
      </c>
      <c r="Q68" s="16" t="s">
        <v>27</v>
      </c>
      <c r="R68" s="1" t="s">
        <v>140</v>
      </c>
    </row>
    <row r="69">
      <c r="A69" s="3">
        <v>41333.0</v>
      </c>
      <c r="B69" s="5" t="s">
        <v>58</v>
      </c>
      <c r="C69" s="2">
        <v>50.0</v>
      </c>
      <c r="D69" s="8" t="s">
        <v>304</v>
      </c>
      <c r="E69" s="1">
        <f>IFERROR(__xludf.DUMMYFUNCTION("IF(D69="""", 0, COUNTA(SPLIT(D69, "" "")))"),4.0)</f>
        <v>4</v>
      </c>
      <c r="F69" s="8" t="s">
        <v>305</v>
      </c>
      <c r="G69" s="12">
        <v>15581.0</v>
      </c>
      <c r="H69" s="13">
        <f t="shared" si="1"/>
        <v>70.50513347</v>
      </c>
      <c r="I69" s="9">
        <f t="shared" si="2"/>
        <v>6.934976044</v>
      </c>
      <c r="J69" s="14" t="s">
        <v>42</v>
      </c>
      <c r="K69" s="15">
        <v>38800.0</v>
      </c>
      <c r="L69" s="16" t="s">
        <v>146</v>
      </c>
      <c r="M69" s="8" t="s">
        <v>306</v>
      </c>
      <c r="N69" s="1">
        <v>0.0</v>
      </c>
      <c r="O69" s="1">
        <v>0.0</v>
      </c>
      <c r="P69" s="16">
        <v>0.0</v>
      </c>
      <c r="Q69" s="16" t="s">
        <v>163</v>
      </c>
      <c r="R69" s="1" t="s">
        <v>140</v>
      </c>
    </row>
    <row r="70">
      <c r="A70" s="3">
        <v>41333.0</v>
      </c>
      <c r="B70" s="5" t="s">
        <v>58</v>
      </c>
      <c r="C70" s="2">
        <v>51.0</v>
      </c>
      <c r="D70" s="8" t="s">
        <v>307</v>
      </c>
      <c r="E70" s="1">
        <f>IFERROR(__xludf.DUMMYFUNCTION("IF(D70="""", 0, COUNTA(SPLIT(D70, "" "")))"),2.0)</f>
        <v>2</v>
      </c>
      <c r="F70" s="8" t="s">
        <v>308</v>
      </c>
      <c r="G70" s="12">
        <v>16340.0</v>
      </c>
      <c r="H70" s="13">
        <f t="shared" si="1"/>
        <v>68.42710472</v>
      </c>
      <c r="I70" s="9">
        <f t="shared" si="2"/>
        <v>6.934976044</v>
      </c>
      <c r="J70" s="14" t="s">
        <v>42</v>
      </c>
      <c r="K70" s="15">
        <v>38800.0</v>
      </c>
      <c r="L70" s="16" t="s">
        <v>146</v>
      </c>
      <c r="M70" s="8" t="s">
        <v>309</v>
      </c>
      <c r="N70" s="1">
        <v>0.0</v>
      </c>
      <c r="O70" s="1">
        <v>0.0</v>
      </c>
      <c r="P70" s="16">
        <v>0.0</v>
      </c>
      <c r="Q70" s="16" t="s">
        <v>174</v>
      </c>
      <c r="R70" s="1" t="s">
        <v>140</v>
      </c>
    </row>
    <row r="71">
      <c r="A71" s="3">
        <v>41333.0</v>
      </c>
      <c r="B71" s="5" t="s">
        <v>58</v>
      </c>
      <c r="C71" s="2">
        <v>52.0</v>
      </c>
      <c r="D71" s="8" t="s">
        <v>310</v>
      </c>
      <c r="E71" s="1">
        <f>IFERROR(__xludf.DUMMYFUNCTION("IF(D71="""", 0, COUNTA(SPLIT(D71, "" "")))"),3.0)</f>
        <v>3</v>
      </c>
      <c r="F71" s="8" t="s">
        <v>311</v>
      </c>
      <c r="G71" s="12">
        <v>16725.0</v>
      </c>
      <c r="H71" s="13">
        <f t="shared" si="1"/>
        <v>67.37303217</v>
      </c>
      <c r="I71" s="9">
        <f t="shared" si="2"/>
        <v>6.934976044</v>
      </c>
      <c r="J71" s="14" t="s">
        <v>42</v>
      </c>
      <c r="K71" s="15">
        <v>38800.0</v>
      </c>
      <c r="L71" s="16" t="s">
        <v>146</v>
      </c>
      <c r="M71" s="8" t="s">
        <v>312</v>
      </c>
      <c r="N71" s="1">
        <v>0.0</v>
      </c>
      <c r="O71" s="1">
        <v>0.0</v>
      </c>
      <c r="P71" s="16">
        <v>0.0</v>
      </c>
      <c r="Q71" s="16" t="s">
        <v>163</v>
      </c>
      <c r="R71" s="1" t="s">
        <v>140</v>
      </c>
    </row>
    <row r="72">
      <c r="A72" s="3">
        <v>41333.0</v>
      </c>
      <c r="B72" s="5" t="s">
        <v>58</v>
      </c>
      <c r="C72" s="2">
        <v>53.0</v>
      </c>
      <c r="D72" s="17" t="s">
        <v>313</v>
      </c>
      <c r="E72" s="1">
        <f>IFERROR(__xludf.DUMMYFUNCTION("IF(D72="""", 0, COUNTA(SPLIT(D72, "" "")))"),3.0)</f>
        <v>3</v>
      </c>
      <c r="F72" s="8" t="s">
        <v>314</v>
      </c>
      <c r="G72" s="12">
        <v>16252.0</v>
      </c>
      <c r="H72" s="13">
        <f t="shared" si="1"/>
        <v>68.66803559</v>
      </c>
      <c r="I72" s="9">
        <f t="shared" si="2"/>
        <v>6.934976044</v>
      </c>
      <c r="J72" s="14" t="s">
        <v>42</v>
      </c>
      <c r="K72" s="15">
        <v>38800.0</v>
      </c>
      <c r="L72" s="16" t="s">
        <v>146</v>
      </c>
      <c r="M72" s="8" t="s">
        <v>315</v>
      </c>
      <c r="N72" s="1">
        <v>0.0</v>
      </c>
      <c r="O72" s="1">
        <v>0.0</v>
      </c>
      <c r="P72" s="16">
        <v>0.04</v>
      </c>
      <c r="Q72" s="16" t="s">
        <v>167</v>
      </c>
      <c r="R72" s="1" t="s">
        <v>140</v>
      </c>
    </row>
    <row r="73">
      <c r="A73" s="3">
        <v>41333.0</v>
      </c>
      <c r="B73" s="5" t="s">
        <v>58</v>
      </c>
      <c r="C73" s="2">
        <v>54.0</v>
      </c>
      <c r="D73" s="8" t="s">
        <v>316</v>
      </c>
      <c r="E73" s="1">
        <f>IFERROR(__xludf.DUMMYFUNCTION("IF(D73="""", 0, COUNTA(SPLIT(D73, "" "")))"),2.0)</f>
        <v>2</v>
      </c>
      <c r="F73" s="8" t="s">
        <v>317</v>
      </c>
      <c r="G73" s="12">
        <v>14362.0</v>
      </c>
      <c r="H73" s="13">
        <f t="shared" si="1"/>
        <v>73.84257358</v>
      </c>
      <c r="I73" s="9">
        <f t="shared" si="2"/>
        <v>6.934976044</v>
      </c>
      <c r="J73" s="14" t="s">
        <v>42</v>
      </c>
      <c r="K73" s="15">
        <v>38800.0</v>
      </c>
      <c r="L73" s="16" t="s">
        <v>146</v>
      </c>
      <c r="M73" s="8" t="s">
        <v>318</v>
      </c>
      <c r="N73" s="1">
        <v>0.0</v>
      </c>
      <c r="O73" s="1">
        <v>0.0</v>
      </c>
      <c r="P73" s="16">
        <v>0.03</v>
      </c>
      <c r="Q73" s="16" t="s">
        <v>204</v>
      </c>
      <c r="R73" s="1" t="s">
        <v>140</v>
      </c>
    </row>
    <row r="74">
      <c r="A74" s="3">
        <v>41333.0</v>
      </c>
      <c r="B74" s="5" t="s">
        <v>58</v>
      </c>
      <c r="C74" s="2">
        <v>55.0</v>
      </c>
      <c r="D74" s="8" t="s">
        <v>319</v>
      </c>
      <c r="E74" s="1">
        <f>IFERROR(__xludf.DUMMYFUNCTION("IF(D74="""", 0, COUNTA(SPLIT(D74, "" "")))"),2.0)</f>
        <v>2</v>
      </c>
      <c r="F74" s="8" t="s">
        <v>320</v>
      </c>
      <c r="G74" s="12">
        <v>14032.0</v>
      </c>
      <c r="H74" s="13">
        <f t="shared" si="1"/>
        <v>74.74606434</v>
      </c>
      <c r="I74" s="9">
        <f t="shared" si="2"/>
        <v>6.934976044</v>
      </c>
      <c r="J74" s="14" t="s">
        <v>42</v>
      </c>
      <c r="K74" s="15">
        <v>38800.0</v>
      </c>
      <c r="L74" s="16" t="s">
        <v>146</v>
      </c>
      <c r="M74" s="8" t="s">
        <v>321</v>
      </c>
      <c r="N74" s="1">
        <v>0.0</v>
      </c>
      <c r="O74" s="1">
        <v>0.0</v>
      </c>
      <c r="P74" s="16">
        <v>0.0</v>
      </c>
      <c r="Q74" s="16" t="s">
        <v>27</v>
      </c>
      <c r="R74" s="1" t="s">
        <v>140</v>
      </c>
    </row>
    <row r="75">
      <c r="A75" s="3">
        <v>41333.0</v>
      </c>
      <c r="B75" s="5" t="s">
        <v>58</v>
      </c>
      <c r="C75" s="2">
        <v>56.0</v>
      </c>
      <c r="D75" s="8" t="s">
        <v>322</v>
      </c>
      <c r="E75" s="1">
        <f>IFERROR(__xludf.DUMMYFUNCTION("IF(D75="""", 0, COUNTA(SPLIT(D75, "" "")))"),3.0)</f>
        <v>3</v>
      </c>
      <c r="F75" s="8" t="s">
        <v>323</v>
      </c>
      <c r="G75" s="12">
        <v>14473.0</v>
      </c>
      <c r="H75" s="13">
        <f t="shared" si="1"/>
        <v>73.53867214</v>
      </c>
      <c r="I75" s="9">
        <f t="shared" si="2"/>
        <v>5.264887064</v>
      </c>
      <c r="J75" s="14" t="s">
        <v>42</v>
      </c>
      <c r="K75" s="15">
        <v>39410.0</v>
      </c>
      <c r="L75" s="16" t="s">
        <v>146</v>
      </c>
      <c r="M75" s="8" t="s">
        <v>324</v>
      </c>
      <c r="N75" s="1">
        <v>0.0</v>
      </c>
      <c r="O75" s="1">
        <v>0.0</v>
      </c>
      <c r="P75" s="16">
        <v>0.0</v>
      </c>
      <c r="Q75" s="16" t="s">
        <v>167</v>
      </c>
      <c r="R75" s="1" t="s">
        <v>140</v>
      </c>
    </row>
    <row r="76">
      <c r="A76" s="3">
        <v>41333.0</v>
      </c>
      <c r="B76" s="5" t="s">
        <v>58</v>
      </c>
      <c r="C76" s="2">
        <v>57.0</v>
      </c>
      <c r="D76" s="8" t="s">
        <v>325</v>
      </c>
      <c r="E76" s="1">
        <f>IFERROR(__xludf.DUMMYFUNCTION("IF(D76="""", 0, COUNTA(SPLIT(D76, "" "")))"),3.0)</f>
        <v>3</v>
      </c>
      <c r="F76" s="8" t="s">
        <v>326</v>
      </c>
      <c r="G76" s="12">
        <v>13634.0</v>
      </c>
      <c r="H76" s="13">
        <f t="shared" si="1"/>
        <v>75.83572895</v>
      </c>
      <c r="I76" s="9">
        <f t="shared" si="2"/>
        <v>5.264887064</v>
      </c>
      <c r="J76" s="14" t="s">
        <v>42</v>
      </c>
      <c r="K76" s="15">
        <v>39410.0</v>
      </c>
      <c r="L76" s="16" t="s">
        <v>146</v>
      </c>
      <c r="M76" s="8" t="s">
        <v>327</v>
      </c>
      <c r="N76" s="1">
        <v>0.0</v>
      </c>
      <c r="O76" s="1">
        <v>0.0</v>
      </c>
      <c r="P76" s="16">
        <v>0.0</v>
      </c>
      <c r="Q76" s="16" t="s">
        <v>328</v>
      </c>
      <c r="R76" s="1" t="s">
        <v>140</v>
      </c>
    </row>
    <row r="77">
      <c r="A77" s="3">
        <v>41333.0</v>
      </c>
      <c r="B77" s="5" t="s">
        <v>58</v>
      </c>
      <c r="C77" s="2">
        <v>58.0</v>
      </c>
      <c r="D77" s="8" t="s">
        <v>329</v>
      </c>
      <c r="E77" s="1">
        <f>IFERROR(__xludf.DUMMYFUNCTION("IF(D77="""", 0, COUNTA(SPLIT(D77, "" "")))"),2.0)</f>
        <v>2</v>
      </c>
      <c r="F77" s="8" t="s">
        <v>330</v>
      </c>
      <c r="G77" s="12">
        <v>15652.0</v>
      </c>
      <c r="H77" s="13">
        <f t="shared" si="1"/>
        <v>70.31074606</v>
      </c>
      <c r="I77" s="9">
        <f t="shared" si="2"/>
        <v>5.264887064</v>
      </c>
      <c r="J77" s="14" t="s">
        <v>42</v>
      </c>
      <c r="K77" s="15">
        <v>39410.0</v>
      </c>
      <c r="L77" s="16" t="s">
        <v>146</v>
      </c>
      <c r="M77" s="8" t="s">
        <v>331</v>
      </c>
      <c r="N77" s="1">
        <v>0.0</v>
      </c>
      <c r="O77" s="1">
        <v>0.0</v>
      </c>
      <c r="P77" s="16">
        <v>0.0</v>
      </c>
      <c r="Q77" s="16" t="s">
        <v>174</v>
      </c>
      <c r="R77" s="1" t="s">
        <v>140</v>
      </c>
    </row>
    <row r="78">
      <c r="A78" s="3">
        <v>41333.0</v>
      </c>
      <c r="B78" s="5" t="s">
        <v>58</v>
      </c>
      <c r="C78" s="2">
        <v>59.0</v>
      </c>
      <c r="D78" s="8" t="s">
        <v>332</v>
      </c>
      <c r="E78" s="1">
        <f>IFERROR(__xludf.DUMMYFUNCTION("IF(D78="""", 0, COUNTA(SPLIT(D78, "" "")))"),2.0)</f>
        <v>2</v>
      </c>
      <c r="F78" s="8" t="s">
        <v>333</v>
      </c>
      <c r="G78" s="12">
        <v>15720.0</v>
      </c>
      <c r="H78" s="13">
        <f t="shared" si="1"/>
        <v>70.12457221</v>
      </c>
      <c r="I78" s="9">
        <f t="shared" si="2"/>
        <v>5.264887064</v>
      </c>
      <c r="J78" s="14" t="s">
        <v>42</v>
      </c>
      <c r="K78" s="15">
        <v>39410.0</v>
      </c>
      <c r="L78" s="16" t="s">
        <v>146</v>
      </c>
      <c r="M78" s="8" t="s">
        <v>334</v>
      </c>
      <c r="N78" s="1">
        <v>0.0</v>
      </c>
      <c r="O78" s="1">
        <v>0.0</v>
      </c>
      <c r="P78" s="16">
        <v>0.1</v>
      </c>
      <c r="Q78" s="16" t="s">
        <v>27</v>
      </c>
      <c r="R78" s="1" t="s">
        <v>140</v>
      </c>
    </row>
    <row r="79">
      <c r="A79" s="3">
        <v>41333.0</v>
      </c>
      <c r="B79" s="5" t="s">
        <v>58</v>
      </c>
      <c r="C79" s="2">
        <v>60.0</v>
      </c>
      <c r="D79" s="8" t="s">
        <v>335</v>
      </c>
      <c r="E79" s="1">
        <f>IFERROR(__xludf.DUMMYFUNCTION("IF(D79="""", 0, COUNTA(SPLIT(D79, "" "")))"),2.0)</f>
        <v>2</v>
      </c>
      <c r="F79" s="8" t="s">
        <v>336</v>
      </c>
      <c r="G79" s="12">
        <v>13482.0</v>
      </c>
      <c r="H79" s="13">
        <f t="shared" si="1"/>
        <v>76.25188227</v>
      </c>
      <c r="I79" s="9">
        <f t="shared" si="2"/>
        <v>5.264887064</v>
      </c>
      <c r="J79" s="14" t="s">
        <v>42</v>
      </c>
      <c r="K79" s="15">
        <v>39410.0</v>
      </c>
      <c r="L79" s="16" t="s">
        <v>146</v>
      </c>
      <c r="M79" s="8" t="s">
        <v>337</v>
      </c>
      <c r="N79" s="1">
        <v>0.0</v>
      </c>
      <c r="O79" s="1">
        <v>0.0</v>
      </c>
      <c r="P79" s="16">
        <v>0.0</v>
      </c>
      <c r="Q79" s="16" t="s">
        <v>174</v>
      </c>
      <c r="R79" s="1" t="s">
        <v>140</v>
      </c>
    </row>
    <row r="80">
      <c r="A80" s="3">
        <v>41333.0</v>
      </c>
      <c r="B80" s="5" t="s">
        <v>58</v>
      </c>
      <c r="C80" s="2">
        <v>61.0</v>
      </c>
      <c r="D80" s="8" t="s">
        <v>338</v>
      </c>
      <c r="E80" s="1">
        <f>IFERROR(__xludf.DUMMYFUNCTION("IF(D80="""", 0, COUNTA(SPLIT(D80, "" "")))"),2.0)</f>
        <v>2</v>
      </c>
      <c r="F80" s="8" t="s">
        <v>339</v>
      </c>
      <c r="G80" s="12">
        <v>16430.0</v>
      </c>
      <c r="H80" s="13">
        <f t="shared" si="1"/>
        <v>68.18069815</v>
      </c>
      <c r="I80" s="9">
        <f t="shared" si="2"/>
        <v>5.264887064</v>
      </c>
      <c r="J80" s="14" t="s">
        <v>42</v>
      </c>
      <c r="K80" s="15">
        <v>39410.0</v>
      </c>
      <c r="L80" s="16" t="s">
        <v>146</v>
      </c>
      <c r="M80" s="8" t="s">
        <v>340</v>
      </c>
      <c r="N80" s="1">
        <v>0.0</v>
      </c>
      <c r="O80" s="1">
        <v>0.0</v>
      </c>
      <c r="P80" s="16">
        <v>0.0</v>
      </c>
      <c r="Q80" s="16" t="s">
        <v>167</v>
      </c>
      <c r="R80" s="1" t="s">
        <v>140</v>
      </c>
    </row>
    <row r="81">
      <c r="A81" s="3">
        <v>41333.0</v>
      </c>
      <c r="B81" s="5" t="s">
        <v>58</v>
      </c>
      <c r="C81" s="2">
        <v>62.0</v>
      </c>
      <c r="D81" s="8" t="s">
        <v>341</v>
      </c>
      <c r="E81" s="1">
        <f>IFERROR(__xludf.DUMMYFUNCTION("IF(D81="""", 0, COUNTA(SPLIT(D81, "" "")))"),3.0)</f>
        <v>3</v>
      </c>
      <c r="F81" s="8" t="s">
        <v>342</v>
      </c>
      <c r="G81" s="12">
        <v>17959.0</v>
      </c>
      <c r="H81" s="13">
        <f t="shared" si="1"/>
        <v>63.9945243</v>
      </c>
      <c r="I81" s="9">
        <f t="shared" si="2"/>
        <v>5.264887064</v>
      </c>
      <c r="J81" s="14" t="s">
        <v>42</v>
      </c>
      <c r="K81" s="15">
        <v>39410.0</v>
      </c>
      <c r="L81" s="16" t="s">
        <v>146</v>
      </c>
      <c r="M81" s="8" t="s">
        <v>343</v>
      </c>
      <c r="N81" s="1">
        <v>0.0</v>
      </c>
      <c r="O81" s="1">
        <v>0.0</v>
      </c>
      <c r="P81" s="16">
        <v>0.0</v>
      </c>
      <c r="Q81" s="16" t="s">
        <v>163</v>
      </c>
      <c r="R81" s="1" t="s">
        <v>140</v>
      </c>
    </row>
    <row r="82">
      <c r="A82" s="3">
        <v>41333.0</v>
      </c>
      <c r="B82" s="5" t="s">
        <v>58</v>
      </c>
      <c r="C82" s="2">
        <v>63.0</v>
      </c>
      <c r="D82" s="8" t="s">
        <v>344</v>
      </c>
      <c r="E82" s="1">
        <f>IFERROR(__xludf.DUMMYFUNCTION("IF(D82="""", 0, COUNTA(SPLIT(D82, "" "")))"),3.0)</f>
        <v>3</v>
      </c>
      <c r="F82" s="8" t="s">
        <v>345</v>
      </c>
      <c r="G82" s="12">
        <v>18041.0</v>
      </c>
      <c r="H82" s="13">
        <f t="shared" si="1"/>
        <v>63.77002053</v>
      </c>
      <c r="I82" s="9">
        <f t="shared" si="2"/>
        <v>5.264887064</v>
      </c>
      <c r="J82" s="14" t="s">
        <v>42</v>
      </c>
      <c r="K82" s="15">
        <v>39410.0</v>
      </c>
      <c r="L82" s="16" t="s">
        <v>146</v>
      </c>
      <c r="M82" s="8" t="s">
        <v>346</v>
      </c>
      <c r="N82" s="1">
        <v>0.0</v>
      </c>
      <c r="O82" s="1">
        <v>0.0</v>
      </c>
      <c r="P82" s="16">
        <v>0.0</v>
      </c>
      <c r="Q82" s="16" t="s">
        <v>167</v>
      </c>
      <c r="R82" s="1" t="s">
        <v>140</v>
      </c>
    </row>
    <row r="83">
      <c r="A83" s="3">
        <v>41333.0</v>
      </c>
      <c r="B83" s="5" t="s">
        <v>58</v>
      </c>
      <c r="C83" s="2">
        <v>64.0</v>
      </c>
      <c r="D83" s="8" t="s">
        <v>347</v>
      </c>
      <c r="E83" s="1">
        <f>IFERROR(__xludf.DUMMYFUNCTION("IF(D83="""", 0, COUNTA(SPLIT(D83, "" "")))"),3.0)</f>
        <v>3</v>
      </c>
      <c r="F83" s="8" t="s">
        <v>348</v>
      </c>
      <c r="G83" s="12">
        <v>18162.0</v>
      </c>
      <c r="H83" s="13">
        <f t="shared" si="1"/>
        <v>63.43874059</v>
      </c>
      <c r="I83" s="9">
        <f t="shared" si="2"/>
        <v>5.264887064</v>
      </c>
      <c r="J83" s="14" t="s">
        <v>42</v>
      </c>
      <c r="K83" s="15">
        <v>39410.0</v>
      </c>
      <c r="L83" s="16" t="s">
        <v>146</v>
      </c>
      <c r="M83" s="8" t="s">
        <v>349</v>
      </c>
      <c r="N83" s="1">
        <v>0.0</v>
      </c>
      <c r="O83" s="1">
        <v>0.0</v>
      </c>
      <c r="P83" s="16">
        <v>0.06</v>
      </c>
      <c r="Q83" s="16" t="s">
        <v>218</v>
      </c>
      <c r="R83" s="1" t="s">
        <v>140</v>
      </c>
    </row>
    <row r="84">
      <c r="A84" s="3">
        <v>41333.0</v>
      </c>
      <c r="B84" s="5" t="s">
        <v>58</v>
      </c>
      <c r="C84" s="2">
        <v>65.0</v>
      </c>
      <c r="D84" s="8" t="s">
        <v>350</v>
      </c>
      <c r="E84" s="1">
        <f>IFERROR(__xludf.DUMMYFUNCTION("IF(D84="""", 0, COUNTA(SPLIT(D84, "" "")))"),2.0)</f>
        <v>2</v>
      </c>
      <c r="F84" s="8" t="s">
        <v>351</v>
      </c>
      <c r="G84" s="12">
        <v>16803.0</v>
      </c>
      <c r="H84" s="13">
        <f t="shared" si="1"/>
        <v>67.15947981</v>
      </c>
      <c r="I84" s="9">
        <f t="shared" si="2"/>
        <v>5.264887064</v>
      </c>
      <c r="J84" s="14" t="s">
        <v>42</v>
      </c>
      <c r="K84" s="15">
        <v>39410.0</v>
      </c>
      <c r="L84" s="16" t="s">
        <v>146</v>
      </c>
      <c r="M84" s="8" t="s">
        <v>352</v>
      </c>
      <c r="N84" s="1">
        <v>0.0</v>
      </c>
      <c r="O84" s="1">
        <v>0.0</v>
      </c>
      <c r="P84" s="16">
        <v>0.0</v>
      </c>
      <c r="Q84" s="16" t="s">
        <v>353</v>
      </c>
      <c r="R84" s="1" t="s">
        <v>140</v>
      </c>
    </row>
    <row r="85">
      <c r="A85" s="3">
        <v>41333.0</v>
      </c>
      <c r="B85" s="5" t="s">
        <v>58</v>
      </c>
      <c r="C85" s="2">
        <v>66.0</v>
      </c>
      <c r="D85" s="8" t="s">
        <v>354</v>
      </c>
      <c r="E85" s="1">
        <f>IFERROR(__xludf.DUMMYFUNCTION("IF(D85="""", 0, COUNTA(SPLIT(D85, "" "")))"),4.0)</f>
        <v>4</v>
      </c>
      <c r="F85" s="8" t="s">
        <v>355</v>
      </c>
      <c r="G85" s="12">
        <v>12420.0</v>
      </c>
      <c r="H85" s="13">
        <f t="shared" si="1"/>
        <v>79.15947981</v>
      </c>
      <c r="I85" s="9">
        <f t="shared" si="2"/>
        <v>2.275154004</v>
      </c>
      <c r="J85" s="14" t="s">
        <v>42</v>
      </c>
      <c r="K85" s="15">
        <v>40502.0</v>
      </c>
      <c r="L85" s="16" t="s">
        <v>146</v>
      </c>
      <c r="M85" s="8" t="s">
        <v>356</v>
      </c>
      <c r="N85" s="1">
        <v>0.0</v>
      </c>
      <c r="O85" s="1">
        <v>0.0</v>
      </c>
      <c r="P85" s="16">
        <v>0.0</v>
      </c>
      <c r="Q85" s="16" t="s">
        <v>163</v>
      </c>
      <c r="R85" s="1" t="s">
        <v>140</v>
      </c>
    </row>
    <row r="86">
      <c r="A86" s="3">
        <v>41333.0</v>
      </c>
      <c r="B86" s="5" t="s">
        <v>58</v>
      </c>
      <c r="C86" s="2">
        <v>67.0</v>
      </c>
      <c r="D86" s="8" t="s">
        <v>357</v>
      </c>
      <c r="E86" s="1">
        <f>IFERROR(__xludf.DUMMYFUNCTION("IF(D86="""", 0, COUNTA(SPLIT(D86, "" "")))"),3.0)</f>
        <v>3</v>
      </c>
      <c r="F86" s="8" t="s">
        <v>358</v>
      </c>
      <c r="G86" s="12">
        <v>14525.0</v>
      </c>
      <c r="H86" s="13">
        <f t="shared" si="1"/>
        <v>73.3963039</v>
      </c>
      <c r="I86" s="9">
        <f t="shared" si="2"/>
        <v>2.275154004</v>
      </c>
      <c r="J86" s="14" t="s">
        <v>42</v>
      </c>
      <c r="K86" s="15">
        <v>40502.0</v>
      </c>
      <c r="L86" s="16" t="s">
        <v>146</v>
      </c>
      <c r="M86" s="8" t="s">
        <v>359</v>
      </c>
      <c r="N86" s="1">
        <v>0.0</v>
      </c>
      <c r="O86" s="1">
        <v>0.0</v>
      </c>
      <c r="P86" s="16">
        <v>0.0</v>
      </c>
      <c r="Q86" s="16" t="s">
        <v>360</v>
      </c>
      <c r="R86" s="1" t="s">
        <v>140</v>
      </c>
    </row>
    <row r="87">
      <c r="A87" s="3">
        <v>41333.0</v>
      </c>
      <c r="B87" s="5" t="s">
        <v>58</v>
      </c>
      <c r="C87" s="2">
        <v>68.0</v>
      </c>
      <c r="D87" s="8" t="s">
        <v>361</v>
      </c>
      <c r="E87" s="1">
        <f>IFERROR(__xludf.DUMMYFUNCTION("IF(D87="""", 0, COUNTA(SPLIT(D87, "" "")))"),2.0)</f>
        <v>2</v>
      </c>
      <c r="F87" s="8" t="s">
        <v>362</v>
      </c>
      <c r="G87" s="12">
        <v>13931.0</v>
      </c>
      <c r="H87" s="13">
        <f t="shared" si="1"/>
        <v>75.02258727</v>
      </c>
      <c r="I87" s="9">
        <f t="shared" si="2"/>
        <v>2.275154004</v>
      </c>
      <c r="J87" s="14" t="s">
        <v>42</v>
      </c>
      <c r="K87" s="15">
        <v>40502.0</v>
      </c>
      <c r="L87" s="16" t="s">
        <v>146</v>
      </c>
      <c r="M87" s="8" t="s">
        <v>363</v>
      </c>
      <c r="N87" s="1">
        <v>0.0</v>
      </c>
      <c r="O87" s="1">
        <v>0.0</v>
      </c>
      <c r="P87" s="16">
        <v>0.0</v>
      </c>
      <c r="Q87" s="16" t="s">
        <v>27</v>
      </c>
      <c r="R87" s="1" t="s">
        <v>140</v>
      </c>
    </row>
    <row r="88">
      <c r="A88" s="3">
        <v>41333.0</v>
      </c>
      <c r="B88" s="5" t="s">
        <v>58</v>
      </c>
      <c r="C88" s="2">
        <v>69.0</v>
      </c>
      <c r="D88" s="8" t="s">
        <v>364</v>
      </c>
      <c r="E88" s="1">
        <f>IFERROR(__xludf.DUMMYFUNCTION("IF(D88="""", 0, COUNTA(SPLIT(D88, "" "")))"),3.0)</f>
        <v>3</v>
      </c>
      <c r="F88" s="8" t="s">
        <v>365</v>
      </c>
      <c r="G88" s="12">
        <v>14927.0</v>
      </c>
      <c r="H88" s="13">
        <f t="shared" si="1"/>
        <v>72.29568789</v>
      </c>
      <c r="I88" s="9">
        <f t="shared" si="2"/>
        <v>2.275154004</v>
      </c>
      <c r="J88" s="14" t="s">
        <v>42</v>
      </c>
      <c r="K88" s="15">
        <v>40502.0</v>
      </c>
      <c r="L88" s="16" t="s">
        <v>146</v>
      </c>
      <c r="M88" s="8" t="s">
        <v>366</v>
      </c>
      <c r="N88" s="1">
        <v>0.0</v>
      </c>
      <c r="O88" s="1">
        <v>0.0</v>
      </c>
      <c r="P88" s="16">
        <v>0.0</v>
      </c>
      <c r="Q88" s="16" t="s">
        <v>167</v>
      </c>
      <c r="R88" s="1" t="s">
        <v>140</v>
      </c>
    </row>
    <row r="89">
      <c r="A89" s="3">
        <v>41333.0</v>
      </c>
      <c r="B89" s="5" t="s">
        <v>58</v>
      </c>
      <c r="C89" s="2">
        <v>70.0</v>
      </c>
      <c r="D89" s="8" t="s">
        <v>367</v>
      </c>
      <c r="E89" s="1">
        <f>IFERROR(__xludf.DUMMYFUNCTION("IF(D89="""", 0, COUNTA(SPLIT(D89, "" "")))"),3.0)</f>
        <v>3</v>
      </c>
      <c r="F89" s="8" t="s">
        <v>368</v>
      </c>
      <c r="G89" s="12">
        <v>13561.0</v>
      </c>
      <c r="H89" s="13">
        <f t="shared" si="1"/>
        <v>76.03559206</v>
      </c>
      <c r="I89" s="9">
        <f t="shared" si="2"/>
        <v>2.275154004</v>
      </c>
      <c r="J89" s="14" t="s">
        <v>42</v>
      </c>
      <c r="K89" s="15">
        <v>40502.0</v>
      </c>
      <c r="L89" s="16" t="s">
        <v>146</v>
      </c>
      <c r="M89" s="8" t="s">
        <v>369</v>
      </c>
      <c r="N89" s="1">
        <v>0.0</v>
      </c>
      <c r="O89" s="1">
        <v>0.0</v>
      </c>
      <c r="P89" s="16">
        <v>0.0</v>
      </c>
      <c r="Q89" s="16" t="s">
        <v>218</v>
      </c>
      <c r="R89" s="1" t="s">
        <v>140</v>
      </c>
    </row>
    <row r="90">
      <c r="A90" s="3">
        <v>41333.0</v>
      </c>
      <c r="B90" s="5" t="s">
        <v>58</v>
      </c>
      <c r="C90" s="2">
        <v>71.0</v>
      </c>
      <c r="D90" s="8" t="s">
        <v>370</v>
      </c>
      <c r="E90" s="1">
        <f>IFERROR(__xludf.DUMMYFUNCTION("IF(D90="""", 0, COUNTA(SPLIT(D90, "" "")))"),2.0)</f>
        <v>2</v>
      </c>
      <c r="F90" s="8" t="s">
        <v>371</v>
      </c>
      <c r="G90" s="12">
        <v>18295.0</v>
      </c>
      <c r="H90" s="13">
        <f t="shared" si="1"/>
        <v>63.07460643</v>
      </c>
      <c r="I90" s="9">
        <f t="shared" si="2"/>
        <v>2.275154004</v>
      </c>
      <c r="J90" s="14" t="s">
        <v>42</v>
      </c>
      <c r="K90" s="15">
        <v>40502.0</v>
      </c>
      <c r="L90" s="16" t="s">
        <v>146</v>
      </c>
      <c r="M90" s="8" t="s">
        <v>372</v>
      </c>
      <c r="N90" s="1">
        <v>0.0</v>
      </c>
      <c r="O90" s="1">
        <v>0.0</v>
      </c>
      <c r="P90" s="16">
        <v>0.0</v>
      </c>
      <c r="Q90" s="16" t="s">
        <v>204</v>
      </c>
      <c r="R90" s="1" t="s">
        <v>140</v>
      </c>
    </row>
    <row r="91">
      <c r="A91" s="3">
        <v>41333.0</v>
      </c>
      <c r="B91" s="5" t="s">
        <v>58</v>
      </c>
      <c r="C91" s="2">
        <v>72.0</v>
      </c>
      <c r="D91" s="8" t="s">
        <v>373</v>
      </c>
      <c r="E91" s="1">
        <f>IFERROR(__xludf.DUMMYFUNCTION("IF(D91="""", 0, COUNTA(SPLIT(D91, "" "")))"),5.0)</f>
        <v>5</v>
      </c>
      <c r="F91" s="8" t="s">
        <v>374</v>
      </c>
      <c r="G91" s="12">
        <v>17486.0</v>
      </c>
      <c r="H91" s="13">
        <f t="shared" si="1"/>
        <v>65.28952772</v>
      </c>
      <c r="I91" s="9">
        <f t="shared" si="2"/>
        <v>2.275154004</v>
      </c>
      <c r="J91" s="14" t="s">
        <v>42</v>
      </c>
      <c r="K91" s="15">
        <v>40502.0</v>
      </c>
      <c r="L91" s="16" t="s">
        <v>146</v>
      </c>
      <c r="M91" s="8" t="s">
        <v>375</v>
      </c>
      <c r="N91" s="1">
        <v>0.0</v>
      </c>
      <c r="O91" s="1">
        <v>0.0</v>
      </c>
      <c r="P91" s="16">
        <v>0.0</v>
      </c>
      <c r="Q91" s="16" t="s">
        <v>376</v>
      </c>
      <c r="R91" s="1" t="s">
        <v>140</v>
      </c>
    </row>
    <row r="92">
      <c r="A92" s="3">
        <v>41333.0</v>
      </c>
      <c r="B92" s="5" t="s">
        <v>58</v>
      </c>
      <c r="C92" s="2">
        <v>73.0</v>
      </c>
      <c r="D92" s="8" t="s">
        <v>377</v>
      </c>
      <c r="E92" s="1">
        <f>IFERROR(__xludf.DUMMYFUNCTION("IF(D92="""", 0, COUNTA(SPLIT(D92, "" "")))"),2.0)</f>
        <v>2</v>
      </c>
      <c r="F92" s="8" t="s">
        <v>378</v>
      </c>
      <c r="G92" s="12">
        <v>19623.0</v>
      </c>
      <c r="H92" s="13">
        <f t="shared" si="1"/>
        <v>59.43874059</v>
      </c>
      <c r="I92" s="9">
        <f t="shared" si="2"/>
        <v>2.275154004</v>
      </c>
      <c r="J92" s="14" t="s">
        <v>42</v>
      </c>
      <c r="K92" s="15">
        <v>40502.0</v>
      </c>
      <c r="L92" s="16" t="s">
        <v>146</v>
      </c>
      <c r="M92" s="8" t="s">
        <v>379</v>
      </c>
      <c r="N92" s="1">
        <v>0.0</v>
      </c>
      <c r="O92" s="1">
        <v>0.0</v>
      </c>
      <c r="P92" s="16">
        <v>0.0</v>
      </c>
      <c r="Q92" s="16" t="s">
        <v>159</v>
      </c>
      <c r="R92" s="1" t="s">
        <v>140</v>
      </c>
    </row>
    <row r="93">
      <c r="A93" s="3">
        <v>41333.0</v>
      </c>
      <c r="B93" s="5" t="s">
        <v>58</v>
      </c>
      <c r="C93" s="2">
        <v>74.0</v>
      </c>
      <c r="D93" s="8" t="s">
        <v>380</v>
      </c>
      <c r="E93" s="1">
        <f>IFERROR(__xludf.DUMMYFUNCTION("IF(D93="""", 0, COUNTA(SPLIT(D93, "" "")))"),2.0)</f>
        <v>2</v>
      </c>
      <c r="F93" s="8" t="s">
        <v>381</v>
      </c>
      <c r="G93" s="12">
        <v>16546.0</v>
      </c>
      <c r="H93" s="13">
        <f t="shared" si="1"/>
        <v>67.86310746</v>
      </c>
      <c r="I93" s="9">
        <f t="shared" si="2"/>
        <v>1.029431896</v>
      </c>
      <c r="J93" s="14" t="s">
        <v>42</v>
      </c>
      <c r="K93" s="15">
        <v>40957.0</v>
      </c>
      <c r="L93" s="16" t="s">
        <v>146</v>
      </c>
      <c r="M93" s="8" t="s">
        <v>382</v>
      </c>
      <c r="N93" s="1">
        <v>0.0</v>
      </c>
      <c r="O93" s="1">
        <v>0.0</v>
      </c>
      <c r="P93" s="16">
        <v>0.0</v>
      </c>
      <c r="Q93" s="16" t="s">
        <v>383</v>
      </c>
      <c r="R93" s="1" t="s">
        <v>140</v>
      </c>
    </row>
    <row r="94">
      <c r="A94" s="3">
        <v>41333.0</v>
      </c>
      <c r="B94" s="5" t="s">
        <v>58</v>
      </c>
      <c r="C94" s="2">
        <v>75.0</v>
      </c>
      <c r="D94" s="8" t="s">
        <v>384</v>
      </c>
      <c r="E94" s="1">
        <f>IFERROR(__xludf.DUMMYFUNCTION("IF(D94="""", 0, COUNTA(SPLIT(D94, "" "")))"),3.0)</f>
        <v>3</v>
      </c>
      <c r="F94" s="8" t="s">
        <v>385</v>
      </c>
      <c r="G94" s="12">
        <v>17183.0</v>
      </c>
      <c r="H94" s="13">
        <f t="shared" si="1"/>
        <v>66.11909651</v>
      </c>
      <c r="I94" s="9">
        <f t="shared" si="2"/>
        <v>1.029431896</v>
      </c>
      <c r="J94" s="14" t="s">
        <v>42</v>
      </c>
      <c r="K94" s="15">
        <v>40957.0</v>
      </c>
      <c r="L94" s="16" t="s">
        <v>146</v>
      </c>
      <c r="M94" s="8" t="s">
        <v>386</v>
      </c>
      <c r="N94" s="1">
        <v>0.0</v>
      </c>
      <c r="O94" s="1">
        <v>0.0</v>
      </c>
      <c r="P94" s="16">
        <v>0.0</v>
      </c>
      <c r="Q94" s="16" t="s">
        <v>167</v>
      </c>
      <c r="R94" s="1" t="s">
        <v>140</v>
      </c>
    </row>
    <row r="95">
      <c r="A95" s="3">
        <v>41333.0</v>
      </c>
      <c r="B95" s="5" t="s">
        <v>58</v>
      </c>
      <c r="C95" s="2">
        <v>76.0</v>
      </c>
      <c r="D95" s="17" t="s">
        <v>387</v>
      </c>
      <c r="E95" s="1">
        <f>IFERROR(__xludf.DUMMYFUNCTION("IF(D95="""", 0, COUNTA(SPLIT(D95, "" "")))"),2.0)</f>
        <v>2</v>
      </c>
      <c r="F95" s="8" t="s">
        <v>388</v>
      </c>
      <c r="G95" s="12">
        <v>15822.0</v>
      </c>
      <c r="H95" s="13">
        <f t="shared" si="1"/>
        <v>69.84531143</v>
      </c>
      <c r="I95" s="9">
        <f t="shared" si="2"/>
        <v>1.029431896</v>
      </c>
      <c r="J95" s="14" t="s">
        <v>42</v>
      </c>
      <c r="K95" s="15">
        <v>40957.0</v>
      </c>
      <c r="L95" s="16" t="s">
        <v>146</v>
      </c>
      <c r="M95" s="8" t="s">
        <v>389</v>
      </c>
      <c r="N95" s="1">
        <v>0.0</v>
      </c>
      <c r="O95" s="1">
        <v>0.0</v>
      </c>
      <c r="P95" s="16">
        <v>0.0</v>
      </c>
      <c r="Q95" s="16" t="s">
        <v>390</v>
      </c>
      <c r="R95" s="1" t="s">
        <v>140</v>
      </c>
    </row>
    <row r="96">
      <c r="A96" s="3">
        <v>41333.0</v>
      </c>
      <c r="B96" s="5" t="s">
        <v>58</v>
      </c>
      <c r="C96" s="2">
        <v>77.0</v>
      </c>
      <c r="D96" s="8" t="s">
        <v>391</v>
      </c>
      <c r="E96" s="1">
        <f>IFERROR(__xludf.DUMMYFUNCTION("IF(D96="""", 0, COUNTA(SPLIT(D96, "" "")))"),3.0)</f>
        <v>3</v>
      </c>
      <c r="F96" s="8" t="s">
        <v>392</v>
      </c>
      <c r="G96" s="12">
        <v>19532.0</v>
      </c>
      <c r="H96" s="13">
        <f t="shared" si="1"/>
        <v>59.68788501</v>
      </c>
      <c r="I96" s="9">
        <f t="shared" si="2"/>
        <v>1.029431896</v>
      </c>
      <c r="J96" s="14" t="s">
        <v>42</v>
      </c>
      <c r="K96" s="15">
        <v>40957.0</v>
      </c>
      <c r="L96" s="16" t="s">
        <v>146</v>
      </c>
      <c r="M96" s="8" t="s">
        <v>393</v>
      </c>
      <c r="N96" s="1">
        <v>0.0</v>
      </c>
      <c r="O96" s="1">
        <v>0.0</v>
      </c>
      <c r="P96" s="16">
        <v>0.0</v>
      </c>
      <c r="Q96" s="16" t="s">
        <v>155</v>
      </c>
      <c r="R96" s="1" t="s">
        <v>140</v>
      </c>
    </row>
    <row r="97">
      <c r="A97" s="3">
        <v>41333.0</v>
      </c>
      <c r="B97" s="5" t="s">
        <v>58</v>
      </c>
      <c r="C97" s="2">
        <v>78.0</v>
      </c>
      <c r="D97" s="8" t="s">
        <v>394</v>
      </c>
      <c r="E97" s="1">
        <f>IFERROR(__xludf.DUMMYFUNCTION("IF(D97="""", 0, COUNTA(SPLIT(D97, "" "")))"),2.0)</f>
        <v>2</v>
      </c>
      <c r="F97" s="8" t="s">
        <v>395</v>
      </c>
      <c r="G97" s="12">
        <v>17223.0</v>
      </c>
      <c r="H97" s="13">
        <f t="shared" si="1"/>
        <v>66.00958248</v>
      </c>
      <c r="I97" s="9">
        <f t="shared" si="2"/>
        <v>1.029431896</v>
      </c>
      <c r="J97" s="14" t="s">
        <v>42</v>
      </c>
      <c r="K97" s="15">
        <v>40957.0</v>
      </c>
      <c r="L97" s="16" t="s">
        <v>146</v>
      </c>
      <c r="M97" s="8" t="s">
        <v>396</v>
      </c>
      <c r="N97" s="1">
        <v>0.0</v>
      </c>
      <c r="O97" s="1">
        <v>0.0</v>
      </c>
      <c r="P97" s="16">
        <v>0.0</v>
      </c>
      <c r="Q97" s="16" t="s">
        <v>27</v>
      </c>
      <c r="R97" s="1" t="s">
        <v>140</v>
      </c>
    </row>
    <row r="98">
      <c r="A98" s="3">
        <v>41333.0</v>
      </c>
      <c r="B98" s="5" t="s">
        <v>58</v>
      </c>
      <c r="C98" s="2">
        <v>79.0</v>
      </c>
      <c r="D98" s="8" t="s">
        <v>397</v>
      </c>
      <c r="E98" s="1">
        <f>IFERROR(__xludf.DUMMYFUNCTION("IF(D98="""", 0, COUNTA(SPLIT(D98, "" "")))"),3.0)</f>
        <v>3</v>
      </c>
      <c r="F98" s="8" t="s">
        <v>398</v>
      </c>
      <c r="G98" s="12">
        <v>18300.0</v>
      </c>
      <c r="H98" s="13">
        <f t="shared" si="1"/>
        <v>63.06091718</v>
      </c>
      <c r="I98" s="9">
        <f t="shared" si="2"/>
        <v>1.029431896</v>
      </c>
      <c r="J98" s="14" t="s">
        <v>42</v>
      </c>
      <c r="K98" s="15">
        <v>40957.0</v>
      </c>
      <c r="L98" s="16" t="s">
        <v>146</v>
      </c>
      <c r="M98" s="8" t="s">
        <v>399</v>
      </c>
      <c r="N98" s="1">
        <v>0.0</v>
      </c>
      <c r="O98" s="1">
        <v>0.0</v>
      </c>
      <c r="P98" s="16">
        <v>0.03</v>
      </c>
      <c r="Q98" s="16" t="s">
        <v>167</v>
      </c>
      <c r="R98" s="1" t="s">
        <v>140</v>
      </c>
    </row>
    <row r="99">
      <c r="A99" s="3">
        <v>41333.0</v>
      </c>
      <c r="B99" s="5" t="s">
        <v>58</v>
      </c>
      <c r="C99" s="2">
        <v>80.0</v>
      </c>
      <c r="D99" s="8" t="s">
        <v>400</v>
      </c>
      <c r="E99" s="1">
        <f>IFERROR(__xludf.DUMMYFUNCTION("IF(D99="""", 0, COUNTA(SPLIT(D99, "" "")))"),3.0)</f>
        <v>3</v>
      </c>
      <c r="F99" s="8" t="s">
        <v>401</v>
      </c>
      <c r="G99" s="12">
        <v>20685.0</v>
      </c>
      <c r="H99" s="13">
        <f t="shared" si="1"/>
        <v>56.53114305</v>
      </c>
      <c r="I99" s="9">
        <f t="shared" si="2"/>
        <v>1.029431896</v>
      </c>
      <c r="J99" s="14" t="s">
        <v>42</v>
      </c>
      <c r="K99" s="15">
        <v>40957.0</v>
      </c>
      <c r="L99" s="16" t="s">
        <v>146</v>
      </c>
      <c r="M99" s="8" t="s">
        <v>402</v>
      </c>
      <c r="N99" s="1">
        <v>0.0</v>
      </c>
      <c r="O99" s="1">
        <v>0.0</v>
      </c>
      <c r="P99" s="16">
        <v>0.0</v>
      </c>
      <c r="Q99" s="16" t="s">
        <v>159</v>
      </c>
      <c r="R99" s="1" t="s">
        <v>140</v>
      </c>
    </row>
    <row r="100">
      <c r="A100" s="3">
        <v>41333.0</v>
      </c>
      <c r="B100" s="5" t="s">
        <v>58</v>
      </c>
      <c r="C100" s="2">
        <v>81.0</v>
      </c>
      <c r="D100" s="8" t="s">
        <v>403</v>
      </c>
      <c r="E100" s="1">
        <f>IFERROR(__xludf.DUMMYFUNCTION("IF(D100="""", 0, COUNTA(SPLIT(D100, "" "")))"),3.0)</f>
        <v>3</v>
      </c>
      <c r="F100" s="8" t="s">
        <v>404</v>
      </c>
      <c r="G100" s="12">
        <v>14457.0</v>
      </c>
      <c r="H100" s="13">
        <f t="shared" si="1"/>
        <v>73.58247775</v>
      </c>
      <c r="I100" s="9">
        <f t="shared" si="2"/>
        <v>1.029431896</v>
      </c>
      <c r="J100" s="14" t="s">
        <v>42</v>
      </c>
      <c r="K100" s="15">
        <v>40957.0</v>
      </c>
      <c r="L100" s="16" t="s">
        <v>146</v>
      </c>
      <c r="M100" s="8" t="s">
        <v>405</v>
      </c>
      <c r="N100" s="1">
        <v>0.0</v>
      </c>
      <c r="O100" s="1">
        <v>0.0</v>
      </c>
      <c r="P100" s="16">
        <v>0.0</v>
      </c>
      <c r="Q100" s="16" t="s">
        <v>406</v>
      </c>
      <c r="R100" s="1" t="s">
        <v>140</v>
      </c>
    </row>
    <row r="101">
      <c r="A101" s="3">
        <v>41333.0</v>
      </c>
      <c r="B101" s="5" t="s">
        <v>58</v>
      </c>
      <c r="C101" s="2">
        <v>82.0</v>
      </c>
      <c r="D101" s="8" t="s">
        <v>407</v>
      </c>
      <c r="E101" s="1">
        <f>IFERROR(__xludf.DUMMYFUNCTION("IF(D101="""", 0, COUNTA(SPLIT(D101, "" "")))"),3.0)</f>
        <v>3</v>
      </c>
      <c r="F101" s="8" t="s">
        <v>408</v>
      </c>
      <c r="G101" s="12">
        <v>21716.0</v>
      </c>
      <c r="H101" s="13">
        <f t="shared" si="1"/>
        <v>53.70841889</v>
      </c>
      <c r="I101" s="9">
        <f t="shared" si="2"/>
        <v>0.2628336756</v>
      </c>
      <c r="J101" s="14" t="s">
        <v>42</v>
      </c>
      <c r="K101" s="15">
        <v>41237.0</v>
      </c>
      <c r="L101" s="16" t="s">
        <v>146</v>
      </c>
      <c r="M101" s="8" t="s">
        <v>409</v>
      </c>
      <c r="N101" s="1">
        <v>0.0</v>
      </c>
      <c r="O101" s="1">
        <v>0.0</v>
      </c>
      <c r="P101" s="16">
        <v>0.0</v>
      </c>
      <c r="Q101" s="16" t="s">
        <v>383</v>
      </c>
      <c r="R101" s="1" t="s">
        <v>140</v>
      </c>
    </row>
    <row r="102">
      <c r="A102" s="3">
        <v>41333.0</v>
      </c>
      <c r="B102" s="5" t="s">
        <v>58</v>
      </c>
      <c r="C102" s="2">
        <v>83.0</v>
      </c>
      <c r="D102" s="8" t="s">
        <v>410</v>
      </c>
      <c r="E102" s="1">
        <f>IFERROR(__xludf.DUMMYFUNCTION("IF(D102="""", 0, COUNTA(SPLIT(D102, "" "")))"),3.0)</f>
        <v>3</v>
      </c>
      <c r="F102" s="8" t="s">
        <v>411</v>
      </c>
      <c r="G102" s="12">
        <v>16100.0</v>
      </c>
      <c r="H102" s="13">
        <f t="shared" si="1"/>
        <v>69.08418891</v>
      </c>
      <c r="I102" s="9">
        <f t="shared" si="2"/>
        <v>0.2628336756</v>
      </c>
      <c r="J102" s="14" t="s">
        <v>42</v>
      </c>
      <c r="K102" s="15">
        <v>41237.0</v>
      </c>
      <c r="L102" s="16" t="s">
        <v>146</v>
      </c>
      <c r="M102" s="8" t="s">
        <v>412</v>
      </c>
      <c r="N102" s="1">
        <v>0.0</v>
      </c>
      <c r="O102" s="1">
        <v>0.0</v>
      </c>
      <c r="P102" s="16">
        <v>0.0</v>
      </c>
      <c r="Q102" s="16" t="s">
        <v>167</v>
      </c>
      <c r="R102" s="1" t="s">
        <v>140</v>
      </c>
    </row>
    <row r="103">
      <c r="A103" s="3">
        <v>41333.0</v>
      </c>
      <c r="B103" s="5" t="s">
        <v>58</v>
      </c>
      <c r="C103" s="2">
        <v>84.0</v>
      </c>
      <c r="D103" s="8" t="s">
        <v>413</v>
      </c>
      <c r="E103" s="1">
        <f>IFERROR(__xludf.DUMMYFUNCTION("IF(D103="""", 0, COUNTA(SPLIT(D103, "" "")))"),3.0)</f>
        <v>3</v>
      </c>
      <c r="F103" s="8" t="s">
        <v>414</v>
      </c>
      <c r="G103" s="12">
        <v>15606.0</v>
      </c>
      <c r="H103" s="13">
        <f t="shared" si="1"/>
        <v>70.4366872</v>
      </c>
      <c r="I103" s="9">
        <f t="shared" si="2"/>
        <v>0.2628336756</v>
      </c>
      <c r="J103" s="14" t="s">
        <v>42</v>
      </c>
      <c r="K103" s="15">
        <v>41237.0</v>
      </c>
      <c r="L103" s="16" t="s">
        <v>146</v>
      </c>
      <c r="M103" s="8" t="s">
        <v>415</v>
      </c>
      <c r="N103" s="1">
        <v>0.0</v>
      </c>
      <c r="O103" s="1">
        <v>0.0</v>
      </c>
      <c r="P103" s="16">
        <v>0.0</v>
      </c>
      <c r="Q103" s="16" t="s">
        <v>163</v>
      </c>
      <c r="R103" s="1" t="s">
        <v>140</v>
      </c>
    </row>
    <row r="104">
      <c r="A104" s="3">
        <v>41333.0</v>
      </c>
      <c r="B104" s="5" t="s">
        <v>58</v>
      </c>
      <c r="C104" s="2">
        <v>85.0</v>
      </c>
      <c r="D104" s="8" t="s">
        <v>416</v>
      </c>
      <c r="E104" s="1">
        <f>IFERROR(__xludf.DUMMYFUNCTION("IF(D104="""", 0, COUNTA(SPLIT(D104, "" "")))"),4.0)</f>
        <v>4</v>
      </c>
      <c r="F104" s="8" t="s">
        <v>417</v>
      </c>
      <c r="G104" s="12">
        <v>20992.0</v>
      </c>
      <c r="H104" s="13">
        <f t="shared" si="1"/>
        <v>55.69062286</v>
      </c>
      <c r="I104" s="9">
        <f t="shared" si="2"/>
        <v>0.2628336756</v>
      </c>
      <c r="J104" s="14" t="s">
        <v>42</v>
      </c>
      <c r="K104" s="15">
        <v>41237.0</v>
      </c>
      <c r="L104" s="16" t="s">
        <v>146</v>
      </c>
      <c r="M104" s="8" t="s">
        <v>418</v>
      </c>
      <c r="N104" s="1">
        <v>0.0</v>
      </c>
      <c r="O104" s="1">
        <v>0.0</v>
      </c>
      <c r="P104" s="16">
        <v>0.04</v>
      </c>
      <c r="Q104" s="16" t="s">
        <v>419</v>
      </c>
      <c r="R104" s="1" t="s">
        <v>140</v>
      </c>
    </row>
    <row r="105">
      <c r="A105" s="3">
        <v>41333.0</v>
      </c>
      <c r="B105" s="5" t="s">
        <v>58</v>
      </c>
      <c r="C105" s="2">
        <v>86.0</v>
      </c>
      <c r="D105" s="8" t="s">
        <v>420</v>
      </c>
      <c r="E105" s="1">
        <f>IFERROR(__xludf.DUMMYFUNCTION("IF(D105="""", 0, COUNTA(SPLIT(D105, "" "")))"),2.0)</f>
        <v>2</v>
      </c>
      <c r="F105" s="8" t="s">
        <v>421</v>
      </c>
      <c r="G105" s="12">
        <v>15801.0</v>
      </c>
      <c r="H105" s="13">
        <f t="shared" si="1"/>
        <v>69.9028063</v>
      </c>
      <c r="I105" s="9">
        <f t="shared" si="2"/>
        <v>9.35797399</v>
      </c>
      <c r="J105" s="14" t="s">
        <v>422</v>
      </c>
      <c r="K105" s="15">
        <v>37915.0</v>
      </c>
      <c r="L105" s="16" t="s">
        <v>138</v>
      </c>
      <c r="M105" s="8" t="s">
        <v>423</v>
      </c>
      <c r="N105" s="1">
        <v>0.0</v>
      </c>
      <c r="O105" s="1">
        <v>0.0</v>
      </c>
      <c r="P105" s="16">
        <v>0.0</v>
      </c>
      <c r="Q105" s="16" t="s">
        <v>174</v>
      </c>
      <c r="R105" s="1" t="s">
        <v>140</v>
      </c>
    </row>
    <row r="106">
      <c r="A106" s="3">
        <v>41333.0</v>
      </c>
      <c r="B106" s="5" t="s">
        <v>58</v>
      </c>
      <c r="C106" s="2">
        <v>87.0</v>
      </c>
      <c r="D106" s="8" t="s">
        <v>424</v>
      </c>
      <c r="E106" s="1">
        <f>IFERROR(__xludf.DUMMYFUNCTION("IF(D106="""", 0, COUNTA(SPLIT(D106, "" "")))"),2.0)</f>
        <v>2</v>
      </c>
      <c r="F106" s="8" t="s">
        <v>425</v>
      </c>
      <c r="G106" s="12">
        <v>13590.0</v>
      </c>
      <c r="H106" s="13">
        <f t="shared" si="1"/>
        <v>75.95619439</v>
      </c>
      <c r="I106" s="9">
        <f t="shared" si="2"/>
        <v>9.35797399</v>
      </c>
      <c r="J106" s="14" t="s">
        <v>422</v>
      </c>
      <c r="K106" s="15">
        <v>37915.0</v>
      </c>
      <c r="L106" s="16" t="s">
        <v>138</v>
      </c>
      <c r="M106" s="8" t="s">
        <v>426</v>
      </c>
      <c r="N106" s="1">
        <v>0.0</v>
      </c>
      <c r="O106" s="1">
        <v>0.0</v>
      </c>
      <c r="P106" s="16">
        <v>0.0</v>
      </c>
      <c r="Q106" s="16" t="s">
        <v>27</v>
      </c>
      <c r="R106" s="1" t="s">
        <v>140</v>
      </c>
    </row>
    <row r="107">
      <c r="A107" s="3">
        <v>41333.0</v>
      </c>
      <c r="B107" s="5" t="s">
        <v>58</v>
      </c>
      <c r="C107" s="2">
        <v>88.0</v>
      </c>
      <c r="D107" s="8" t="s">
        <v>427</v>
      </c>
      <c r="E107" s="1">
        <f>IFERROR(__xludf.DUMMYFUNCTION("IF(D107="""", 0, COUNTA(SPLIT(D107, "" "")))"),3.0)</f>
        <v>3</v>
      </c>
      <c r="F107" s="8" t="s">
        <v>428</v>
      </c>
      <c r="G107" s="12">
        <v>13316.0</v>
      </c>
      <c r="H107" s="13">
        <f t="shared" si="1"/>
        <v>76.7063655</v>
      </c>
      <c r="I107" s="9">
        <f t="shared" si="2"/>
        <v>6.934976044</v>
      </c>
      <c r="J107" s="14" t="s">
        <v>422</v>
      </c>
      <c r="K107" s="15">
        <v>38800.0</v>
      </c>
      <c r="L107" s="16" t="s">
        <v>146</v>
      </c>
      <c r="M107" s="8" t="s">
        <v>429</v>
      </c>
      <c r="N107" s="1">
        <v>0.0</v>
      </c>
      <c r="O107" s="1">
        <v>0.0</v>
      </c>
      <c r="P107" s="16">
        <v>0.0</v>
      </c>
      <c r="Q107" s="16" t="s">
        <v>167</v>
      </c>
      <c r="R107" s="1" t="s">
        <v>140</v>
      </c>
    </row>
    <row r="108">
      <c r="A108" s="3">
        <v>41333.0</v>
      </c>
      <c r="B108" s="5" t="s">
        <v>58</v>
      </c>
      <c r="C108" s="2">
        <v>89.0</v>
      </c>
      <c r="D108" s="8" t="s">
        <v>430</v>
      </c>
      <c r="E108" s="1">
        <f>IFERROR(__xludf.DUMMYFUNCTION("IF(D108="""", 0, COUNTA(SPLIT(D108, "" "")))"),3.0)</f>
        <v>3</v>
      </c>
      <c r="F108" s="8" t="s">
        <v>431</v>
      </c>
      <c r="G108" s="12">
        <v>12685.0</v>
      </c>
      <c r="H108" s="13">
        <f t="shared" si="1"/>
        <v>78.43394935</v>
      </c>
      <c r="I108" s="9">
        <f t="shared" si="2"/>
        <v>6.934976044</v>
      </c>
      <c r="J108" s="14" t="s">
        <v>422</v>
      </c>
      <c r="K108" s="15">
        <v>38800.0</v>
      </c>
      <c r="L108" s="16" t="s">
        <v>146</v>
      </c>
      <c r="M108" s="8" t="s">
        <v>432</v>
      </c>
      <c r="N108" s="1">
        <v>0.0</v>
      </c>
      <c r="O108" s="1">
        <v>0.0</v>
      </c>
      <c r="P108" s="16">
        <v>0.0</v>
      </c>
      <c r="Q108" s="16" t="s">
        <v>433</v>
      </c>
      <c r="R108" s="1" t="s">
        <v>140</v>
      </c>
    </row>
    <row r="109">
      <c r="A109" s="3">
        <v>41333.0</v>
      </c>
      <c r="B109" s="5" t="s">
        <v>58</v>
      </c>
      <c r="C109" s="2">
        <v>90.0</v>
      </c>
      <c r="D109" s="8" t="s">
        <v>434</v>
      </c>
      <c r="E109" s="1">
        <f>IFERROR(__xludf.DUMMYFUNCTION("IF(D109="""", 0, COUNTA(SPLIT(D109, "" "")))"),2.0)</f>
        <v>2</v>
      </c>
      <c r="F109" s="8" t="s">
        <v>435</v>
      </c>
      <c r="G109" s="12">
        <v>16028.0</v>
      </c>
      <c r="H109" s="13">
        <f t="shared" si="1"/>
        <v>69.28131417</v>
      </c>
      <c r="I109" s="9">
        <f t="shared" si="2"/>
        <v>5.264887064</v>
      </c>
      <c r="J109" s="14" t="s">
        <v>422</v>
      </c>
      <c r="K109" s="15">
        <v>39410.0</v>
      </c>
      <c r="L109" s="16" t="s">
        <v>146</v>
      </c>
      <c r="M109" s="8" t="s">
        <v>436</v>
      </c>
      <c r="N109" s="1">
        <v>0.0</v>
      </c>
      <c r="O109" s="1">
        <v>1.0</v>
      </c>
      <c r="P109" s="16">
        <v>0.07</v>
      </c>
      <c r="Q109" s="16" t="s">
        <v>163</v>
      </c>
      <c r="R109" s="1" t="s">
        <v>140</v>
      </c>
    </row>
    <row r="110">
      <c r="A110" s="3">
        <v>41333.0</v>
      </c>
      <c r="B110" s="5" t="s">
        <v>58</v>
      </c>
      <c r="C110" s="2">
        <v>91.0</v>
      </c>
      <c r="D110" s="8" t="s">
        <v>437</v>
      </c>
      <c r="E110" s="1">
        <f>IFERROR(__xludf.DUMMYFUNCTION("IF(D110="""", 0, COUNTA(SPLIT(D110, "" "")))"),2.0)</f>
        <v>2</v>
      </c>
      <c r="F110" s="8" t="s">
        <v>438</v>
      </c>
      <c r="G110" s="12">
        <v>12787.0</v>
      </c>
      <c r="H110" s="13">
        <f t="shared" si="1"/>
        <v>78.15468857</v>
      </c>
      <c r="I110" s="9">
        <f t="shared" si="2"/>
        <v>5.264887064</v>
      </c>
      <c r="J110" s="14" t="s">
        <v>422</v>
      </c>
      <c r="K110" s="15">
        <v>39410.0</v>
      </c>
      <c r="L110" s="16" t="s">
        <v>146</v>
      </c>
      <c r="M110" s="8" t="s">
        <v>439</v>
      </c>
      <c r="N110" s="1">
        <v>0.0</v>
      </c>
      <c r="O110" s="1">
        <v>0.0</v>
      </c>
      <c r="P110" s="16">
        <v>0.0</v>
      </c>
      <c r="Q110" s="16" t="s">
        <v>27</v>
      </c>
      <c r="R110" s="1" t="s">
        <v>140</v>
      </c>
    </row>
    <row r="111">
      <c r="A111" s="3">
        <v>41333.0</v>
      </c>
      <c r="B111" s="5" t="s">
        <v>58</v>
      </c>
      <c r="C111" s="2">
        <v>92.0</v>
      </c>
      <c r="D111" s="8" t="s">
        <v>440</v>
      </c>
      <c r="E111" s="1">
        <f>IFERROR(__xludf.DUMMYFUNCTION("IF(D111="""", 0, COUNTA(SPLIT(D111, "" "")))"),3.0)</f>
        <v>3</v>
      </c>
      <c r="F111" s="8" t="s">
        <v>441</v>
      </c>
      <c r="G111" s="12">
        <v>12667.0</v>
      </c>
      <c r="H111" s="13">
        <f t="shared" si="1"/>
        <v>78.48323066</v>
      </c>
      <c r="I111" s="9">
        <f t="shared" si="2"/>
        <v>5.264887064</v>
      </c>
      <c r="J111" s="14" t="s">
        <v>422</v>
      </c>
      <c r="K111" s="15">
        <v>39410.0</v>
      </c>
      <c r="L111" s="16" t="s">
        <v>146</v>
      </c>
      <c r="M111" s="8" t="s">
        <v>442</v>
      </c>
      <c r="N111" s="1">
        <v>0.0</v>
      </c>
      <c r="O111" s="1">
        <v>0.0</v>
      </c>
      <c r="P111" s="16">
        <v>0.0</v>
      </c>
      <c r="Q111" s="16" t="s">
        <v>159</v>
      </c>
      <c r="R111" s="1" t="s">
        <v>140</v>
      </c>
    </row>
    <row r="112">
      <c r="A112" s="3">
        <v>41333.0</v>
      </c>
      <c r="B112" s="5" t="s">
        <v>58</v>
      </c>
      <c r="C112" s="2">
        <v>93.0</v>
      </c>
      <c r="D112" s="8" t="s">
        <v>443</v>
      </c>
      <c r="E112" s="1">
        <f>IFERROR(__xludf.DUMMYFUNCTION("IF(D112="""", 0, COUNTA(SPLIT(D112, "" "")))"),2.0)</f>
        <v>2</v>
      </c>
      <c r="F112" s="8" t="s">
        <v>444</v>
      </c>
      <c r="G112" s="12">
        <v>15966.0</v>
      </c>
      <c r="H112" s="13">
        <f t="shared" si="1"/>
        <v>69.45106092</v>
      </c>
      <c r="I112" s="9">
        <f t="shared" si="2"/>
        <v>5.264887064</v>
      </c>
      <c r="J112" s="14" t="s">
        <v>422</v>
      </c>
      <c r="K112" s="15">
        <v>39410.0</v>
      </c>
      <c r="L112" s="16" t="s">
        <v>146</v>
      </c>
      <c r="M112" s="8" t="s">
        <v>445</v>
      </c>
      <c r="N112" s="1">
        <v>0.0</v>
      </c>
      <c r="O112" s="1">
        <v>0.0</v>
      </c>
      <c r="P112" s="16">
        <v>0.0</v>
      </c>
      <c r="Q112" s="16" t="s">
        <v>27</v>
      </c>
      <c r="R112" s="1" t="s">
        <v>140</v>
      </c>
    </row>
    <row r="113">
      <c r="A113" s="3">
        <v>41333.0</v>
      </c>
      <c r="B113" s="5" t="s">
        <v>58</v>
      </c>
      <c r="C113" s="2">
        <v>94.0</v>
      </c>
      <c r="D113" s="8" t="s">
        <v>446</v>
      </c>
      <c r="E113" s="1">
        <f>IFERROR(__xludf.DUMMYFUNCTION("IF(D113="""", 0, COUNTA(SPLIT(D113, "" "")))"),2.0)</f>
        <v>2</v>
      </c>
      <c r="F113" s="8" t="s">
        <v>447</v>
      </c>
      <c r="G113" s="12">
        <v>16622.0</v>
      </c>
      <c r="H113" s="13">
        <f t="shared" si="1"/>
        <v>67.6550308</v>
      </c>
      <c r="I113" s="9">
        <f t="shared" si="2"/>
        <v>5.264887064</v>
      </c>
      <c r="J113" s="14" t="s">
        <v>422</v>
      </c>
      <c r="K113" s="15">
        <v>39410.0</v>
      </c>
      <c r="L113" s="16" t="s">
        <v>146</v>
      </c>
      <c r="M113" s="8" t="s">
        <v>448</v>
      </c>
      <c r="N113" s="1">
        <v>0.0</v>
      </c>
      <c r="O113" s="1">
        <v>0.0</v>
      </c>
      <c r="P113" s="16">
        <v>0.02</v>
      </c>
      <c r="Q113" s="16" t="s">
        <v>204</v>
      </c>
      <c r="R113" s="1" t="s">
        <v>140</v>
      </c>
    </row>
    <row r="114">
      <c r="A114" s="3">
        <v>41333.0</v>
      </c>
      <c r="B114" s="5" t="s">
        <v>58</v>
      </c>
      <c r="C114" s="2">
        <v>95.0</v>
      </c>
      <c r="D114" s="17" t="s">
        <v>449</v>
      </c>
      <c r="E114" s="1">
        <f>IFERROR(__xludf.DUMMYFUNCTION("IF(D114="""", 0, COUNTA(SPLIT(D114, "" "")))"),2.0)</f>
        <v>2</v>
      </c>
      <c r="F114" s="8" t="s">
        <v>450</v>
      </c>
      <c r="G114" s="12">
        <v>12321.0</v>
      </c>
      <c r="H114" s="13">
        <f t="shared" si="1"/>
        <v>79.43052704</v>
      </c>
      <c r="I114" s="9">
        <f t="shared" si="2"/>
        <v>5.264887064</v>
      </c>
      <c r="J114" s="14" t="s">
        <v>422</v>
      </c>
      <c r="K114" s="15">
        <v>39410.0</v>
      </c>
      <c r="L114" s="16" t="s">
        <v>146</v>
      </c>
      <c r="M114" s="8" t="s">
        <v>451</v>
      </c>
      <c r="N114" s="1">
        <v>0.0</v>
      </c>
      <c r="O114" s="1">
        <v>0.0</v>
      </c>
      <c r="P114" s="16">
        <v>0.0</v>
      </c>
      <c r="Q114" s="16" t="s">
        <v>27</v>
      </c>
      <c r="R114" s="1" t="s">
        <v>140</v>
      </c>
    </row>
    <row r="115">
      <c r="A115" s="3">
        <v>41333.0</v>
      </c>
      <c r="B115" s="5" t="s">
        <v>58</v>
      </c>
      <c r="C115" s="2">
        <v>96.0</v>
      </c>
      <c r="D115" s="17" t="s">
        <v>452</v>
      </c>
      <c r="E115" s="1">
        <f>IFERROR(__xludf.DUMMYFUNCTION("IF(D115="""", 0, COUNTA(SPLIT(D115, "" "")))"),2.0)</f>
        <v>2</v>
      </c>
      <c r="F115" s="8" t="s">
        <v>453</v>
      </c>
      <c r="G115" s="12">
        <v>14039.0</v>
      </c>
      <c r="H115" s="13">
        <f t="shared" si="1"/>
        <v>74.72689938</v>
      </c>
      <c r="I115" s="9">
        <f t="shared" si="2"/>
        <v>2.275154004</v>
      </c>
      <c r="J115" s="14" t="s">
        <v>422</v>
      </c>
      <c r="K115" s="15">
        <v>40502.0</v>
      </c>
      <c r="L115" s="16" t="s">
        <v>146</v>
      </c>
      <c r="M115" s="8" t="s">
        <v>454</v>
      </c>
      <c r="N115" s="1">
        <v>0.0</v>
      </c>
      <c r="O115" s="1">
        <v>0.0</v>
      </c>
      <c r="P115" s="16">
        <v>0.0</v>
      </c>
      <c r="Q115" s="16" t="s">
        <v>27</v>
      </c>
      <c r="R115" s="1" t="s">
        <v>140</v>
      </c>
    </row>
    <row r="116">
      <c r="A116" s="3">
        <v>41333.0</v>
      </c>
      <c r="B116" s="5" t="s">
        <v>58</v>
      </c>
      <c r="C116" s="2">
        <v>97.0</v>
      </c>
      <c r="D116" s="8" t="s">
        <v>455</v>
      </c>
      <c r="E116" s="1">
        <f>IFERROR(__xludf.DUMMYFUNCTION("IF(D116="""", 0, COUNTA(SPLIT(D116, "" "")))"),2.0)</f>
        <v>2</v>
      </c>
      <c r="F116" s="8" t="s">
        <v>456</v>
      </c>
      <c r="G116" s="12">
        <v>16603.0</v>
      </c>
      <c r="H116" s="13">
        <f t="shared" si="1"/>
        <v>67.70704997</v>
      </c>
      <c r="I116" s="9">
        <f t="shared" si="2"/>
        <v>2.275154004</v>
      </c>
      <c r="J116" s="14" t="s">
        <v>422</v>
      </c>
      <c r="K116" s="15">
        <v>40502.0</v>
      </c>
      <c r="L116" s="16" t="s">
        <v>146</v>
      </c>
      <c r="M116" s="8" t="s">
        <v>457</v>
      </c>
      <c r="N116" s="1">
        <v>0.0</v>
      </c>
      <c r="O116" s="1">
        <v>0.0</v>
      </c>
      <c r="P116" s="16">
        <v>0.02</v>
      </c>
      <c r="Q116" s="16" t="s">
        <v>174</v>
      </c>
      <c r="R116" s="1" t="s">
        <v>140</v>
      </c>
    </row>
    <row r="117">
      <c r="A117" s="3">
        <v>41333.0</v>
      </c>
      <c r="B117" s="5" t="s">
        <v>58</v>
      </c>
      <c r="C117" s="2">
        <v>98.0</v>
      </c>
      <c r="D117" s="8" t="s">
        <v>458</v>
      </c>
      <c r="E117" s="1">
        <f>IFERROR(__xludf.DUMMYFUNCTION("IF(D117="""", 0, COUNTA(SPLIT(D117, "" "")))"),2.0)</f>
        <v>2</v>
      </c>
      <c r="F117" s="8" t="s">
        <v>459</v>
      </c>
      <c r="G117" s="12">
        <v>12567.0</v>
      </c>
      <c r="H117" s="13">
        <f t="shared" si="1"/>
        <v>78.75701574</v>
      </c>
      <c r="I117" s="9">
        <f t="shared" si="2"/>
        <v>2.275154004</v>
      </c>
      <c r="J117" s="14" t="s">
        <v>422</v>
      </c>
      <c r="K117" s="15">
        <v>40502.0</v>
      </c>
      <c r="L117" s="16" t="s">
        <v>146</v>
      </c>
      <c r="M117" s="8" t="s">
        <v>460</v>
      </c>
      <c r="N117" s="1">
        <v>0.0</v>
      </c>
      <c r="O117" s="1">
        <v>0.0</v>
      </c>
      <c r="P117" s="16">
        <v>0.0</v>
      </c>
      <c r="Q117" s="16" t="s">
        <v>27</v>
      </c>
      <c r="R117" s="1" t="s">
        <v>140</v>
      </c>
    </row>
    <row r="118">
      <c r="A118" s="3">
        <v>41333.0</v>
      </c>
      <c r="B118" s="5" t="s">
        <v>58</v>
      </c>
      <c r="C118" s="2">
        <v>99.0</v>
      </c>
      <c r="D118" s="8" t="s">
        <v>461</v>
      </c>
      <c r="E118" s="1">
        <f>IFERROR(__xludf.DUMMYFUNCTION("IF(D118="""", 0, COUNTA(SPLIT(D118, "" "")))"),3.0)</f>
        <v>3</v>
      </c>
      <c r="F118" s="8" t="s">
        <v>462</v>
      </c>
      <c r="G118" s="12">
        <v>17714.0</v>
      </c>
      <c r="H118" s="13">
        <f t="shared" si="1"/>
        <v>64.66529774</v>
      </c>
      <c r="I118" s="9">
        <f t="shared" si="2"/>
        <v>2.275154004</v>
      </c>
      <c r="J118" s="14" t="s">
        <v>422</v>
      </c>
      <c r="K118" s="15">
        <v>40502.0</v>
      </c>
      <c r="L118" s="16" t="s">
        <v>146</v>
      </c>
      <c r="M118" s="8" t="s">
        <v>463</v>
      </c>
      <c r="N118" s="1">
        <v>0.0</v>
      </c>
      <c r="O118" s="1">
        <v>0.0</v>
      </c>
      <c r="P118" s="16">
        <v>0.0</v>
      </c>
      <c r="Q118" s="16" t="s">
        <v>167</v>
      </c>
      <c r="R118" s="1" t="s">
        <v>140</v>
      </c>
    </row>
    <row r="119">
      <c r="A119" s="3">
        <v>41333.0</v>
      </c>
      <c r="B119" s="5" t="s">
        <v>58</v>
      </c>
      <c r="C119" s="2">
        <v>100.0</v>
      </c>
      <c r="D119" s="8" t="s">
        <v>464</v>
      </c>
      <c r="E119" s="1">
        <f>IFERROR(__xludf.DUMMYFUNCTION("IF(D119="""", 0, COUNTA(SPLIT(D119, "" "")))"),2.0)</f>
        <v>2</v>
      </c>
      <c r="F119" s="8" t="s">
        <v>465</v>
      </c>
      <c r="G119" s="12">
        <v>18337.0</v>
      </c>
      <c r="H119" s="13">
        <f t="shared" si="1"/>
        <v>62.9596167</v>
      </c>
      <c r="I119" s="9">
        <f t="shared" si="2"/>
        <v>2.275154004</v>
      </c>
      <c r="J119" s="14" t="s">
        <v>422</v>
      </c>
      <c r="K119" s="15">
        <v>40502.0</v>
      </c>
      <c r="L119" s="16" t="s">
        <v>146</v>
      </c>
      <c r="M119" s="8" t="s">
        <v>466</v>
      </c>
      <c r="N119" s="1">
        <v>0.0</v>
      </c>
      <c r="O119" s="1">
        <v>0.0</v>
      </c>
      <c r="P119" s="16">
        <v>0.0</v>
      </c>
      <c r="Q119" s="16" t="s">
        <v>159</v>
      </c>
      <c r="R119" s="1" t="s">
        <v>140</v>
      </c>
    </row>
    <row r="120">
      <c r="A120" s="3">
        <v>41333.0</v>
      </c>
      <c r="B120" s="5" t="s">
        <v>58</v>
      </c>
      <c r="C120" s="2">
        <v>101.0</v>
      </c>
      <c r="D120" s="8" t="s">
        <v>467</v>
      </c>
      <c r="E120" s="1">
        <f>IFERROR(__xludf.DUMMYFUNCTION("IF(D120="""", 0, COUNTA(SPLIT(D120, "" "")))"),2.0)</f>
        <v>2</v>
      </c>
      <c r="F120" s="8" t="s">
        <v>468</v>
      </c>
      <c r="G120" s="12">
        <v>12663.0</v>
      </c>
      <c r="H120" s="13">
        <f t="shared" si="1"/>
        <v>78.49418207</v>
      </c>
      <c r="I120" s="9">
        <f t="shared" si="2"/>
        <v>2.275154004</v>
      </c>
      <c r="J120" s="14" t="s">
        <v>422</v>
      </c>
      <c r="K120" s="15">
        <v>40502.0</v>
      </c>
      <c r="L120" s="16" t="s">
        <v>146</v>
      </c>
      <c r="M120" s="8" t="s">
        <v>469</v>
      </c>
      <c r="N120" s="1">
        <v>0.0</v>
      </c>
      <c r="O120" s="1">
        <v>0.0</v>
      </c>
      <c r="P120" s="16">
        <v>0.0</v>
      </c>
      <c r="Q120" s="16" t="s">
        <v>27</v>
      </c>
      <c r="R120" s="1" t="s">
        <v>140</v>
      </c>
    </row>
    <row r="121">
      <c r="A121" s="3">
        <v>41333.0</v>
      </c>
      <c r="B121" s="5" t="s">
        <v>58</v>
      </c>
      <c r="C121" s="2">
        <v>102.0</v>
      </c>
      <c r="D121" s="8" t="s">
        <v>470</v>
      </c>
      <c r="E121" s="1">
        <f>IFERROR(__xludf.DUMMYFUNCTION("IF(D121="""", 0, COUNTA(SPLIT(D121, "" "")))"),2.0)</f>
        <v>2</v>
      </c>
      <c r="F121" s="8" t="s">
        <v>471</v>
      </c>
      <c r="G121" s="12">
        <v>16330.0</v>
      </c>
      <c r="H121" s="13">
        <f t="shared" si="1"/>
        <v>68.45448323</v>
      </c>
      <c r="I121" s="9">
        <f t="shared" si="2"/>
        <v>2.275154004</v>
      </c>
      <c r="J121" s="14" t="s">
        <v>422</v>
      </c>
      <c r="K121" s="15">
        <v>40502.0</v>
      </c>
      <c r="L121" s="16" t="s">
        <v>146</v>
      </c>
      <c r="M121" s="8" t="s">
        <v>472</v>
      </c>
      <c r="N121" s="1">
        <v>0.0</v>
      </c>
      <c r="O121" s="1">
        <v>0.0</v>
      </c>
      <c r="P121" s="16">
        <v>0.02</v>
      </c>
      <c r="Q121" s="16" t="s">
        <v>27</v>
      </c>
      <c r="R121" s="1" t="s">
        <v>140</v>
      </c>
    </row>
    <row r="122">
      <c r="A122" s="3">
        <v>41333.0</v>
      </c>
      <c r="B122" s="5" t="s">
        <v>58</v>
      </c>
      <c r="C122" s="2">
        <v>103.0</v>
      </c>
      <c r="D122" s="17" t="s">
        <v>473</v>
      </c>
      <c r="E122" s="1">
        <f>IFERROR(__xludf.DUMMYFUNCTION("IF(D122="""", 0, COUNTA(SPLIT(D122, "" "")))"),3.0)</f>
        <v>3</v>
      </c>
      <c r="F122" s="8" t="s">
        <v>474</v>
      </c>
      <c r="G122" s="12">
        <v>13046.0</v>
      </c>
      <c r="H122" s="13">
        <f t="shared" si="1"/>
        <v>77.44558522</v>
      </c>
      <c r="I122" s="9">
        <f t="shared" si="2"/>
        <v>2.275154004</v>
      </c>
      <c r="J122" s="14" t="s">
        <v>422</v>
      </c>
      <c r="K122" s="15">
        <v>40502.0</v>
      </c>
      <c r="L122" s="16" t="s">
        <v>146</v>
      </c>
      <c r="M122" s="8" t="s">
        <v>475</v>
      </c>
      <c r="N122" s="1">
        <v>0.0</v>
      </c>
      <c r="O122" s="1">
        <v>0.0</v>
      </c>
      <c r="P122" s="16">
        <v>0.0</v>
      </c>
      <c r="Q122" s="16" t="s">
        <v>27</v>
      </c>
      <c r="R122" s="1" t="s">
        <v>140</v>
      </c>
    </row>
    <row r="123">
      <c r="A123" s="3">
        <v>41333.0</v>
      </c>
      <c r="B123" s="5" t="s">
        <v>58</v>
      </c>
      <c r="C123" s="2">
        <v>104.0</v>
      </c>
      <c r="D123" s="8" t="s">
        <v>476</v>
      </c>
      <c r="E123" s="1">
        <f>IFERROR(__xludf.DUMMYFUNCTION("IF(D123="""", 0, COUNTA(SPLIT(D123, "" "")))"),2.0)</f>
        <v>2</v>
      </c>
      <c r="F123" s="8" t="s">
        <v>477</v>
      </c>
      <c r="G123" s="12">
        <v>15632.0</v>
      </c>
      <c r="H123" s="13">
        <f t="shared" si="1"/>
        <v>70.36550308</v>
      </c>
      <c r="I123" s="9">
        <f t="shared" si="2"/>
        <v>2.275154004</v>
      </c>
      <c r="J123" s="14" t="s">
        <v>422</v>
      </c>
      <c r="K123" s="15">
        <v>40502.0</v>
      </c>
      <c r="L123" s="16" t="s">
        <v>146</v>
      </c>
      <c r="M123" s="8" t="s">
        <v>478</v>
      </c>
      <c r="N123" s="1">
        <v>0.0</v>
      </c>
      <c r="O123" s="1">
        <v>0.0</v>
      </c>
      <c r="P123" s="16">
        <v>0.08</v>
      </c>
      <c r="Q123" s="16" t="s">
        <v>27</v>
      </c>
      <c r="R123" s="1" t="s">
        <v>140</v>
      </c>
    </row>
    <row r="124">
      <c r="A124" s="3">
        <v>41333.0</v>
      </c>
      <c r="B124" s="5" t="s">
        <v>58</v>
      </c>
      <c r="C124" s="2">
        <v>105.0</v>
      </c>
      <c r="D124" s="8" t="s">
        <v>479</v>
      </c>
      <c r="E124" s="1">
        <f>IFERROR(__xludf.DUMMYFUNCTION("IF(D124="""", 0, COUNTA(SPLIT(D124, "" "")))"),2.0)</f>
        <v>2</v>
      </c>
      <c r="F124" s="8" t="s">
        <v>480</v>
      </c>
      <c r="G124" s="12">
        <v>16907.0</v>
      </c>
      <c r="H124" s="13">
        <f t="shared" si="1"/>
        <v>66.87474333</v>
      </c>
      <c r="I124" s="9">
        <f t="shared" si="2"/>
        <v>1.029431896</v>
      </c>
      <c r="J124" s="14" t="s">
        <v>422</v>
      </c>
      <c r="K124" s="15">
        <v>40957.0</v>
      </c>
      <c r="L124" s="16" t="s">
        <v>146</v>
      </c>
      <c r="M124" s="8" t="s">
        <v>481</v>
      </c>
      <c r="N124" s="1">
        <v>0.0</v>
      </c>
      <c r="O124" s="1">
        <v>0.0</v>
      </c>
      <c r="P124" s="16">
        <v>0.0</v>
      </c>
      <c r="Q124" s="16" t="s">
        <v>27</v>
      </c>
      <c r="R124" s="1" t="s">
        <v>140</v>
      </c>
    </row>
    <row r="125">
      <c r="A125" s="3">
        <v>41333.0</v>
      </c>
      <c r="B125" s="5" t="s">
        <v>58</v>
      </c>
      <c r="C125" s="2">
        <v>106.0</v>
      </c>
      <c r="D125" s="8" t="s">
        <v>482</v>
      </c>
      <c r="E125" s="1">
        <f>IFERROR(__xludf.DUMMYFUNCTION("IF(D125="""", 0, COUNTA(SPLIT(D125, "" "")))"),4.0)</f>
        <v>4</v>
      </c>
      <c r="F125" s="8" t="s">
        <v>483</v>
      </c>
      <c r="G125" s="12">
        <v>13968.0</v>
      </c>
      <c r="H125" s="13">
        <f t="shared" si="1"/>
        <v>74.92128679</v>
      </c>
      <c r="I125" s="9">
        <f t="shared" si="2"/>
        <v>1.029431896</v>
      </c>
      <c r="J125" s="14" t="s">
        <v>422</v>
      </c>
      <c r="K125" s="15">
        <v>40957.0</v>
      </c>
      <c r="L125" s="16" t="s">
        <v>146</v>
      </c>
      <c r="M125" s="8" t="s">
        <v>484</v>
      </c>
      <c r="N125" s="1">
        <v>0.0</v>
      </c>
      <c r="O125" s="1">
        <v>0.0</v>
      </c>
      <c r="P125" s="16">
        <v>0.0</v>
      </c>
      <c r="Q125" s="16" t="s">
        <v>218</v>
      </c>
      <c r="R125" s="1" t="s">
        <v>140</v>
      </c>
    </row>
    <row r="126">
      <c r="A126" s="3">
        <v>41333.0</v>
      </c>
      <c r="B126" s="5" t="s">
        <v>58</v>
      </c>
      <c r="C126" s="2">
        <v>107.0</v>
      </c>
      <c r="D126" s="8" t="s">
        <v>485</v>
      </c>
      <c r="E126" s="1">
        <f>IFERROR(__xludf.DUMMYFUNCTION("IF(D126="""", 0, COUNTA(SPLIT(D126, "" "")))"),4.0)</f>
        <v>4</v>
      </c>
      <c r="F126" s="8" t="s">
        <v>486</v>
      </c>
      <c r="G126" s="12">
        <v>13048.0</v>
      </c>
      <c r="H126" s="13">
        <f t="shared" si="1"/>
        <v>77.44010951</v>
      </c>
      <c r="I126" s="9">
        <f t="shared" si="2"/>
        <v>1.029431896</v>
      </c>
      <c r="J126" s="14" t="s">
        <v>422</v>
      </c>
      <c r="K126" s="15">
        <v>40957.0</v>
      </c>
      <c r="L126" s="16" t="s">
        <v>146</v>
      </c>
      <c r="M126" s="8" t="s">
        <v>487</v>
      </c>
      <c r="N126" s="1">
        <v>0.0</v>
      </c>
      <c r="O126" s="1">
        <v>0.0</v>
      </c>
      <c r="P126" s="16">
        <v>0.0</v>
      </c>
      <c r="Q126" s="16" t="s">
        <v>163</v>
      </c>
      <c r="R126" s="1" t="s">
        <v>140</v>
      </c>
    </row>
    <row r="127">
      <c r="A127" s="3">
        <v>41333.0</v>
      </c>
      <c r="B127" s="5" t="s">
        <v>58</v>
      </c>
      <c r="C127" s="2">
        <v>108.0</v>
      </c>
      <c r="D127" s="8" t="s">
        <v>488</v>
      </c>
      <c r="E127" s="1">
        <f>IFERROR(__xludf.DUMMYFUNCTION("IF(D127="""", 0, COUNTA(SPLIT(D127, "" "")))"),3.0)</f>
        <v>3</v>
      </c>
      <c r="F127" s="8" t="s">
        <v>489</v>
      </c>
      <c r="G127" s="12">
        <v>13914.0</v>
      </c>
      <c r="H127" s="13">
        <f t="shared" si="1"/>
        <v>75.06913073</v>
      </c>
      <c r="I127" s="9">
        <f t="shared" si="2"/>
        <v>1.029431896</v>
      </c>
      <c r="J127" s="14" t="s">
        <v>422</v>
      </c>
      <c r="K127" s="15">
        <v>40957.0</v>
      </c>
      <c r="L127" s="16" t="s">
        <v>146</v>
      </c>
      <c r="M127" s="8" t="s">
        <v>490</v>
      </c>
      <c r="N127" s="1">
        <v>0.0</v>
      </c>
      <c r="O127" s="1">
        <v>0.0</v>
      </c>
      <c r="P127" s="16">
        <v>0.0</v>
      </c>
      <c r="Q127" s="16" t="s">
        <v>27</v>
      </c>
      <c r="R127" s="1" t="s">
        <v>140</v>
      </c>
    </row>
    <row r="128">
      <c r="A128" s="3">
        <v>41333.0</v>
      </c>
      <c r="B128" s="5" t="s">
        <v>58</v>
      </c>
      <c r="C128" s="2">
        <v>109.0</v>
      </c>
      <c r="D128" s="8" t="s">
        <v>491</v>
      </c>
      <c r="E128" s="1">
        <f>IFERROR(__xludf.DUMMYFUNCTION("IF(D128="""", 0, COUNTA(SPLIT(D128, "" "")))"),2.0)</f>
        <v>2</v>
      </c>
      <c r="F128" s="8" t="s">
        <v>492</v>
      </c>
      <c r="G128" s="12">
        <v>15615.0</v>
      </c>
      <c r="H128" s="13">
        <f t="shared" si="1"/>
        <v>70.41204654</v>
      </c>
      <c r="I128" s="9">
        <f t="shared" si="2"/>
        <v>1.029431896</v>
      </c>
      <c r="J128" s="14" t="s">
        <v>422</v>
      </c>
      <c r="K128" s="15">
        <v>40957.0</v>
      </c>
      <c r="L128" s="16" t="s">
        <v>146</v>
      </c>
      <c r="M128" s="8" t="s">
        <v>493</v>
      </c>
      <c r="N128" s="1">
        <v>0.0</v>
      </c>
      <c r="O128" s="1">
        <v>0.0</v>
      </c>
      <c r="P128" s="16">
        <v>0.0</v>
      </c>
      <c r="Q128" s="16" t="s">
        <v>27</v>
      </c>
      <c r="R128" s="1" t="s">
        <v>140</v>
      </c>
    </row>
    <row r="129">
      <c r="A129" s="3">
        <v>41333.0</v>
      </c>
      <c r="B129" s="5" t="s">
        <v>58</v>
      </c>
      <c r="C129" s="2">
        <v>110.0</v>
      </c>
      <c r="D129" s="8" t="s">
        <v>494</v>
      </c>
      <c r="E129" s="1">
        <f>IFERROR(__xludf.DUMMYFUNCTION("IF(D129="""", 0, COUNTA(SPLIT(D129, "" "")))"),2.0)</f>
        <v>2</v>
      </c>
      <c r="F129" s="8" t="s">
        <v>495</v>
      </c>
      <c r="G129" s="12">
        <v>13945.0</v>
      </c>
      <c r="H129" s="13">
        <f t="shared" si="1"/>
        <v>74.98425736</v>
      </c>
      <c r="I129" s="9">
        <f t="shared" si="2"/>
        <v>1.029431896</v>
      </c>
      <c r="J129" s="14" t="s">
        <v>422</v>
      </c>
      <c r="K129" s="15">
        <v>40957.0</v>
      </c>
      <c r="L129" s="16" t="s">
        <v>146</v>
      </c>
      <c r="M129" s="8" t="s">
        <v>496</v>
      </c>
      <c r="N129" s="1">
        <v>0.0</v>
      </c>
      <c r="O129" s="1">
        <v>0.0</v>
      </c>
      <c r="P129" s="16">
        <v>0.0</v>
      </c>
      <c r="Q129" s="16" t="s">
        <v>27</v>
      </c>
      <c r="R129" s="1" t="s">
        <v>140</v>
      </c>
    </row>
    <row r="130">
      <c r="A130" s="3">
        <v>41333.0</v>
      </c>
      <c r="B130" s="5" t="s">
        <v>58</v>
      </c>
      <c r="C130" s="2">
        <v>111.0</v>
      </c>
      <c r="D130" s="8" t="s">
        <v>497</v>
      </c>
      <c r="E130" s="1">
        <f>IFERROR(__xludf.DUMMYFUNCTION("IF(D130="""", 0, COUNTA(SPLIT(D130, "" "")))"),4.0)</f>
        <v>4</v>
      </c>
      <c r="F130" s="8" t="s">
        <v>498</v>
      </c>
      <c r="G130" s="12">
        <v>17281.0</v>
      </c>
      <c r="H130" s="13">
        <f t="shared" si="1"/>
        <v>65.85078713</v>
      </c>
      <c r="I130" s="9">
        <f t="shared" si="2"/>
        <v>1.029431896</v>
      </c>
      <c r="J130" s="14" t="s">
        <v>422</v>
      </c>
      <c r="K130" s="15">
        <v>40957.0</v>
      </c>
      <c r="L130" s="16" t="s">
        <v>146</v>
      </c>
      <c r="M130" s="8" t="s">
        <v>499</v>
      </c>
      <c r="N130" s="1">
        <v>0.0</v>
      </c>
      <c r="O130" s="1">
        <v>0.0</v>
      </c>
      <c r="P130" s="16">
        <v>0.0</v>
      </c>
      <c r="Q130" s="16" t="s">
        <v>218</v>
      </c>
      <c r="R130" s="1" t="s">
        <v>140</v>
      </c>
    </row>
    <row r="131">
      <c r="A131" s="3">
        <v>41333.0</v>
      </c>
      <c r="B131" s="5" t="s">
        <v>58</v>
      </c>
      <c r="C131" s="2">
        <v>112.0</v>
      </c>
      <c r="D131" s="8" t="s">
        <v>500</v>
      </c>
      <c r="E131" s="1">
        <f>IFERROR(__xludf.DUMMYFUNCTION("IF(D131="""", 0, COUNTA(SPLIT(D131, "" "")))"),3.0)</f>
        <v>3</v>
      </c>
      <c r="F131" s="8" t="s">
        <v>501</v>
      </c>
      <c r="G131" s="12">
        <v>14343.0</v>
      </c>
      <c r="H131" s="13">
        <f t="shared" si="1"/>
        <v>73.89459274</v>
      </c>
      <c r="I131" s="9">
        <f t="shared" si="2"/>
        <v>1.029431896</v>
      </c>
      <c r="J131" s="14" t="s">
        <v>422</v>
      </c>
      <c r="K131" s="15">
        <v>40957.0</v>
      </c>
      <c r="L131" s="16" t="s">
        <v>146</v>
      </c>
      <c r="M131" s="8" t="s">
        <v>502</v>
      </c>
      <c r="N131" s="1">
        <v>0.0</v>
      </c>
      <c r="O131" s="1">
        <v>0.0</v>
      </c>
      <c r="P131" s="16">
        <v>0.0</v>
      </c>
      <c r="Q131" s="16" t="s">
        <v>167</v>
      </c>
      <c r="R131" s="1" t="s">
        <v>140</v>
      </c>
    </row>
    <row r="132">
      <c r="A132" s="3">
        <v>41333.0</v>
      </c>
      <c r="B132" s="5" t="s">
        <v>58</v>
      </c>
      <c r="C132" s="2">
        <v>113.0</v>
      </c>
      <c r="D132" s="8" t="s">
        <v>503</v>
      </c>
      <c r="E132" s="1">
        <f>IFERROR(__xludf.DUMMYFUNCTION("IF(D132="""", 0, COUNTA(SPLIT(D132, "" "")))"),2.0)</f>
        <v>2</v>
      </c>
      <c r="F132" s="8" t="s">
        <v>504</v>
      </c>
      <c r="G132" s="12">
        <v>15740.0</v>
      </c>
      <c r="H132" s="13">
        <f t="shared" si="1"/>
        <v>70.0698152</v>
      </c>
      <c r="I132" s="9">
        <f t="shared" si="2"/>
        <v>1.029431896</v>
      </c>
      <c r="J132" s="14" t="s">
        <v>422</v>
      </c>
      <c r="K132" s="15">
        <v>40957.0</v>
      </c>
      <c r="L132" s="16" t="s">
        <v>146</v>
      </c>
      <c r="M132" s="8" t="s">
        <v>505</v>
      </c>
      <c r="N132" s="1">
        <v>0.0</v>
      </c>
      <c r="O132" s="1">
        <v>0.0</v>
      </c>
      <c r="P132" s="16">
        <v>0.0</v>
      </c>
      <c r="Q132" s="16" t="s">
        <v>27</v>
      </c>
      <c r="R132" s="1" t="s">
        <v>140</v>
      </c>
    </row>
    <row r="133">
      <c r="A133" s="3">
        <v>41333.0</v>
      </c>
      <c r="B133" s="5" t="s">
        <v>58</v>
      </c>
      <c r="C133" s="2">
        <v>114.0</v>
      </c>
      <c r="D133" s="8" t="s">
        <v>506</v>
      </c>
      <c r="E133" s="1">
        <f>IFERROR(__xludf.DUMMYFUNCTION("IF(D133="""", 0, COUNTA(SPLIT(D133, "" "")))"),2.0)</f>
        <v>2</v>
      </c>
      <c r="F133" s="8" t="s">
        <v>507</v>
      </c>
      <c r="G133" s="12">
        <v>15917.0</v>
      </c>
      <c r="H133" s="13">
        <f t="shared" si="1"/>
        <v>69.58521561</v>
      </c>
      <c r="I133" s="9">
        <f t="shared" si="2"/>
        <v>1.029431896</v>
      </c>
      <c r="J133" s="14" t="s">
        <v>422</v>
      </c>
      <c r="K133" s="15">
        <v>40957.0</v>
      </c>
      <c r="L133" s="16" t="s">
        <v>146</v>
      </c>
      <c r="M133" s="8" t="s">
        <v>508</v>
      </c>
      <c r="N133" s="1">
        <v>0.0</v>
      </c>
      <c r="O133" s="1">
        <v>0.0</v>
      </c>
      <c r="P133" s="16">
        <v>0.0</v>
      </c>
      <c r="Q133" s="16" t="s">
        <v>27</v>
      </c>
      <c r="R133" s="1" t="s">
        <v>140</v>
      </c>
    </row>
    <row r="134">
      <c r="A134" s="3">
        <v>41333.0</v>
      </c>
      <c r="B134" s="5" t="s">
        <v>58</v>
      </c>
      <c r="C134" s="2">
        <v>115.0</v>
      </c>
      <c r="D134" s="8" t="s">
        <v>509</v>
      </c>
      <c r="E134" s="1">
        <f>IFERROR(__xludf.DUMMYFUNCTION("IF(D134="""", 0, COUNTA(SPLIT(D134, "" "")))"),3.0)</f>
        <v>3</v>
      </c>
      <c r="F134" s="8" t="s">
        <v>510</v>
      </c>
      <c r="G134" s="12">
        <v>18191.0</v>
      </c>
      <c r="H134" s="13">
        <f t="shared" si="1"/>
        <v>63.35934292</v>
      </c>
      <c r="I134" s="9">
        <f t="shared" si="2"/>
        <v>0.2628336756</v>
      </c>
      <c r="J134" s="14" t="s">
        <v>422</v>
      </c>
      <c r="K134" s="15">
        <v>41237.0</v>
      </c>
      <c r="L134" s="16" t="s">
        <v>146</v>
      </c>
      <c r="M134" s="8" t="s">
        <v>511</v>
      </c>
      <c r="N134" s="1">
        <v>0.0</v>
      </c>
      <c r="O134" s="1">
        <v>0.0</v>
      </c>
      <c r="P134" s="16">
        <v>0.0</v>
      </c>
      <c r="Q134" s="16" t="s">
        <v>167</v>
      </c>
      <c r="R134" s="1" t="s">
        <v>140</v>
      </c>
    </row>
    <row r="135">
      <c r="A135" s="3">
        <v>38444.0</v>
      </c>
      <c r="B135" s="1" t="s">
        <v>146</v>
      </c>
      <c r="C135" s="19">
        <v>1.0</v>
      </c>
      <c r="D135" s="1" t="s">
        <v>512</v>
      </c>
      <c r="E135" s="1">
        <f>IFERROR(__xludf.DUMMYFUNCTION("IF(D135="""", 0, COUNTA(SPLIT(D135, "" "")))"),3.0)</f>
        <v>3</v>
      </c>
      <c r="F135" s="8" t="s">
        <v>513</v>
      </c>
      <c r="G135" s="20">
        <v>9968.0</v>
      </c>
      <c r="H135" s="13">
        <f t="shared" si="1"/>
        <v>77.96303901</v>
      </c>
      <c r="I135" s="9">
        <f t="shared" si="2"/>
        <v>27.76454483</v>
      </c>
      <c r="J135" s="14" t="s">
        <v>23</v>
      </c>
      <c r="K135" s="15">
        <v>28303.0</v>
      </c>
      <c r="L135" s="16" t="s">
        <v>132</v>
      </c>
      <c r="M135" s="8" t="s">
        <v>514</v>
      </c>
      <c r="N135" s="1">
        <v>0.0</v>
      </c>
      <c r="O135" s="1">
        <v>0.0</v>
      </c>
      <c r="P135" s="16">
        <v>0.0</v>
      </c>
      <c r="Q135" s="16" t="s">
        <v>159</v>
      </c>
      <c r="R135" s="1" t="s">
        <v>28</v>
      </c>
    </row>
    <row r="136">
      <c r="A136" s="3">
        <v>38444.0</v>
      </c>
      <c r="B136" s="5" t="s">
        <v>58</v>
      </c>
      <c r="C136" s="2">
        <v>2.0</v>
      </c>
      <c r="D136" s="8" t="s">
        <v>515</v>
      </c>
      <c r="E136" s="1">
        <f>IFERROR(__xludf.DUMMYFUNCTION("IF(D136="""", 0, COUNTA(SPLIT(D136, "" "")))"),2.0)</f>
        <v>2</v>
      </c>
      <c r="F136" s="8" t="s">
        <v>516</v>
      </c>
      <c r="G136" s="12">
        <v>10189.0</v>
      </c>
      <c r="H136" s="13">
        <f t="shared" si="1"/>
        <v>77.35797399</v>
      </c>
      <c r="I136" s="9">
        <f t="shared" si="2"/>
        <v>13.76317591</v>
      </c>
      <c r="J136" s="14" t="s">
        <v>23</v>
      </c>
      <c r="K136" s="15">
        <v>33417.0</v>
      </c>
      <c r="L136" s="16" t="s">
        <v>138</v>
      </c>
      <c r="M136" s="8" t="s">
        <v>517</v>
      </c>
      <c r="N136" s="1">
        <v>0.0</v>
      </c>
      <c r="O136" s="1">
        <v>0.0</v>
      </c>
      <c r="P136" s="16">
        <v>0.0</v>
      </c>
      <c r="Q136" s="16" t="s">
        <v>27</v>
      </c>
      <c r="R136" s="1" t="s">
        <v>140</v>
      </c>
    </row>
    <row r="137">
      <c r="A137" s="3">
        <v>38444.0</v>
      </c>
      <c r="B137" s="5" t="s">
        <v>58</v>
      </c>
      <c r="C137" s="2">
        <v>3.0</v>
      </c>
      <c r="D137" s="8" t="s">
        <v>518</v>
      </c>
      <c r="E137" s="1">
        <f>IFERROR(__xludf.DUMMYFUNCTION("IF(D137="""", 0, COUNTA(SPLIT(D137, "" "")))"),3.0)</f>
        <v>3</v>
      </c>
      <c r="F137" s="8" t="s">
        <v>519</v>
      </c>
      <c r="G137" s="12">
        <v>13096.0</v>
      </c>
      <c r="H137" s="13">
        <f t="shared" si="1"/>
        <v>69.39904175</v>
      </c>
      <c r="I137" s="9">
        <f t="shared" si="2"/>
        <v>22.16290212</v>
      </c>
      <c r="J137" s="14" t="s">
        <v>23</v>
      </c>
      <c r="K137" s="15">
        <v>30349.0</v>
      </c>
      <c r="L137" s="16" t="s">
        <v>138</v>
      </c>
      <c r="M137" s="8" t="s">
        <v>520</v>
      </c>
      <c r="N137" s="1">
        <v>0.0</v>
      </c>
      <c r="O137" s="1">
        <v>0.0</v>
      </c>
      <c r="P137" s="16">
        <v>0.0</v>
      </c>
      <c r="Q137" s="16" t="s">
        <v>163</v>
      </c>
      <c r="R137" s="1" t="s">
        <v>140</v>
      </c>
    </row>
    <row r="138">
      <c r="A138" s="3">
        <v>38444.0</v>
      </c>
      <c r="B138" s="5" t="s">
        <v>58</v>
      </c>
      <c r="C138" s="2">
        <v>4.0</v>
      </c>
      <c r="D138" s="8" t="s">
        <v>521</v>
      </c>
      <c r="E138" s="1">
        <f>IFERROR(__xludf.DUMMYFUNCTION("IF(D138="""", 0, COUNTA(SPLIT(D138, "" "")))"),3.0)</f>
        <v>3</v>
      </c>
      <c r="F138" s="8" t="s">
        <v>522</v>
      </c>
      <c r="G138" s="12">
        <v>12449.0</v>
      </c>
      <c r="H138" s="13">
        <f t="shared" si="1"/>
        <v>71.17043121</v>
      </c>
      <c r="I138" s="9">
        <f t="shared" si="2"/>
        <v>4.109514031</v>
      </c>
      <c r="J138" s="14" t="s">
        <v>23</v>
      </c>
      <c r="K138" s="15">
        <v>36943.0</v>
      </c>
      <c r="L138" s="16" t="s">
        <v>138</v>
      </c>
      <c r="M138" s="8" t="s">
        <v>523</v>
      </c>
      <c r="N138" s="1">
        <v>0.0</v>
      </c>
      <c r="O138" s="1">
        <v>0.0</v>
      </c>
      <c r="P138" s="16">
        <v>0.0</v>
      </c>
      <c r="Q138" s="16" t="s">
        <v>27</v>
      </c>
      <c r="R138" s="1" t="s">
        <v>140</v>
      </c>
    </row>
    <row r="139">
      <c r="A139" s="3">
        <v>38444.0</v>
      </c>
      <c r="B139" s="5" t="s">
        <v>58</v>
      </c>
      <c r="C139" s="2">
        <v>5.0</v>
      </c>
      <c r="D139" s="8" t="s">
        <v>524</v>
      </c>
      <c r="E139" s="1">
        <f>IFERROR(__xludf.DUMMYFUNCTION("IF(D139="""", 0, COUNTA(SPLIT(D139, "" "")))"),4.0)</f>
        <v>4</v>
      </c>
      <c r="F139" s="8" t="s">
        <v>525</v>
      </c>
      <c r="G139" s="12">
        <v>11219.0</v>
      </c>
      <c r="H139" s="13">
        <f t="shared" si="1"/>
        <v>74.53798768</v>
      </c>
      <c r="I139" s="9">
        <f t="shared" si="2"/>
        <v>4.109514031</v>
      </c>
      <c r="J139" s="14" t="s">
        <v>23</v>
      </c>
      <c r="K139" s="15">
        <v>36943.0</v>
      </c>
      <c r="L139" s="16" t="s">
        <v>138</v>
      </c>
      <c r="M139" s="8" t="s">
        <v>526</v>
      </c>
      <c r="N139" s="1">
        <v>0.0</v>
      </c>
      <c r="O139" s="1">
        <v>0.0</v>
      </c>
      <c r="P139" s="16">
        <v>0.0</v>
      </c>
      <c r="Q139" s="16" t="s">
        <v>148</v>
      </c>
      <c r="R139" s="1" t="s">
        <v>140</v>
      </c>
    </row>
    <row r="140">
      <c r="A140" s="3">
        <v>38444.0</v>
      </c>
      <c r="B140" s="5" t="s">
        <v>58</v>
      </c>
      <c r="C140" s="2">
        <v>6.0</v>
      </c>
      <c r="D140" s="8" t="s">
        <v>527</v>
      </c>
      <c r="E140" s="1">
        <f>IFERROR(__xludf.DUMMYFUNCTION("IF(D140="""", 0, COUNTA(SPLIT(D140, "" "")))"),3.0)</f>
        <v>3</v>
      </c>
      <c r="F140" s="8" t="s">
        <v>528</v>
      </c>
      <c r="G140" s="12">
        <v>9822.0</v>
      </c>
      <c r="H140" s="13">
        <f t="shared" si="1"/>
        <v>78.36276523</v>
      </c>
      <c r="I140" s="9">
        <f t="shared" si="2"/>
        <v>28.8569473</v>
      </c>
      <c r="J140" s="14" t="s">
        <v>42</v>
      </c>
      <c r="K140" s="15">
        <v>27904.0</v>
      </c>
      <c r="L140" s="16" t="s">
        <v>132</v>
      </c>
      <c r="M140" s="8" t="s">
        <v>529</v>
      </c>
      <c r="N140" s="1">
        <v>0.0</v>
      </c>
      <c r="O140" s="1">
        <v>0.0</v>
      </c>
      <c r="P140" s="16">
        <v>0.0</v>
      </c>
      <c r="Q140" s="16" t="s">
        <v>167</v>
      </c>
      <c r="R140" s="1" t="s">
        <v>140</v>
      </c>
    </row>
    <row r="141">
      <c r="A141" s="3">
        <v>38444.0</v>
      </c>
      <c r="B141" s="5" t="s">
        <v>58</v>
      </c>
      <c r="C141" s="2">
        <v>7.0</v>
      </c>
      <c r="D141" s="8" t="s">
        <v>530</v>
      </c>
      <c r="E141" s="1">
        <f>IFERROR(__xludf.DUMMYFUNCTION("IF(D141="""", 0, COUNTA(SPLIT(D141, "" "")))"),2.0)</f>
        <v>2</v>
      </c>
      <c r="F141" s="8" t="s">
        <v>531</v>
      </c>
      <c r="G141" s="12">
        <v>9321.0</v>
      </c>
      <c r="H141" s="13">
        <f t="shared" si="1"/>
        <v>79.73442847</v>
      </c>
      <c r="I141" s="9">
        <f t="shared" si="2"/>
        <v>25.75770021</v>
      </c>
      <c r="J141" s="14" t="s">
        <v>42</v>
      </c>
      <c r="K141" s="15">
        <v>29036.0</v>
      </c>
      <c r="L141" s="16" t="s">
        <v>138</v>
      </c>
      <c r="M141" s="8" t="s">
        <v>532</v>
      </c>
      <c r="N141" s="1">
        <v>0.0</v>
      </c>
      <c r="O141" s="1">
        <v>0.0</v>
      </c>
      <c r="P141" s="16">
        <v>0.0</v>
      </c>
      <c r="Q141" s="16" t="s">
        <v>27</v>
      </c>
      <c r="R141" s="1" t="s">
        <v>140</v>
      </c>
    </row>
    <row r="142">
      <c r="A142" s="3">
        <v>38444.0</v>
      </c>
      <c r="B142" s="5" t="s">
        <v>58</v>
      </c>
      <c r="C142" s="2">
        <v>8.0</v>
      </c>
      <c r="D142" s="8" t="s">
        <v>533</v>
      </c>
      <c r="E142" s="1">
        <f>IFERROR(__xludf.DUMMYFUNCTION("IF(D142="""", 0, COUNTA(SPLIT(D142, "" "")))"),2.0)</f>
        <v>2</v>
      </c>
      <c r="F142" s="8" t="s">
        <v>534</v>
      </c>
      <c r="G142" s="12">
        <v>10002.0</v>
      </c>
      <c r="H142" s="13">
        <f t="shared" si="1"/>
        <v>77.86995209</v>
      </c>
      <c r="I142" s="9">
        <f t="shared" si="2"/>
        <v>25.75770021</v>
      </c>
      <c r="J142" s="14" t="s">
        <v>42</v>
      </c>
      <c r="K142" s="15">
        <v>29036.0</v>
      </c>
      <c r="L142" s="16" t="s">
        <v>138</v>
      </c>
      <c r="M142" s="8" t="s">
        <v>535</v>
      </c>
      <c r="N142" s="1">
        <v>0.0</v>
      </c>
      <c r="O142" s="1">
        <v>0.0</v>
      </c>
      <c r="P142" s="16">
        <v>0.0</v>
      </c>
      <c r="Q142" s="16" t="s">
        <v>204</v>
      </c>
      <c r="R142" s="1" t="s">
        <v>140</v>
      </c>
    </row>
    <row r="143">
      <c r="A143" s="3">
        <v>38444.0</v>
      </c>
      <c r="B143" s="5" t="s">
        <v>58</v>
      </c>
      <c r="C143" s="2">
        <v>9.0</v>
      </c>
      <c r="D143" s="8" t="s">
        <v>536</v>
      </c>
      <c r="E143" s="1">
        <f>IFERROR(__xludf.DUMMYFUNCTION("IF(D143="""", 0, COUNTA(SPLIT(D143, "" "")))"),3.0)</f>
        <v>3</v>
      </c>
      <c r="F143" s="8" t="s">
        <v>537</v>
      </c>
      <c r="G143" s="12">
        <v>10618.0</v>
      </c>
      <c r="H143" s="13">
        <f t="shared" si="1"/>
        <v>76.183436</v>
      </c>
      <c r="I143" s="9">
        <f t="shared" si="2"/>
        <v>22.16290212</v>
      </c>
      <c r="J143" s="14" t="s">
        <v>42</v>
      </c>
      <c r="K143" s="15">
        <v>30349.0</v>
      </c>
      <c r="L143" s="16" t="s">
        <v>138</v>
      </c>
      <c r="M143" s="8" t="s">
        <v>538</v>
      </c>
      <c r="N143" s="1">
        <v>0.0</v>
      </c>
      <c r="O143" s="1">
        <v>0.0</v>
      </c>
      <c r="P143" s="16">
        <v>0.0</v>
      </c>
      <c r="Q143" s="16" t="s">
        <v>539</v>
      </c>
      <c r="R143" s="1" t="s">
        <v>140</v>
      </c>
    </row>
    <row r="144">
      <c r="A144" s="3">
        <v>38444.0</v>
      </c>
      <c r="B144" s="5" t="s">
        <v>58</v>
      </c>
      <c r="C144" s="2">
        <v>10.0</v>
      </c>
      <c r="D144" s="8" t="s">
        <v>540</v>
      </c>
      <c r="E144" s="1">
        <f>IFERROR(__xludf.DUMMYFUNCTION("IF(D144="""", 0, COUNTA(SPLIT(D144, "" "")))"),2.0)</f>
        <v>2</v>
      </c>
      <c r="F144" s="8" t="s">
        <v>541</v>
      </c>
      <c r="G144" s="12">
        <v>12209.0</v>
      </c>
      <c r="H144" s="13">
        <f t="shared" si="1"/>
        <v>71.8275154</v>
      </c>
      <c r="I144" s="9">
        <f t="shared" si="2"/>
        <v>22.16290212</v>
      </c>
      <c r="J144" s="14" t="s">
        <v>42</v>
      </c>
      <c r="K144" s="15">
        <v>30349.0</v>
      </c>
      <c r="L144" s="16" t="s">
        <v>138</v>
      </c>
      <c r="M144" s="8" t="s">
        <v>542</v>
      </c>
      <c r="N144" s="1">
        <v>0.0</v>
      </c>
      <c r="O144" s="1">
        <v>0.0</v>
      </c>
      <c r="P144" s="16">
        <v>0.0</v>
      </c>
      <c r="Q144" s="16" t="s">
        <v>155</v>
      </c>
      <c r="R144" s="1" t="s">
        <v>140</v>
      </c>
    </row>
    <row r="145">
      <c r="A145" s="3">
        <v>38444.0</v>
      </c>
      <c r="B145" s="5" t="s">
        <v>58</v>
      </c>
      <c r="C145" s="2">
        <v>11.0</v>
      </c>
      <c r="D145" s="8" t="s">
        <v>543</v>
      </c>
      <c r="E145" s="1">
        <f>IFERROR(__xludf.DUMMYFUNCTION("IF(D145="""", 0, COUNTA(SPLIT(D145, "" "")))"),3.0)</f>
        <v>3</v>
      </c>
      <c r="F145" s="8" t="s">
        <v>544</v>
      </c>
      <c r="G145" s="12">
        <v>11037.0</v>
      </c>
      <c r="H145" s="13">
        <f t="shared" si="1"/>
        <v>75.03627652</v>
      </c>
      <c r="I145" s="9">
        <f t="shared" si="2"/>
        <v>22.16290212</v>
      </c>
      <c r="J145" s="14" t="s">
        <v>42</v>
      </c>
      <c r="K145" s="15">
        <v>30349.0</v>
      </c>
      <c r="L145" s="16" t="s">
        <v>138</v>
      </c>
      <c r="M145" s="8" t="s">
        <v>545</v>
      </c>
      <c r="N145" s="1">
        <v>0.0</v>
      </c>
      <c r="O145" s="1">
        <v>0.0</v>
      </c>
      <c r="P145" s="16">
        <v>0.0</v>
      </c>
      <c r="Q145" s="16" t="s">
        <v>167</v>
      </c>
      <c r="R145" s="1" t="s">
        <v>140</v>
      </c>
    </row>
    <row r="146">
      <c r="A146" s="3">
        <v>38444.0</v>
      </c>
      <c r="B146" s="5" t="s">
        <v>58</v>
      </c>
      <c r="C146" s="2">
        <v>12.0</v>
      </c>
      <c r="D146" s="17" t="s">
        <v>546</v>
      </c>
      <c r="E146" s="1">
        <f>IFERROR(__xludf.DUMMYFUNCTION("IF(D146="""", 0, COUNTA(SPLIT(D146, "" "")))"),3.0)</f>
        <v>3</v>
      </c>
      <c r="F146" s="8" t="s">
        <v>547</v>
      </c>
      <c r="G146" s="12">
        <v>9908.0</v>
      </c>
      <c r="H146" s="13">
        <f t="shared" si="1"/>
        <v>78.12731006</v>
      </c>
      <c r="I146" s="9">
        <f t="shared" si="2"/>
        <v>22.16290212</v>
      </c>
      <c r="J146" s="14" t="s">
        <v>42</v>
      </c>
      <c r="K146" s="15">
        <v>30349.0</v>
      </c>
      <c r="L146" s="16" t="s">
        <v>138</v>
      </c>
      <c r="M146" s="8" t="s">
        <v>548</v>
      </c>
      <c r="N146" s="1">
        <v>0.0</v>
      </c>
      <c r="O146" s="1">
        <v>0.0</v>
      </c>
      <c r="P146" s="16">
        <v>0.0</v>
      </c>
      <c r="Q146" s="16" t="s">
        <v>27</v>
      </c>
      <c r="R146" s="1" t="s">
        <v>140</v>
      </c>
    </row>
    <row r="147">
      <c r="A147" s="3">
        <v>38444.0</v>
      </c>
      <c r="B147" s="5" t="s">
        <v>58</v>
      </c>
      <c r="C147" s="2">
        <v>13.0</v>
      </c>
      <c r="D147" s="8" t="s">
        <v>549</v>
      </c>
      <c r="E147" s="1">
        <f>IFERROR(__xludf.DUMMYFUNCTION("IF(D147="""", 0, COUNTA(SPLIT(D147, "" "")))"),2.0)</f>
        <v>2</v>
      </c>
      <c r="F147" s="8" t="s">
        <v>550</v>
      </c>
      <c r="G147" s="12">
        <v>9757.0</v>
      </c>
      <c r="H147" s="13">
        <f t="shared" si="1"/>
        <v>78.54072553</v>
      </c>
      <c r="I147" s="9">
        <f t="shared" si="2"/>
        <v>22.16290212</v>
      </c>
      <c r="J147" s="14" t="s">
        <v>42</v>
      </c>
      <c r="K147" s="15">
        <v>30349.0</v>
      </c>
      <c r="L147" s="16" t="s">
        <v>138</v>
      </c>
      <c r="M147" s="8" t="s">
        <v>551</v>
      </c>
      <c r="N147" s="1">
        <v>0.0</v>
      </c>
      <c r="O147" s="1">
        <v>0.0</v>
      </c>
      <c r="P147" s="16">
        <v>0.0</v>
      </c>
      <c r="Q147" s="16" t="s">
        <v>174</v>
      </c>
      <c r="R147" s="1" t="s">
        <v>140</v>
      </c>
    </row>
    <row r="148">
      <c r="A148" s="3">
        <v>38444.0</v>
      </c>
      <c r="B148" s="5" t="s">
        <v>58</v>
      </c>
      <c r="C148" s="2">
        <v>14.0</v>
      </c>
      <c r="D148" s="8" t="s">
        <v>552</v>
      </c>
      <c r="E148" s="1">
        <f>IFERROR(__xludf.DUMMYFUNCTION("IF(D148="""", 0, COUNTA(SPLIT(D148, "" "")))"),2.0)</f>
        <v>2</v>
      </c>
      <c r="F148" s="8" t="s">
        <v>553</v>
      </c>
      <c r="G148" s="12">
        <v>10945.0</v>
      </c>
      <c r="H148" s="13">
        <f t="shared" si="1"/>
        <v>75.2881588</v>
      </c>
      <c r="I148" s="9">
        <f t="shared" si="2"/>
        <v>22.16290212</v>
      </c>
      <c r="J148" s="14" t="s">
        <v>42</v>
      </c>
      <c r="K148" s="15">
        <v>30349.0</v>
      </c>
      <c r="L148" s="16" t="s">
        <v>138</v>
      </c>
      <c r="M148" s="8" t="s">
        <v>554</v>
      </c>
      <c r="N148" s="1">
        <v>0.0</v>
      </c>
      <c r="O148" s="1">
        <v>0.0</v>
      </c>
      <c r="P148" s="16">
        <v>0.0</v>
      </c>
      <c r="Q148" s="16" t="s">
        <v>204</v>
      </c>
      <c r="R148" s="1" t="s">
        <v>140</v>
      </c>
    </row>
    <row r="149">
      <c r="A149" s="3">
        <v>38444.0</v>
      </c>
      <c r="B149" s="5" t="s">
        <v>58</v>
      </c>
      <c r="C149" s="2">
        <v>15.0</v>
      </c>
      <c r="D149" s="8" t="s">
        <v>555</v>
      </c>
      <c r="E149" s="1">
        <f>IFERROR(__xludf.DUMMYFUNCTION("IF(D149="""", 0, COUNTA(SPLIT(D149, "" "")))"),2.0)</f>
        <v>2</v>
      </c>
      <c r="F149" s="8" t="s">
        <v>556</v>
      </c>
      <c r="G149" s="12">
        <v>12413.0</v>
      </c>
      <c r="H149" s="13">
        <f t="shared" si="1"/>
        <v>71.26899384</v>
      </c>
      <c r="I149" s="9">
        <f t="shared" si="2"/>
        <v>22.16290212</v>
      </c>
      <c r="J149" s="14" t="s">
        <v>42</v>
      </c>
      <c r="K149" s="15">
        <v>30349.0</v>
      </c>
      <c r="L149" s="16" t="s">
        <v>138</v>
      </c>
      <c r="M149" s="8" t="s">
        <v>557</v>
      </c>
      <c r="N149" s="1">
        <v>0.0</v>
      </c>
      <c r="O149" s="1">
        <v>0.0</v>
      </c>
      <c r="P149" s="16">
        <v>0.0</v>
      </c>
      <c r="Q149" s="16" t="s">
        <v>159</v>
      </c>
      <c r="R149" s="1" t="s">
        <v>140</v>
      </c>
    </row>
    <row r="150">
      <c r="A150" s="3">
        <v>38444.0</v>
      </c>
      <c r="B150" s="5" t="s">
        <v>58</v>
      </c>
      <c r="C150" s="2">
        <v>16.0</v>
      </c>
      <c r="D150" s="8" t="s">
        <v>558</v>
      </c>
      <c r="E150" s="1">
        <f>IFERROR(__xludf.DUMMYFUNCTION("IF(D150="""", 0, COUNTA(SPLIT(D150, "" "")))"),2.0)</f>
        <v>2</v>
      </c>
      <c r="F150" s="8" t="s">
        <v>559</v>
      </c>
      <c r="G150" s="12">
        <v>11994.0</v>
      </c>
      <c r="H150" s="13">
        <f t="shared" si="1"/>
        <v>72.41615332</v>
      </c>
      <c r="I150" s="9">
        <f t="shared" si="2"/>
        <v>19.85489391</v>
      </c>
      <c r="J150" s="14" t="s">
        <v>42</v>
      </c>
      <c r="K150" s="15">
        <v>31192.0</v>
      </c>
      <c r="L150" s="16" t="s">
        <v>138</v>
      </c>
      <c r="M150" s="8" t="s">
        <v>560</v>
      </c>
      <c r="N150" s="1">
        <v>0.0</v>
      </c>
      <c r="O150" s="1">
        <v>0.0</v>
      </c>
      <c r="P150" s="16">
        <v>0.0</v>
      </c>
      <c r="Q150" s="16" t="s">
        <v>561</v>
      </c>
      <c r="R150" s="1" t="s">
        <v>140</v>
      </c>
    </row>
    <row r="151">
      <c r="A151" s="3">
        <v>38444.0</v>
      </c>
      <c r="B151" s="5" t="s">
        <v>58</v>
      </c>
      <c r="C151" s="2">
        <v>17.0</v>
      </c>
      <c r="D151" s="17" t="s">
        <v>562</v>
      </c>
      <c r="E151" s="1">
        <f>IFERROR(__xludf.DUMMYFUNCTION("IF(D151="""", 0, COUNTA(SPLIT(D151, "" "")))"),3.0)</f>
        <v>3</v>
      </c>
      <c r="F151" s="8" t="s">
        <v>563</v>
      </c>
      <c r="G151" s="12">
        <v>9530.0</v>
      </c>
      <c r="H151" s="13">
        <f t="shared" si="1"/>
        <v>79.16221766</v>
      </c>
      <c r="I151" s="9">
        <f t="shared" si="2"/>
        <v>19.85489391</v>
      </c>
      <c r="J151" s="14" t="s">
        <v>42</v>
      </c>
      <c r="K151" s="15">
        <v>31192.0</v>
      </c>
      <c r="L151" s="16" t="s">
        <v>138</v>
      </c>
      <c r="M151" s="8" t="s">
        <v>564</v>
      </c>
      <c r="N151" s="1">
        <v>0.0</v>
      </c>
      <c r="O151" s="1">
        <v>0.0</v>
      </c>
      <c r="P151" s="16">
        <v>0.0</v>
      </c>
      <c r="Q151" s="16" t="s">
        <v>163</v>
      </c>
      <c r="R151" s="1" t="s">
        <v>140</v>
      </c>
    </row>
    <row r="152">
      <c r="A152" s="3">
        <v>38444.0</v>
      </c>
      <c r="B152" s="5" t="s">
        <v>58</v>
      </c>
      <c r="C152" s="2">
        <v>18.0</v>
      </c>
      <c r="D152" s="8" t="s">
        <v>565</v>
      </c>
      <c r="E152" s="1">
        <f>IFERROR(__xludf.DUMMYFUNCTION("IF(D152="""", 0, COUNTA(SPLIT(D152, "" "")))"),3.0)</f>
        <v>3</v>
      </c>
      <c r="F152" s="8" t="s">
        <v>566</v>
      </c>
      <c r="G152" s="12">
        <v>11360.0</v>
      </c>
      <c r="H152" s="13">
        <f t="shared" si="1"/>
        <v>74.15195072</v>
      </c>
      <c r="I152" s="9">
        <f t="shared" si="2"/>
        <v>19.85489391</v>
      </c>
      <c r="J152" s="14" t="s">
        <v>42</v>
      </c>
      <c r="K152" s="15">
        <v>31192.0</v>
      </c>
      <c r="L152" s="16" t="s">
        <v>138</v>
      </c>
      <c r="M152" s="8" t="s">
        <v>567</v>
      </c>
      <c r="N152" s="1">
        <v>0.0</v>
      </c>
      <c r="O152" s="1">
        <v>0.0</v>
      </c>
      <c r="P152" s="16">
        <v>0.0</v>
      </c>
      <c r="Q152" s="16" t="s">
        <v>568</v>
      </c>
      <c r="R152" s="1" t="s">
        <v>140</v>
      </c>
    </row>
    <row r="153">
      <c r="A153" s="3">
        <v>38444.0</v>
      </c>
      <c r="B153" s="5" t="s">
        <v>58</v>
      </c>
      <c r="C153" s="2">
        <v>19.0</v>
      </c>
      <c r="D153" s="8" t="s">
        <v>569</v>
      </c>
      <c r="E153" s="1">
        <f>IFERROR(__xludf.DUMMYFUNCTION("IF(D153="""", 0, COUNTA(SPLIT(D153, "" "")))"),2.0)</f>
        <v>2</v>
      </c>
      <c r="F153" s="8" t="s">
        <v>570</v>
      </c>
      <c r="G153" s="12">
        <v>11200.0</v>
      </c>
      <c r="H153" s="13">
        <f t="shared" si="1"/>
        <v>74.59000684</v>
      </c>
      <c r="I153" s="9">
        <f t="shared" si="2"/>
        <v>19.85489391</v>
      </c>
      <c r="J153" s="14" t="s">
        <v>42</v>
      </c>
      <c r="K153" s="15">
        <v>31192.0</v>
      </c>
      <c r="L153" s="16" t="s">
        <v>138</v>
      </c>
      <c r="M153" s="8" t="s">
        <v>571</v>
      </c>
      <c r="N153" s="1">
        <v>0.0</v>
      </c>
      <c r="O153" s="1">
        <v>0.0</v>
      </c>
      <c r="P153" s="16">
        <v>0.0</v>
      </c>
      <c r="Q153" s="16" t="s">
        <v>174</v>
      </c>
      <c r="R153" s="1" t="s">
        <v>140</v>
      </c>
    </row>
    <row r="154">
      <c r="A154" s="3">
        <v>38444.0</v>
      </c>
      <c r="B154" s="5" t="s">
        <v>58</v>
      </c>
      <c r="C154" s="2">
        <v>20.0</v>
      </c>
      <c r="D154" s="8" t="s">
        <v>572</v>
      </c>
      <c r="E154" s="1">
        <f>IFERROR(__xludf.DUMMYFUNCTION("IF(D154="""", 0, COUNTA(SPLIT(D154, "" "")))"),2.0)</f>
        <v>2</v>
      </c>
      <c r="F154" s="8" t="s">
        <v>573</v>
      </c>
      <c r="G154" s="12">
        <v>10278.0</v>
      </c>
      <c r="H154" s="13">
        <f t="shared" si="1"/>
        <v>77.11430527</v>
      </c>
      <c r="I154" s="9">
        <f t="shared" si="2"/>
        <v>19.85489391</v>
      </c>
      <c r="J154" s="14" t="s">
        <v>42</v>
      </c>
      <c r="K154" s="15">
        <v>31192.0</v>
      </c>
      <c r="L154" s="16" t="s">
        <v>138</v>
      </c>
      <c r="M154" s="8" t="s">
        <v>574</v>
      </c>
      <c r="N154" s="1">
        <v>0.0</v>
      </c>
      <c r="O154" s="1">
        <v>0.0</v>
      </c>
      <c r="P154" s="16">
        <v>0.0</v>
      </c>
      <c r="Q154" s="16" t="s">
        <v>159</v>
      </c>
      <c r="R154" s="1" t="s">
        <v>140</v>
      </c>
    </row>
    <row r="155">
      <c r="A155" s="3">
        <v>38444.0</v>
      </c>
      <c r="B155" s="5" t="s">
        <v>58</v>
      </c>
      <c r="C155" s="2">
        <v>21.0</v>
      </c>
      <c r="D155" s="8" t="s">
        <v>575</v>
      </c>
      <c r="E155" s="1">
        <f>IFERROR(__xludf.DUMMYFUNCTION("IF(D155="""", 0, COUNTA(SPLIT(D155, "" "")))"),3.0)</f>
        <v>3</v>
      </c>
      <c r="F155" s="8" t="s">
        <v>576</v>
      </c>
      <c r="G155" s="12">
        <v>11653.0</v>
      </c>
      <c r="H155" s="13">
        <f t="shared" si="1"/>
        <v>73.34976044</v>
      </c>
      <c r="I155" s="9">
        <f t="shared" si="2"/>
        <v>19.85489391</v>
      </c>
      <c r="J155" s="14" t="s">
        <v>42</v>
      </c>
      <c r="K155" s="15">
        <v>31192.0</v>
      </c>
      <c r="L155" s="16" t="s">
        <v>138</v>
      </c>
      <c r="M155" s="8" t="s">
        <v>577</v>
      </c>
      <c r="N155" s="1">
        <v>0.0</v>
      </c>
      <c r="O155" s="1">
        <v>0.0</v>
      </c>
      <c r="P155" s="16">
        <v>0.0</v>
      </c>
      <c r="Q155" s="16" t="s">
        <v>155</v>
      </c>
      <c r="R155" s="1" t="s">
        <v>140</v>
      </c>
    </row>
    <row r="156">
      <c r="A156" s="3">
        <v>38444.0</v>
      </c>
      <c r="B156" s="5" t="s">
        <v>58</v>
      </c>
      <c r="C156" s="2">
        <v>22.0</v>
      </c>
      <c r="D156" s="8" t="s">
        <v>578</v>
      </c>
      <c r="E156" s="1">
        <f>IFERROR(__xludf.DUMMYFUNCTION("IF(D156="""", 0, COUNTA(SPLIT(D156, "" "")))"),3.0)</f>
        <v>3</v>
      </c>
      <c r="F156" s="8" t="s">
        <v>579</v>
      </c>
      <c r="G156" s="12">
        <v>11631.0</v>
      </c>
      <c r="H156" s="13">
        <f t="shared" si="1"/>
        <v>73.40999316</v>
      </c>
      <c r="I156" s="9">
        <f t="shared" si="2"/>
        <v>19.85489391</v>
      </c>
      <c r="J156" s="14" t="s">
        <v>42</v>
      </c>
      <c r="K156" s="15">
        <v>31192.0</v>
      </c>
      <c r="L156" s="16" t="s">
        <v>138</v>
      </c>
      <c r="M156" s="8" t="s">
        <v>580</v>
      </c>
      <c r="N156" s="1">
        <v>0.0</v>
      </c>
      <c r="O156" s="1">
        <v>0.0</v>
      </c>
      <c r="P156" s="16">
        <v>0.0</v>
      </c>
      <c r="Q156" s="16" t="s">
        <v>167</v>
      </c>
      <c r="R156" s="1" t="s">
        <v>140</v>
      </c>
    </row>
    <row r="157">
      <c r="A157" s="3">
        <v>38444.0</v>
      </c>
      <c r="B157" s="5" t="s">
        <v>58</v>
      </c>
      <c r="C157" s="2">
        <v>23.0</v>
      </c>
      <c r="D157" s="8" t="s">
        <v>581</v>
      </c>
      <c r="E157" s="1">
        <f>IFERROR(__xludf.DUMMYFUNCTION("IF(D157="""", 0, COUNTA(SPLIT(D157, "" "")))"),2.0)</f>
        <v>2</v>
      </c>
      <c r="F157" s="8" t="s">
        <v>582</v>
      </c>
      <c r="G157" s="12">
        <v>10392.0</v>
      </c>
      <c r="H157" s="13">
        <f t="shared" si="1"/>
        <v>76.80219028</v>
      </c>
      <c r="I157" s="9">
        <f t="shared" si="2"/>
        <v>19.85489391</v>
      </c>
      <c r="J157" s="14" t="s">
        <v>42</v>
      </c>
      <c r="K157" s="15">
        <v>31192.0</v>
      </c>
      <c r="L157" s="16" t="s">
        <v>138</v>
      </c>
      <c r="M157" s="8" t="s">
        <v>583</v>
      </c>
      <c r="N157" s="1">
        <v>0.0</v>
      </c>
      <c r="O157" s="1">
        <v>0.0</v>
      </c>
      <c r="P157" s="16">
        <v>0.0</v>
      </c>
      <c r="Q157" s="16" t="s">
        <v>27</v>
      </c>
      <c r="R157" s="1" t="s">
        <v>140</v>
      </c>
    </row>
    <row r="158">
      <c r="A158" s="3">
        <v>38444.0</v>
      </c>
      <c r="B158" s="5" t="s">
        <v>58</v>
      </c>
      <c r="C158" s="2">
        <v>24.0</v>
      </c>
      <c r="D158" s="8" t="s">
        <v>584</v>
      </c>
      <c r="E158" s="1">
        <f>IFERROR(__xludf.DUMMYFUNCTION("IF(D158="""", 0, COUNTA(SPLIT(D158, "" "")))"),3.0)</f>
        <v>3</v>
      </c>
      <c r="F158" s="8" t="s">
        <v>585</v>
      </c>
      <c r="G158" s="12">
        <v>9952.0</v>
      </c>
      <c r="H158" s="13">
        <f t="shared" si="1"/>
        <v>78.00684463</v>
      </c>
      <c r="I158" s="9">
        <f t="shared" si="2"/>
        <v>16.76112252</v>
      </c>
      <c r="J158" s="14" t="s">
        <v>42</v>
      </c>
      <c r="K158" s="15">
        <v>32322.0</v>
      </c>
      <c r="L158" s="16" t="s">
        <v>138</v>
      </c>
      <c r="M158" s="8" t="s">
        <v>586</v>
      </c>
      <c r="N158" s="1">
        <v>0.0</v>
      </c>
      <c r="O158" s="1">
        <v>0.0</v>
      </c>
      <c r="P158" s="16">
        <v>0.0</v>
      </c>
      <c r="Q158" s="16" t="s">
        <v>163</v>
      </c>
      <c r="R158" s="1" t="s">
        <v>140</v>
      </c>
    </row>
    <row r="159">
      <c r="A159" s="3">
        <v>38444.0</v>
      </c>
      <c r="B159" s="5" t="s">
        <v>58</v>
      </c>
      <c r="C159" s="2">
        <v>25.0</v>
      </c>
      <c r="D159" s="8" t="s">
        <v>587</v>
      </c>
      <c r="E159" s="1">
        <f>IFERROR(__xludf.DUMMYFUNCTION("IF(D159="""", 0, COUNTA(SPLIT(D159, "" "")))"),3.0)</f>
        <v>3</v>
      </c>
      <c r="F159" s="8" t="s">
        <v>588</v>
      </c>
      <c r="G159" s="12">
        <v>9428.0</v>
      </c>
      <c r="H159" s="13">
        <f t="shared" si="1"/>
        <v>79.44147844</v>
      </c>
      <c r="I159" s="9">
        <f t="shared" si="2"/>
        <v>16.76112252</v>
      </c>
      <c r="J159" s="14" t="s">
        <v>42</v>
      </c>
      <c r="K159" s="15">
        <v>32322.0</v>
      </c>
      <c r="L159" s="16" t="s">
        <v>138</v>
      </c>
      <c r="M159" s="8" t="s">
        <v>589</v>
      </c>
      <c r="N159" s="1">
        <v>0.0</v>
      </c>
      <c r="O159" s="1">
        <v>0.0</v>
      </c>
      <c r="P159" s="16">
        <v>0.0</v>
      </c>
      <c r="Q159" s="16" t="s">
        <v>218</v>
      </c>
      <c r="R159" s="1" t="s">
        <v>140</v>
      </c>
    </row>
    <row r="160">
      <c r="A160" s="3">
        <v>38444.0</v>
      </c>
      <c r="B160" s="5" t="s">
        <v>58</v>
      </c>
      <c r="C160" s="2">
        <v>26.0</v>
      </c>
      <c r="D160" s="8" t="s">
        <v>590</v>
      </c>
      <c r="E160" s="1">
        <f>IFERROR(__xludf.DUMMYFUNCTION("IF(D160="""", 0, COUNTA(SPLIT(D160, "" "")))"),2.0)</f>
        <v>2</v>
      </c>
      <c r="F160" s="8" t="s">
        <v>591</v>
      </c>
      <c r="G160" s="12">
        <v>11223.0</v>
      </c>
      <c r="H160" s="13">
        <f t="shared" si="1"/>
        <v>74.52703628</v>
      </c>
      <c r="I160" s="9">
        <f t="shared" si="2"/>
        <v>16.76112252</v>
      </c>
      <c r="J160" s="14" t="s">
        <v>42</v>
      </c>
      <c r="K160" s="15">
        <v>32322.0</v>
      </c>
      <c r="L160" s="16" t="s">
        <v>138</v>
      </c>
      <c r="M160" s="8" t="s">
        <v>592</v>
      </c>
      <c r="N160" s="1">
        <v>0.0</v>
      </c>
      <c r="O160" s="1">
        <v>0.0</v>
      </c>
      <c r="P160" s="16">
        <v>0.0</v>
      </c>
      <c r="Q160" s="16" t="s">
        <v>27</v>
      </c>
      <c r="R160" s="1" t="s">
        <v>140</v>
      </c>
    </row>
    <row r="161">
      <c r="A161" s="3">
        <v>38444.0</v>
      </c>
      <c r="B161" s="5" t="s">
        <v>58</v>
      </c>
      <c r="C161" s="2">
        <v>27.0</v>
      </c>
      <c r="D161" s="8" t="s">
        <v>593</v>
      </c>
      <c r="E161" s="1">
        <f>IFERROR(__xludf.DUMMYFUNCTION("IF(D161="""", 0, COUNTA(SPLIT(D161, "" "")))"),3.0)</f>
        <v>3</v>
      </c>
      <c r="F161" s="8" t="s">
        <v>594</v>
      </c>
      <c r="G161" s="12">
        <v>10119.0</v>
      </c>
      <c r="H161" s="13">
        <f t="shared" si="1"/>
        <v>77.54962355</v>
      </c>
      <c r="I161" s="9">
        <f t="shared" si="2"/>
        <v>16.76112252</v>
      </c>
      <c r="J161" s="14" t="s">
        <v>42</v>
      </c>
      <c r="K161" s="15">
        <v>32322.0</v>
      </c>
      <c r="L161" s="16" t="s">
        <v>138</v>
      </c>
      <c r="M161" s="8" t="s">
        <v>595</v>
      </c>
      <c r="N161" s="1">
        <v>0.0</v>
      </c>
      <c r="O161" s="1">
        <v>0.0</v>
      </c>
      <c r="P161" s="16">
        <v>0.0</v>
      </c>
      <c r="Q161" s="16" t="s">
        <v>204</v>
      </c>
      <c r="R161" s="1" t="s">
        <v>140</v>
      </c>
    </row>
    <row r="162">
      <c r="A162" s="3">
        <v>38444.0</v>
      </c>
      <c r="B162" s="5" t="s">
        <v>58</v>
      </c>
      <c r="C162" s="2">
        <v>28.0</v>
      </c>
      <c r="D162" s="17" t="s">
        <v>596</v>
      </c>
      <c r="E162" s="1">
        <f>IFERROR(__xludf.DUMMYFUNCTION("IF(D162="""", 0, COUNTA(SPLIT(D162, "" "")))"),2.0)</f>
        <v>2</v>
      </c>
      <c r="F162" s="8" t="s">
        <v>597</v>
      </c>
      <c r="G162" s="12">
        <v>9990.0</v>
      </c>
      <c r="H162" s="13">
        <f t="shared" si="1"/>
        <v>77.9028063</v>
      </c>
      <c r="I162" s="9">
        <f t="shared" si="2"/>
        <v>16.76112252</v>
      </c>
      <c r="J162" s="14" t="s">
        <v>42</v>
      </c>
      <c r="K162" s="15">
        <v>32322.0</v>
      </c>
      <c r="L162" s="16" t="s">
        <v>138</v>
      </c>
      <c r="M162" s="8" t="s">
        <v>598</v>
      </c>
      <c r="N162" s="1">
        <v>0.0</v>
      </c>
      <c r="O162" s="1">
        <v>0.0</v>
      </c>
      <c r="P162" s="16">
        <v>0.0</v>
      </c>
      <c r="Q162" s="16" t="s">
        <v>297</v>
      </c>
      <c r="R162" s="1" t="s">
        <v>140</v>
      </c>
    </row>
    <row r="163">
      <c r="A163" s="3">
        <v>38444.0</v>
      </c>
      <c r="B163" s="5" t="s">
        <v>58</v>
      </c>
      <c r="C163" s="2">
        <v>29.0</v>
      </c>
      <c r="D163" s="8" t="s">
        <v>599</v>
      </c>
      <c r="E163" s="1">
        <f>IFERROR(__xludf.DUMMYFUNCTION("IF(D163="""", 0, COUNTA(SPLIT(D163, "" "")))"),3.0)</f>
        <v>3</v>
      </c>
      <c r="F163" s="8" t="s">
        <v>600</v>
      </c>
      <c r="G163" s="12">
        <v>11246.0</v>
      </c>
      <c r="H163" s="13">
        <f t="shared" si="1"/>
        <v>74.46406571</v>
      </c>
      <c r="I163" s="9">
        <f t="shared" si="2"/>
        <v>16.76112252</v>
      </c>
      <c r="J163" s="14" t="s">
        <v>42</v>
      </c>
      <c r="K163" s="15">
        <v>32322.0</v>
      </c>
      <c r="L163" s="16" t="s">
        <v>138</v>
      </c>
      <c r="M163" s="8" t="s">
        <v>601</v>
      </c>
      <c r="N163" s="1">
        <v>0.0</v>
      </c>
      <c r="O163" s="1">
        <v>0.0</v>
      </c>
      <c r="P163" s="16">
        <v>0.0</v>
      </c>
      <c r="Q163" s="16" t="s">
        <v>174</v>
      </c>
      <c r="R163" s="1" t="s">
        <v>140</v>
      </c>
    </row>
    <row r="164">
      <c r="A164" s="3">
        <v>38444.0</v>
      </c>
      <c r="B164" s="5" t="s">
        <v>58</v>
      </c>
      <c r="C164" s="2">
        <v>30.0</v>
      </c>
      <c r="D164" s="8" t="s">
        <v>602</v>
      </c>
      <c r="E164" s="1">
        <f>IFERROR(__xludf.DUMMYFUNCTION("IF(D164="""", 0, COUNTA(SPLIT(D164, "" "")))"),3.0)</f>
        <v>3</v>
      </c>
      <c r="F164" s="8" t="s">
        <v>603</v>
      </c>
      <c r="G164" s="12">
        <v>11295.0</v>
      </c>
      <c r="H164" s="13">
        <f t="shared" si="1"/>
        <v>74.32991102</v>
      </c>
      <c r="I164" s="9">
        <f t="shared" si="2"/>
        <v>13.76317591</v>
      </c>
      <c r="J164" s="14" t="s">
        <v>42</v>
      </c>
      <c r="K164" s="15">
        <v>33417.0</v>
      </c>
      <c r="L164" s="16" t="s">
        <v>138</v>
      </c>
      <c r="M164" s="8" t="s">
        <v>604</v>
      </c>
      <c r="N164" s="1">
        <v>0.0</v>
      </c>
      <c r="O164" s="1">
        <v>0.0</v>
      </c>
      <c r="P164" s="16">
        <v>0.0</v>
      </c>
      <c r="Q164" s="16" t="s">
        <v>174</v>
      </c>
      <c r="R164" s="1" t="s">
        <v>140</v>
      </c>
    </row>
    <row r="165">
      <c r="A165" s="3">
        <v>38444.0</v>
      </c>
      <c r="B165" s="5" t="s">
        <v>58</v>
      </c>
      <c r="C165" s="2">
        <v>31.0</v>
      </c>
      <c r="D165" s="8" t="s">
        <v>605</v>
      </c>
      <c r="E165" s="1">
        <f>IFERROR(__xludf.DUMMYFUNCTION("IF(D165="""", 0, COUNTA(SPLIT(D165, "" "")))"),5.0)</f>
        <v>5</v>
      </c>
      <c r="F165" s="8" t="s">
        <v>606</v>
      </c>
      <c r="G165" s="12">
        <v>13454.0</v>
      </c>
      <c r="H165" s="13">
        <f t="shared" si="1"/>
        <v>68.41889117</v>
      </c>
      <c r="I165" s="9">
        <f t="shared" si="2"/>
        <v>13.76317591</v>
      </c>
      <c r="J165" s="14" t="s">
        <v>42</v>
      </c>
      <c r="K165" s="15">
        <v>33417.0</v>
      </c>
      <c r="L165" s="16" t="s">
        <v>138</v>
      </c>
      <c r="M165" s="8" t="s">
        <v>607</v>
      </c>
      <c r="N165" s="1">
        <v>0.0</v>
      </c>
      <c r="O165" s="1">
        <v>0.0</v>
      </c>
      <c r="P165" s="16">
        <v>0.0</v>
      </c>
      <c r="Q165" s="16" t="s">
        <v>163</v>
      </c>
      <c r="R165" s="1" t="s">
        <v>140</v>
      </c>
    </row>
    <row r="166">
      <c r="A166" s="3">
        <v>38444.0</v>
      </c>
      <c r="B166" s="5" t="s">
        <v>58</v>
      </c>
      <c r="C166" s="2">
        <v>32.0</v>
      </c>
      <c r="D166" s="8" t="s">
        <v>608</v>
      </c>
      <c r="E166" s="1">
        <f>IFERROR(__xludf.DUMMYFUNCTION("IF(D166="""", 0, COUNTA(SPLIT(D166, "" "")))"),3.0)</f>
        <v>3</v>
      </c>
      <c r="F166" s="8" t="s">
        <v>609</v>
      </c>
      <c r="G166" s="12">
        <v>13207.0</v>
      </c>
      <c r="H166" s="13">
        <f t="shared" si="1"/>
        <v>69.09514031</v>
      </c>
      <c r="I166" s="9">
        <f t="shared" si="2"/>
        <v>13.76317591</v>
      </c>
      <c r="J166" s="14" t="s">
        <v>42</v>
      </c>
      <c r="K166" s="15">
        <v>33417.0</v>
      </c>
      <c r="L166" s="16" t="s">
        <v>138</v>
      </c>
      <c r="M166" s="8" t="s">
        <v>610</v>
      </c>
      <c r="N166" s="1">
        <v>0.0</v>
      </c>
      <c r="O166" s="1">
        <v>0.0</v>
      </c>
      <c r="P166" s="16">
        <v>0.0</v>
      </c>
      <c r="Q166" s="16" t="s">
        <v>167</v>
      </c>
      <c r="R166" s="1" t="s">
        <v>140</v>
      </c>
    </row>
    <row r="167">
      <c r="A167" s="3">
        <v>38444.0</v>
      </c>
      <c r="B167" s="5" t="s">
        <v>58</v>
      </c>
      <c r="C167" s="2">
        <v>33.0</v>
      </c>
      <c r="D167" s="8" t="s">
        <v>611</v>
      </c>
      <c r="E167" s="1">
        <f>IFERROR(__xludf.DUMMYFUNCTION("IF(D167="""", 0, COUNTA(SPLIT(D167, "" "")))"),2.0)</f>
        <v>2</v>
      </c>
      <c r="F167" s="8" t="s">
        <v>612</v>
      </c>
      <c r="G167" s="12">
        <v>11373.0</v>
      </c>
      <c r="H167" s="13">
        <f t="shared" si="1"/>
        <v>74.11635866</v>
      </c>
      <c r="I167" s="9">
        <f t="shared" si="2"/>
        <v>13.76317591</v>
      </c>
      <c r="J167" s="14" t="s">
        <v>42</v>
      </c>
      <c r="K167" s="15">
        <v>33417.0</v>
      </c>
      <c r="L167" s="16" t="s">
        <v>138</v>
      </c>
      <c r="M167" s="8" t="s">
        <v>613</v>
      </c>
      <c r="N167" s="1">
        <v>0.0</v>
      </c>
      <c r="O167" s="1">
        <v>0.0</v>
      </c>
      <c r="P167" s="16">
        <v>0.0</v>
      </c>
      <c r="Q167" s="16" t="s">
        <v>27</v>
      </c>
      <c r="R167" s="1" t="s">
        <v>140</v>
      </c>
    </row>
    <row r="168">
      <c r="A168" s="3">
        <v>38444.0</v>
      </c>
      <c r="B168" s="5" t="s">
        <v>58</v>
      </c>
      <c r="C168" s="2">
        <v>34.0</v>
      </c>
      <c r="D168" s="8" t="s">
        <v>614</v>
      </c>
      <c r="E168" s="1">
        <f>IFERROR(__xludf.DUMMYFUNCTION("IF(D168="""", 0, COUNTA(SPLIT(D168, "" "")))"),2.0)</f>
        <v>2</v>
      </c>
      <c r="F168" s="8" t="s">
        <v>615</v>
      </c>
      <c r="G168" s="12">
        <v>11854.0</v>
      </c>
      <c r="H168" s="13">
        <f t="shared" si="1"/>
        <v>72.79945243</v>
      </c>
      <c r="I168" s="9">
        <f t="shared" si="2"/>
        <v>13.76317591</v>
      </c>
      <c r="J168" s="14" t="s">
        <v>42</v>
      </c>
      <c r="K168" s="15">
        <v>33417.0</v>
      </c>
      <c r="L168" s="16" t="s">
        <v>138</v>
      </c>
      <c r="M168" s="8" t="s">
        <v>616</v>
      </c>
      <c r="N168" s="1">
        <v>0.0</v>
      </c>
      <c r="O168" s="1">
        <v>0.0</v>
      </c>
      <c r="P168" s="16">
        <v>0.0</v>
      </c>
      <c r="Q168" s="16" t="s">
        <v>174</v>
      </c>
      <c r="R168" s="1" t="s">
        <v>140</v>
      </c>
    </row>
    <row r="169">
      <c r="A169" s="3">
        <v>38444.0</v>
      </c>
      <c r="B169" s="5" t="s">
        <v>58</v>
      </c>
      <c r="C169" s="2">
        <v>35.0</v>
      </c>
      <c r="D169" s="8" t="s">
        <v>617</v>
      </c>
      <c r="E169" s="1">
        <f>IFERROR(__xludf.DUMMYFUNCTION("IF(D169="""", 0, COUNTA(SPLIT(D169, "" "")))"),3.0)</f>
        <v>3</v>
      </c>
      <c r="F169" s="8" t="s">
        <v>618</v>
      </c>
      <c r="G169" s="12">
        <v>13189.0</v>
      </c>
      <c r="H169" s="13">
        <f t="shared" si="1"/>
        <v>69.14442163</v>
      </c>
      <c r="I169" s="9">
        <f t="shared" si="2"/>
        <v>13.76317591</v>
      </c>
      <c r="J169" s="14" t="s">
        <v>42</v>
      </c>
      <c r="K169" s="15">
        <v>33417.0</v>
      </c>
      <c r="L169" s="16" t="s">
        <v>138</v>
      </c>
      <c r="M169" s="8" t="s">
        <v>619</v>
      </c>
      <c r="N169" s="1">
        <v>0.0</v>
      </c>
      <c r="O169" s="1">
        <v>0.0</v>
      </c>
      <c r="P169" s="16">
        <v>0.0</v>
      </c>
      <c r="Q169" s="16" t="s">
        <v>159</v>
      </c>
      <c r="R169" s="1" t="s">
        <v>140</v>
      </c>
    </row>
    <row r="170">
      <c r="A170" s="3">
        <v>38444.0</v>
      </c>
      <c r="B170" s="5" t="s">
        <v>58</v>
      </c>
      <c r="C170" s="2">
        <v>36.0</v>
      </c>
      <c r="D170" s="8" t="s">
        <v>620</v>
      </c>
      <c r="E170" s="1">
        <f>IFERROR(__xludf.DUMMYFUNCTION("IF(D170="""", 0, COUNTA(SPLIT(D170, "" "")))"),2.0)</f>
        <v>2</v>
      </c>
      <c r="F170" s="8" t="s">
        <v>621</v>
      </c>
      <c r="G170" s="12">
        <v>11826.0</v>
      </c>
      <c r="H170" s="13">
        <f t="shared" si="1"/>
        <v>72.87611225</v>
      </c>
      <c r="I170" s="9">
        <f t="shared" si="2"/>
        <v>10.34907598</v>
      </c>
      <c r="J170" s="14" t="s">
        <v>42</v>
      </c>
      <c r="K170" s="15">
        <v>34664.0</v>
      </c>
      <c r="L170" s="16" t="s">
        <v>138</v>
      </c>
      <c r="M170" s="8" t="s">
        <v>622</v>
      </c>
      <c r="N170" s="1">
        <v>0.0</v>
      </c>
      <c r="O170" s="1">
        <v>0.0</v>
      </c>
      <c r="P170" s="16">
        <v>0.0</v>
      </c>
      <c r="Q170" s="16" t="s">
        <v>390</v>
      </c>
      <c r="R170" s="1" t="s">
        <v>140</v>
      </c>
    </row>
    <row r="171">
      <c r="A171" s="3">
        <v>38444.0</v>
      </c>
      <c r="B171" s="5" t="s">
        <v>58</v>
      </c>
      <c r="C171" s="2">
        <v>37.0</v>
      </c>
      <c r="D171" s="8" t="s">
        <v>623</v>
      </c>
      <c r="E171" s="1">
        <f>IFERROR(__xludf.DUMMYFUNCTION("IF(D171="""", 0, COUNTA(SPLIT(D171, "" "")))"),3.0)</f>
        <v>3</v>
      </c>
      <c r="F171" s="8" t="s">
        <v>624</v>
      </c>
      <c r="G171" s="12">
        <v>10396.0</v>
      </c>
      <c r="H171" s="13">
        <f t="shared" si="1"/>
        <v>76.79123888</v>
      </c>
      <c r="I171" s="9">
        <f t="shared" si="2"/>
        <v>10.34907598</v>
      </c>
      <c r="J171" s="14" t="s">
        <v>42</v>
      </c>
      <c r="K171" s="15">
        <v>34664.0</v>
      </c>
      <c r="L171" s="16" t="s">
        <v>138</v>
      </c>
      <c r="M171" s="8" t="s">
        <v>625</v>
      </c>
      <c r="N171" s="1">
        <v>0.0</v>
      </c>
      <c r="O171" s="1">
        <v>0.0</v>
      </c>
      <c r="P171" s="16">
        <v>0.0</v>
      </c>
      <c r="Q171" s="16" t="s">
        <v>626</v>
      </c>
      <c r="R171" s="1" t="s">
        <v>140</v>
      </c>
    </row>
    <row r="172">
      <c r="A172" s="3">
        <v>38444.0</v>
      </c>
      <c r="B172" s="5" t="s">
        <v>58</v>
      </c>
      <c r="C172" s="2">
        <v>38.0</v>
      </c>
      <c r="D172" s="17" t="s">
        <v>627</v>
      </c>
      <c r="E172" s="1">
        <f>IFERROR(__xludf.DUMMYFUNCTION("IF(D172="""", 0, COUNTA(SPLIT(D172, "" "")))"),2.0)</f>
        <v>2</v>
      </c>
      <c r="F172" s="8" t="s">
        <v>628</v>
      </c>
      <c r="G172" s="12">
        <v>12773.0</v>
      </c>
      <c r="H172" s="13">
        <f t="shared" si="1"/>
        <v>70.28336756</v>
      </c>
      <c r="I172" s="9">
        <f t="shared" si="2"/>
        <v>10.34907598</v>
      </c>
      <c r="J172" s="14" t="s">
        <v>42</v>
      </c>
      <c r="K172" s="15">
        <v>34664.0</v>
      </c>
      <c r="L172" s="16" t="s">
        <v>138</v>
      </c>
      <c r="M172" s="8" t="s">
        <v>629</v>
      </c>
      <c r="N172" s="1">
        <v>0.0</v>
      </c>
      <c r="O172" s="1">
        <v>0.0</v>
      </c>
      <c r="P172" s="16">
        <v>0.0</v>
      </c>
      <c r="Q172" s="16" t="s">
        <v>630</v>
      </c>
      <c r="R172" s="1" t="s">
        <v>140</v>
      </c>
    </row>
    <row r="173">
      <c r="A173" s="3">
        <v>38444.0</v>
      </c>
      <c r="B173" s="5" t="s">
        <v>58</v>
      </c>
      <c r="C173" s="2">
        <v>39.0</v>
      </c>
      <c r="D173" s="8" t="s">
        <v>631</v>
      </c>
      <c r="E173" s="1">
        <f>IFERROR(__xludf.DUMMYFUNCTION("IF(D173="""", 0, COUNTA(SPLIT(D173, "" "")))"),5.0)</f>
        <v>5</v>
      </c>
      <c r="F173" s="8" t="s">
        <v>632</v>
      </c>
      <c r="G173" s="12">
        <v>13441.0</v>
      </c>
      <c r="H173" s="13">
        <f t="shared" si="1"/>
        <v>68.45448323</v>
      </c>
      <c r="I173" s="9">
        <f t="shared" si="2"/>
        <v>10.34907598</v>
      </c>
      <c r="J173" s="14" t="s">
        <v>42</v>
      </c>
      <c r="K173" s="15">
        <v>34664.0</v>
      </c>
      <c r="L173" s="16" t="s">
        <v>138</v>
      </c>
      <c r="M173" s="8" t="s">
        <v>633</v>
      </c>
      <c r="N173" s="1">
        <v>0.0</v>
      </c>
      <c r="O173" s="1">
        <v>0.0</v>
      </c>
      <c r="P173" s="16">
        <v>0.0</v>
      </c>
      <c r="Q173" s="16" t="s">
        <v>163</v>
      </c>
      <c r="R173" s="1" t="s">
        <v>140</v>
      </c>
    </row>
    <row r="174">
      <c r="A174" s="3">
        <v>38444.0</v>
      </c>
      <c r="B174" s="5" t="s">
        <v>58</v>
      </c>
      <c r="C174" s="2">
        <v>40.0</v>
      </c>
      <c r="D174" s="8" t="s">
        <v>634</v>
      </c>
      <c r="E174" s="1">
        <f>IFERROR(__xludf.DUMMYFUNCTION("IF(D174="""", 0, COUNTA(SPLIT(D174, "" "")))"),2.0)</f>
        <v>2</v>
      </c>
      <c r="F174" s="8" t="s">
        <v>635</v>
      </c>
      <c r="G174" s="12">
        <v>9846.0</v>
      </c>
      <c r="H174" s="13">
        <f t="shared" si="1"/>
        <v>78.29705681</v>
      </c>
      <c r="I174" s="9">
        <f t="shared" si="2"/>
        <v>10.34907598</v>
      </c>
      <c r="J174" s="14" t="s">
        <v>42</v>
      </c>
      <c r="K174" s="15">
        <v>34664.0</v>
      </c>
      <c r="L174" s="16" t="s">
        <v>138</v>
      </c>
      <c r="M174" s="8" t="s">
        <v>636</v>
      </c>
      <c r="N174" s="1">
        <v>0.0</v>
      </c>
      <c r="O174" s="1">
        <v>0.0</v>
      </c>
      <c r="P174" s="16">
        <v>0.0</v>
      </c>
      <c r="Q174" s="16" t="s">
        <v>637</v>
      </c>
      <c r="R174" s="1" t="s">
        <v>140</v>
      </c>
    </row>
    <row r="175">
      <c r="A175" s="3">
        <v>38444.0</v>
      </c>
      <c r="B175" s="5" t="s">
        <v>58</v>
      </c>
      <c r="C175" s="2">
        <v>41.0</v>
      </c>
      <c r="D175" s="8" t="s">
        <v>638</v>
      </c>
      <c r="E175" s="1">
        <f>IFERROR(__xludf.DUMMYFUNCTION("IF(D175="""", 0, COUNTA(SPLIT(D175, "" "")))"),3.0)</f>
        <v>3</v>
      </c>
      <c r="F175" s="8" t="s">
        <v>639</v>
      </c>
      <c r="G175" s="12">
        <v>11386.0</v>
      </c>
      <c r="H175" s="13">
        <f t="shared" si="1"/>
        <v>74.0807666</v>
      </c>
      <c r="I175" s="9">
        <f t="shared" si="2"/>
        <v>10.34907598</v>
      </c>
      <c r="J175" s="14" t="s">
        <v>42</v>
      </c>
      <c r="K175" s="15">
        <v>34664.0</v>
      </c>
      <c r="L175" s="16" t="s">
        <v>138</v>
      </c>
      <c r="M175" s="8" t="s">
        <v>640</v>
      </c>
      <c r="N175" s="1">
        <v>0.0</v>
      </c>
      <c r="O175" s="1">
        <v>0.0</v>
      </c>
      <c r="P175" s="16">
        <v>0.0</v>
      </c>
      <c r="Q175" s="16" t="s">
        <v>167</v>
      </c>
      <c r="R175" s="1" t="s">
        <v>140</v>
      </c>
    </row>
    <row r="176">
      <c r="A176" s="3">
        <v>38444.0</v>
      </c>
      <c r="B176" s="5" t="s">
        <v>58</v>
      </c>
      <c r="C176" s="2">
        <v>42.0</v>
      </c>
      <c r="D176" s="8" t="s">
        <v>641</v>
      </c>
      <c r="E176" s="1">
        <f>IFERROR(__xludf.DUMMYFUNCTION("IF(D176="""", 0, COUNTA(SPLIT(D176, "" "")))"),2.0)</f>
        <v>2</v>
      </c>
      <c r="F176" s="8" t="s">
        <v>642</v>
      </c>
      <c r="G176" s="12">
        <v>13327.0</v>
      </c>
      <c r="H176" s="13">
        <f t="shared" si="1"/>
        <v>68.76659822</v>
      </c>
      <c r="I176" s="9">
        <f t="shared" si="2"/>
        <v>10.34907598</v>
      </c>
      <c r="J176" s="14" t="s">
        <v>42</v>
      </c>
      <c r="K176" s="15">
        <v>34664.0</v>
      </c>
      <c r="L176" s="16" t="s">
        <v>138</v>
      </c>
      <c r="M176" s="8" t="s">
        <v>643</v>
      </c>
      <c r="N176" s="1">
        <v>0.0</v>
      </c>
      <c r="O176" s="1">
        <v>0.0</v>
      </c>
      <c r="P176" s="16">
        <v>0.0</v>
      </c>
      <c r="Q176" s="16" t="s">
        <v>174</v>
      </c>
      <c r="R176" s="1" t="s">
        <v>140</v>
      </c>
    </row>
    <row r="177">
      <c r="A177" s="3">
        <v>38444.0</v>
      </c>
      <c r="B177" s="5" t="s">
        <v>58</v>
      </c>
      <c r="C177" s="2">
        <v>43.0</v>
      </c>
      <c r="D177" s="8" t="s">
        <v>644</v>
      </c>
      <c r="E177" s="1">
        <f>IFERROR(__xludf.DUMMYFUNCTION("IF(D177="""", 0, COUNTA(SPLIT(D177, "" "")))"),4.0)</f>
        <v>4</v>
      </c>
      <c r="F177" s="8" t="s">
        <v>645</v>
      </c>
      <c r="G177" s="12">
        <v>9764.0</v>
      </c>
      <c r="H177" s="13">
        <f t="shared" si="1"/>
        <v>78.52156057</v>
      </c>
      <c r="I177" s="9">
        <f t="shared" si="2"/>
        <v>10.34907598</v>
      </c>
      <c r="J177" s="14" t="s">
        <v>42</v>
      </c>
      <c r="K177" s="15">
        <v>34664.0</v>
      </c>
      <c r="L177" s="16" t="s">
        <v>138</v>
      </c>
      <c r="M177" s="8" t="s">
        <v>646</v>
      </c>
      <c r="N177" s="1">
        <v>0.0</v>
      </c>
      <c r="O177" s="1">
        <v>0.0</v>
      </c>
      <c r="P177" s="16">
        <v>0.0</v>
      </c>
      <c r="Q177" s="16" t="s">
        <v>163</v>
      </c>
      <c r="R177" s="1" t="s">
        <v>140</v>
      </c>
    </row>
    <row r="178">
      <c r="A178" s="3">
        <v>38444.0</v>
      </c>
      <c r="B178" s="5" t="s">
        <v>58</v>
      </c>
      <c r="C178" s="2">
        <v>44.0</v>
      </c>
      <c r="D178" s="8" t="s">
        <v>647</v>
      </c>
      <c r="E178" s="1">
        <f>IFERROR(__xludf.DUMMYFUNCTION("IF(D178="""", 0, COUNTA(SPLIT(D178, "" "")))"),3.0)</f>
        <v>3</v>
      </c>
      <c r="F178" s="8" t="s">
        <v>648</v>
      </c>
      <c r="G178" s="12">
        <v>11035.0</v>
      </c>
      <c r="H178" s="13">
        <f t="shared" si="1"/>
        <v>75.04175222</v>
      </c>
      <c r="I178" s="9">
        <f t="shared" si="2"/>
        <v>10.34907598</v>
      </c>
      <c r="J178" s="14" t="s">
        <v>42</v>
      </c>
      <c r="K178" s="15">
        <v>34664.0</v>
      </c>
      <c r="L178" s="16" t="s">
        <v>138</v>
      </c>
      <c r="M178" s="8" t="s">
        <v>649</v>
      </c>
      <c r="N178" s="1">
        <v>0.0</v>
      </c>
      <c r="O178" s="1">
        <v>0.0</v>
      </c>
      <c r="P178" s="16">
        <v>0.0</v>
      </c>
      <c r="Q178" s="16" t="s">
        <v>167</v>
      </c>
      <c r="R178" s="1" t="s">
        <v>140</v>
      </c>
    </row>
    <row r="179">
      <c r="A179" s="3">
        <v>38444.0</v>
      </c>
      <c r="B179" s="5" t="s">
        <v>58</v>
      </c>
      <c r="C179" s="2">
        <v>45.0</v>
      </c>
      <c r="D179" s="8" t="s">
        <v>650</v>
      </c>
      <c r="E179" s="1">
        <f>IFERROR(__xludf.DUMMYFUNCTION("IF(D179="""", 0, COUNTA(SPLIT(D179, "" "")))"),2.0)</f>
        <v>2</v>
      </c>
      <c r="F179" s="8" t="s">
        <v>651</v>
      </c>
      <c r="G179" s="12">
        <v>16688.0</v>
      </c>
      <c r="H179" s="13">
        <f t="shared" si="1"/>
        <v>59.56468172</v>
      </c>
      <c r="I179" s="9">
        <f t="shared" si="2"/>
        <v>10.34907598</v>
      </c>
      <c r="J179" s="14" t="s">
        <v>42</v>
      </c>
      <c r="K179" s="15">
        <v>34664.0</v>
      </c>
      <c r="L179" s="16" t="s">
        <v>138</v>
      </c>
      <c r="M179" s="8" t="s">
        <v>652</v>
      </c>
      <c r="N179" s="1">
        <v>0.0</v>
      </c>
      <c r="O179" s="1">
        <v>0.0</v>
      </c>
      <c r="P179" s="16">
        <v>0.0</v>
      </c>
      <c r="Q179" s="16" t="s">
        <v>178</v>
      </c>
      <c r="R179" s="1" t="s">
        <v>140</v>
      </c>
    </row>
    <row r="180">
      <c r="A180" s="3">
        <v>38444.0</v>
      </c>
      <c r="B180" s="5" t="s">
        <v>58</v>
      </c>
      <c r="C180" s="2">
        <v>46.0</v>
      </c>
      <c r="D180" s="8" t="s">
        <v>653</v>
      </c>
      <c r="E180" s="1">
        <f>IFERROR(__xludf.DUMMYFUNCTION("IF(D180="""", 0, COUNTA(SPLIT(D180, "" "")))"),3.0)</f>
        <v>3</v>
      </c>
      <c r="F180" s="8" t="s">
        <v>654</v>
      </c>
      <c r="G180" s="12">
        <v>9351.0</v>
      </c>
      <c r="H180" s="13">
        <f t="shared" si="1"/>
        <v>79.65229295</v>
      </c>
      <c r="I180" s="9">
        <f t="shared" si="2"/>
        <v>10.34907598</v>
      </c>
      <c r="J180" s="14" t="s">
        <v>42</v>
      </c>
      <c r="K180" s="15">
        <v>34664.0</v>
      </c>
      <c r="L180" s="16" t="s">
        <v>138</v>
      </c>
      <c r="M180" s="8" t="s">
        <v>655</v>
      </c>
      <c r="N180" s="1">
        <v>0.0</v>
      </c>
      <c r="O180" s="1">
        <v>0.0</v>
      </c>
      <c r="P180" s="16">
        <v>0.0</v>
      </c>
      <c r="Q180" s="16" t="s">
        <v>656</v>
      </c>
      <c r="R180" s="1" t="s">
        <v>140</v>
      </c>
    </row>
    <row r="181">
      <c r="A181" s="3">
        <v>38444.0</v>
      </c>
      <c r="B181" s="5" t="s">
        <v>58</v>
      </c>
      <c r="C181" s="2">
        <v>47.0</v>
      </c>
      <c r="D181" s="8" t="s">
        <v>657</v>
      </c>
      <c r="E181" s="1">
        <f>IFERROR(__xludf.DUMMYFUNCTION("IF(D181="""", 0, COUNTA(SPLIT(D181, "" "")))"),3.0)</f>
        <v>3</v>
      </c>
      <c r="F181" s="8" t="s">
        <v>658</v>
      </c>
      <c r="G181" s="12">
        <v>12141.0</v>
      </c>
      <c r="H181" s="13">
        <f t="shared" si="1"/>
        <v>72.01368925</v>
      </c>
      <c r="I181" s="9">
        <f t="shared" si="2"/>
        <v>10.34907598</v>
      </c>
      <c r="J181" s="14" t="s">
        <v>42</v>
      </c>
      <c r="K181" s="15">
        <v>34664.0</v>
      </c>
      <c r="L181" s="16" t="s">
        <v>138</v>
      </c>
      <c r="M181" s="8" t="s">
        <v>659</v>
      </c>
      <c r="N181" s="1">
        <v>0.0</v>
      </c>
      <c r="O181" s="1">
        <v>0.0</v>
      </c>
      <c r="P181" s="16">
        <v>0.0</v>
      </c>
      <c r="Q181" s="16" t="s">
        <v>163</v>
      </c>
      <c r="R181" s="1" t="s">
        <v>140</v>
      </c>
    </row>
    <row r="182">
      <c r="A182" s="3">
        <v>38444.0</v>
      </c>
      <c r="B182" s="5" t="s">
        <v>58</v>
      </c>
      <c r="C182" s="2">
        <v>48.0</v>
      </c>
      <c r="D182" s="8" t="s">
        <v>660</v>
      </c>
      <c r="E182" s="1">
        <f>IFERROR(__xludf.DUMMYFUNCTION("IF(D182="""", 0, COUNTA(SPLIT(D182, "" "")))"),3.0)</f>
        <v>3</v>
      </c>
      <c r="F182" s="8" t="s">
        <v>661</v>
      </c>
      <c r="G182" s="12">
        <v>11207.0</v>
      </c>
      <c r="H182" s="13">
        <f t="shared" si="1"/>
        <v>74.57084189</v>
      </c>
      <c r="I182" s="9">
        <f t="shared" si="2"/>
        <v>7.110198494</v>
      </c>
      <c r="J182" s="14" t="s">
        <v>42</v>
      </c>
      <c r="K182" s="15">
        <v>35847.0</v>
      </c>
      <c r="L182" s="16" t="s">
        <v>138</v>
      </c>
      <c r="M182" s="8" t="s">
        <v>662</v>
      </c>
      <c r="N182" s="1">
        <v>0.0</v>
      </c>
      <c r="O182" s="1">
        <v>0.0</v>
      </c>
      <c r="P182" s="16">
        <v>0.0</v>
      </c>
      <c r="Q182" s="16" t="s">
        <v>27</v>
      </c>
      <c r="R182" s="1" t="s">
        <v>140</v>
      </c>
    </row>
    <row r="183">
      <c r="A183" s="3">
        <v>38444.0</v>
      </c>
      <c r="B183" s="5" t="s">
        <v>58</v>
      </c>
      <c r="C183" s="2">
        <v>49.0</v>
      </c>
      <c r="D183" s="8" t="s">
        <v>663</v>
      </c>
      <c r="E183" s="1">
        <f>IFERROR(__xludf.DUMMYFUNCTION("IF(D183="""", 0, COUNTA(SPLIT(D183, "" "")))"),4.0)</f>
        <v>4</v>
      </c>
      <c r="F183" s="8" t="s">
        <v>664</v>
      </c>
      <c r="G183" s="12">
        <v>13382.0</v>
      </c>
      <c r="H183" s="13">
        <f t="shared" si="1"/>
        <v>68.61601643</v>
      </c>
      <c r="I183" s="9">
        <f t="shared" si="2"/>
        <v>7.110198494</v>
      </c>
      <c r="J183" s="14" t="s">
        <v>42</v>
      </c>
      <c r="K183" s="15">
        <v>35847.0</v>
      </c>
      <c r="L183" s="16" t="s">
        <v>138</v>
      </c>
      <c r="M183" s="8" t="s">
        <v>665</v>
      </c>
      <c r="N183" s="1">
        <v>0.0</v>
      </c>
      <c r="O183" s="1">
        <v>0.0</v>
      </c>
      <c r="P183" s="16">
        <v>0.0</v>
      </c>
      <c r="Q183" s="16" t="s">
        <v>163</v>
      </c>
      <c r="R183" s="1" t="s">
        <v>140</v>
      </c>
    </row>
    <row r="184">
      <c r="A184" s="3">
        <v>38444.0</v>
      </c>
      <c r="B184" s="5" t="s">
        <v>58</v>
      </c>
      <c r="C184" s="2">
        <v>50.0</v>
      </c>
      <c r="D184" s="8" t="s">
        <v>666</v>
      </c>
      <c r="E184" s="1">
        <f>IFERROR(__xludf.DUMMYFUNCTION("IF(D184="""", 0, COUNTA(SPLIT(D184, "" "")))"),3.0)</f>
        <v>3</v>
      </c>
      <c r="F184" s="8" t="s">
        <v>667</v>
      </c>
      <c r="G184" s="12">
        <v>10985.0</v>
      </c>
      <c r="H184" s="13">
        <f t="shared" si="1"/>
        <v>75.17864476</v>
      </c>
      <c r="I184" s="9">
        <f t="shared" si="2"/>
        <v>7.110198494</v>
      </c>
      <c r="J184" s="14" t="s">
        <v>42</v>
      </c>
      <c r="K184" s="15">
        <v>35847.0</v>
      </c>
      <c r="L184" s="16" t="s">
        <v>138</v>
      </c>
      <c r="M184" s="8" t="s">
        <v>668</v>
      </c>
      <c r="N184" s="1">
        <v>0.0</v>
      </c>
      <c r="O184" s="1">
        <v>0.0</v>
      </c>
      <c r="P184" s="16">
        <v>0.0</v>
      </c>
      <c r="Q184" s="16" t="s">
        <v>669</v>
      </c>
      <c r="R184" s="1" t="s">
        <v>140</v>
      </c>
    </row>
    <row r="185">
      <c r="A185" s="3">
        <v>38444.0</v>
      </c>
      <c r="B185" s="5" t="s">
        <v>58</v>
      </c>
      <c r="C185" s="2">
        <v>51.0</v>
      </c>
      <c r="D185" s="8" t="s">
        <v>670</v>
      </c>
      <c r="E185" s="1">
        <f>IFERROR(__xludf.DUMMYFUNCTION("IF(D185="""", 0, COUNTA(SPLIT(D185, "" "")))"),2.0)</f>
        <v>2</v>
      </c>
      <c r="F185" s="8" t="s">
        <v>671</v>
      </c>
      <c r="G185" s="12">
        <v>12492.0</v>
      </c>
      <c r="H185" s="13">
        <f t="shared" si="1"/>
        <v>71.05270363</v>
      </c>
      <c r="I185" s="9">
        <f t="shared" si="2"/>
        <v>7.110198494</v>
      </c>
      <c r="J185" s="14" t="s">
        <v>42</v>
      </c>
      <c r="K185" s="15">
        <v>35847.0</v>
      </c>
      <c r="L185" s="16" t="s">
        <v>138</v>
      </c>
      <c r="M185" s="8" t="s">
        <v>672</v>
      </c>
      <c r="N185" s="1">
        <v>0.0</v>
      </c>
      <c r="O185" s="1">
        <v>0.0</v>
      </c>
      <c r="P185" s="16">
        <v>0.0</v>
      </c>
      <c r="Q185" s="16" t="s">
        <v>27</v>
      </c>
      <c r="R185" s="1" t="s">
        <v>140</v>
      </c>
    </row>
    <row r="186">
      <c r="A186" s="3">
        <v>38444.0</v>
      </c>
      <c r="B186" s="5" t="s">
        <v>58</v>
      </c>
      <c r="C186" s="2">
        <v>52.0</v>
      </c>
      <c r="D186" s="8" t="s">
        <v>673</v>
      </c>
      <c r="E186" s="1">
        <f>IFERROR(__xludf.DUMMYFUNCTION("IF(D186="""", 0, COUNTA(SPLIT(D186, "" "")))"),2.0)</f>
        <v>2</v>
      </c>
      <c r="F186" s="8" t="s">
        <v>674</v>
      </c>
      <c r="G186" s="12">
        <v>16289.0</v>
      </c>
      <c r="H186" s="13">
        <f t="shared" si="1"/>
        <v>60.65708419</v>
      </c>
      <c r="I186" s="9">
        <f t="shared" si="2"/>
        <v>7.110198494</v>
      </c>
      <c r="J186" s="14" t="s">
        <v>42</v>
      </c>
      <c r="K186" s="15">
        <v>35847.0</v>
      </c>
      <c r="L186" s="16" t="s">
        <v>138</v>
      </c>
      <c r="M186" s="8" t="s">
        <v>675</v>
      </c>
      <c r="N186" s="1">
        <v>0.0</v>
      </c>
      <c r="O186" s="1">
        <v>0.0</v>
      </c>
      <c r="P186" s="16">
        <v>0.0</v>
      </c>
      <c r="Q186" s="16" t="s">
        <v>191</v>
      </c>
      <c r="R186" s="1" t="s">
        <v>140</v>
      </c>
    </row>
    <row r="187">
      <c r="A187" s="3">
        <v>38444.0</v>
      </c>
      <c r="B187" s="5" t="s">
        <v>58</v>
      </c>
      <c r="C187" s="2">
        <v>53.0</v>
      </c>
      <c r="D187" s="17" t="s">
        <v>676</v>
      </c>
      <c r="E187" s="1">
        <f>IFERROR(__xludf.DUMMYFUNCTION("IF(D187="""", 0, COUNTA(SPLIT(D187, "" "")))"),2.0)</f>
        <v>2</v>
      </c>
      <c r="F187" s="8" t="s">
        <v>677</v>
      </c>
      <c r="G187" s="12">
        <v>16459.0</v>
      </c>
      <c r="H187" s="13">
        <f t="shared" si="1"/>
        <v>60.19164956</v>
      </c>
      <c r="I187" s="9">
        <f t="shared" si="2"/>
        <v>7.110198494</v>
      </c>
      <c r="J187" s="14" t="s">
        <v>42</v>
      </c>
      <c r="K187" s="15">
        <v>35847.0</v>
      </c>
      <c r="L187" s="16" t="s">
        <v>138</v>
      </c>
      <c r="M187" s="8" t="s">
        <v>678</v>
      </c>
      <c r="N187" s="1">
        <v>0.0</v>
      </c>
      <c r="O187" s="1">
        <v>0.0</v>
      </c>
      <c r="P187" s="16">
        <v>0.0</v>
      </c>
      <c r="Q187" s="16" t="s">
        <v>159</v>
      </c>
      <c r="R187" s="1" t="s">
        <v>140</v>
      </c>
    </row>
    <row r="188">
      <c r="A188" s="3">
        <v>38444.0</v>
      </c>
      <c r="B188" s="5" t="s">
        <v>58</v>
      </c>
      <c r="C188" s="2">
        <v>54.0</v>
      </c>
      <c r="D188" s="8" t="s">
        <v>679</v>
      </c>
      <c r="E188" s="1">
        <f>IFERROR(__xludf.DUMMYFUNCTION("IF(D188="""", 0, COUNTA(SPLIT(D188, "" "")))"),3.0)</f>
        <v>3</v>
      </c>
      <c r="F188" s="8" t="s">
        <v>680</v>
      </c>
      <c r="G188" s="12">
        <v>15498.0</v>
      </c>
      <c r="H188" s="13">
        <f t="shared" si="1"/>
        <v>62.82272416</v>
      </c>
      <c r="I188" s="9">
        <f t="shared" si="2"/>
        <v>7.110198494</v>
      </c>
      <c r="J188" s="14" t="s">
        <v>42</v>
      </c>
      <c r="K188" s="15">
        <v>35847.0</v>
      </c>
      <c r="L188" s="16" t="s">
        <v>138</v>
      </c>
      <c r="M188" s="8" t="s">
        <v>681</v>
      </c>
      <c r="N188" s="1">
        <v>0.0</v>
      </c>
      <c r="O188" s="1">
        <v>0.0</v>
      </c>
      <c r="P188" s="16">
        <v>0.0</v>
      </c>
      <c r="Q188" s="16" t="s">
        <v>163</v>
      </c>
      <c r="R188" s="1" t="s">
        <v>140</v>
      </c>
    </row>
    <row r="189">
      <c r="A189" s="3">
        <v>38444.0</v>
      </c>
      <c r="B189" s="5" t="s">
        <v>58</v>
      </c>
      <c r="C189" s="2">
        <v>55.0</v>
      </c>
      <c r="D189" s="17" t="s">
        <v>682</v>
      </c>
      <c r="E189" s="1">
        <f>IFERROR(__xludf.DUMMYFUNCTION("IF(D189="""", 0, COUNTA(SPLIT(D189, "" "")))"),3.0)</f>
        <v>3</v>
      </c>
      <c r="F189" s="8" t="s">
        <v>683</v>
      </c>
      <c r="G189" s="12">
        <v>13531.0</v>
      </c>
      <c r="H189" s="13">
        <f t="shared" si="1"/>
        <v>68.20807666</v>
      </c>
      <c r="I189" s="9">
        <f t="shared" si="2"/>
        <v>7.110198494</v>
      </c>
      <c r="J189" s="14" t="s">
        <v>42</v>
      </c>
      <c r="K189" s="15">
        <v>35847.0</v>
      </c>
      <c r="L189" s="16" t="s">
        <v>138</v>
      </c>
      <c r="M189" s="8" t="s">
        <v>684</v>
      </c>
      <c r="N189" s="1">
        <v>0.0</v>
      </c>
      <c r="O189" s="1">
        <v>0.0</v>
      </c>
      <c r="P189" s="16">
        <v>0.0</v>
      </c>
      <c r="Q189" s="16" t="s">
        <v>167</v>
      </c>
      <c r="R189" s="1" t="s">
        <v>140</v>
      </c>
    </row>
    <row r="190">
      <c r="A190" s="3">
        <v>38444.0</v>
      </c>
      <c r="B190" s="5" t="s">
        <v>58</v>
      </c>
      <c r="C190" s="2">
        <v>56.0</v>
      </c>
      <c r="D190" s="8" t="s">
        <v>685</v>
      </c>
      <c r="E190" s="1">
        <f>IFERROR(__xludf.DUMMYFUNCTION("IF(D190="""", 0, COUNTA(SPLIT(D190, "" "")))"),2.0)</f>
        <v>2</v>
      </c>
      <c r="F190" s="8" t="s">
        <v>686</v>
      </c>
      <c r="G190" s="12">
        <v>9730.0</v>
      </c>
      <c r="H190" s="13">
        <f t="shared" si="1"/>
        <v>78.6146475</v>
      </c>
      <c r="I190" s="9">
        <f t="shared" si="2"/>
        <v>7.110198494</v>
      </c>
      <c r="J190" s="14" t="s">
        <v>42</v>
      </c>
      <c r="K190" s="15">
        <v>35847.0</v>
      </c>
      <c r="L190" s="16" t="s">
        <v>138</v>
      </c>
      <c r="M190" s="8" t="s">
        <v>687</v>
      </c>
      <c r="N190" s="1">
        <v>0.0</v>
      </c>
      <c r="O190" s="1">
        <v>0.0</v>
      </c>
      <c r="P190" s="16">
        <v>0.0</v>
      </c>
      <c r="Q190" s="16" t="s">
        <v>204</v>
      </c>
      <c r="R190" s="1" t="s">
        <v>140</v>
      </c>
    </row>
    <row r="191">
      <c r="A191" s="3">
        <v>38444.0</v>
      </c>
      <c r="B191" s="5" t="s">
        <v>58</v>
      </c>
      <c r="C191" s="2">
        <v>57.0</v>
      </c>
      <c r="D191" s="8" t="s">
        <v>688</v>
      </c>
      <c r="E191" s="1">
        <f>IFERROR(__xludf.DUMMYFUNCTION("IF(D191="""", 0, COUNTA(SPLIT(D191, "" "")))"),2.0)</f>
        <v>2</v>
      </c>
      <c r="F191" s="8" t="s">
        <v>689</v>
      </c>
      <c r="G191" s="12">
        <v>11276.0</v>
      </c>
      <c r="H191" s="13">
        <f t="shared" si="1"/>
        <v>74.38193018</v>
      </c>
      <c r="I191" s="9">
        <f t="shared" si="2"/>
        <v>7.110198494</v>
      </c>
      <c r="J191" s="14" t="s">
        <v>42</v>
      </c>
      <c r="K191" s="15">
        <v>35847.0</v>
      </c>
      <c r="L191" s="16" t="s">
        <v>138</v>
      </c>
      <c r="M191" s="8" t="s">
        <v>690</v>
      </c>
      <c r="N191" s="1">
        <v>0.0</v>
      </c>
      <c r="O191" s="1">
        <v>0.0</v>
      </c>
      <c r="P191" s="16">
        <v>0.0</v>
      </c>
      <c r="Q191" s="16" t="s">
        <v>691</v>
      </c>
      <c r="R191" s="1" t="s">
        <v>140</v>
      </c>
    </row>
    <row r="192">
      <c r="A192" s="3">
        <v>38444.0</v>
      </c>
      <c r="B192" s="5" t="s">
        <v>58</v>
      </c>
      <c r="C192" s="2">
        <v>58.0</v>
      </c>
      <c r="D192" s="8" t="s">
        <v>692</v>
      </c>
      <c r="E192" s="1">
        <f>IFERROR(__xludf.DUMMYFUNCTION("IF(D192="""", 0, COUNTA(SPLIT(D192, "" "")))"),2.0)</f>
        <v>2</v>
      </c>
      <c r="F192" s="8" t="s">
        <v>693</v>
      </c>
      <c r="G192" s="12">
        <v>13254.0</v>
      </c>
      <c r="H192" s="13">
        <f t="shared" si="1"/>
        <v>68.96646133</v>
      </c>
      <c r="I192" s="9">
        <f t="shared" si="2"/>
        <v>4.109514031</v>
      </c>
      <c r="J192" s="14" t="s">
        <v>42</v>
      </c>
      <c r="K192" s="15">
        <v>36943.0</v>
      </c>
      <c r="L192" s="16" t="s">
        <v>138</v>
      </c>
      <c r="M192" s="8" t="s">
        <v>694</v>
      </c>
      <c r="N192" s="1">
        <v>0.0</v>
      </c>
      <c r="O192" s="1">
        <v>0.0</v>
      </c>
      <c r="P192" s="16">
        <v>0.0</v>
      </c>
      <c r="Q192" s="16" t="s">
        <v>214</v>
      </c>
      <c r="R192" s="1" t="s">
        <v>140</v>
      </c>
    </row>
    <row r="193">
      <c r="A193" s="3">
        <v>38444.0</v>
      </c>
      <c r="B193" s="5" t="s">
        <v>58</v>
      </c>
      <c r="C193" s="2">
        <v>59.0</v>
      </c>
      <c r="D193" s="8" t="s">
        <v>695</v>
      </c>
      <c r="E193" s="1">
        <f>IFERROR(__xludf.DUMMYFUNCTION("IF(D193="""", 0, COUNTA(SPLIT(D193, "" "")))"),3.0)</f>
        <v>3</v>
      </c>
      <c r="F193" s="8" t="s">
        <v>696</v>
      </c>
      <c r="G193" s="12">
        <v>12346.0</v>
      </c>
      <c r="H193" s="13">
        <f t="shared" si="1"/>
        <v>71.45242984</v>
      </c>
      <c r="I193" s="9">
        <f t="shared" si="2"/>
        <v>4.109514031</v>
      </c>
      <c r="J193" s="14" t="s">
        <v>42</v>
      </c>
      <c r="K193" s="15">
        <v>36943.0</v>
      </c>
      <c r="L193" s="16" t="s">
        <v>138</v>
      </c>
      <c r="M193" s="8" t="s">
        <v>697</v>
      </c>
      <c r="N193" s="1">
        <v>0.0</v>
      </c>
      <c r="O193" s="1">
        <v>0.0</v>
      </c>
      <c r="P193" s="16">
        <v>0.0</v>
      </c>
      <c r="Q193" s="16" t="s">
        <v>218</v>
      </c>
      <c r="R193" s="1" t="s">
        <v>140</v>
      </c>
    </row>
    <row r="194">
      <c r="A194" s="3">
        <v>38444.0</v>
      </c>
      <c r="B194" s="5" t="s">
        <v>58</v>
      </c>
      <c r="C194" s="2">
        <v>60.0</v>
      </c>
      <c r="D194" s="8" t="s">
        <v>698</v>
      </c>
      <c r="E194" s="1">
        <f>IFERROR(__xludf.DUMMYFUNCTION("IF(D194="""", 0, COUNTA(SPLIT(D194, "" "")))"),3.0)</f>
        <v>3</v>
      </c>
      <c r="F194" s="8" t="s">
        <v>699</v>
      </c>
      <c r="G194" s="12">
        <v>11945.0</v>
      </c>
      <c r="H194" s="13">
        <f t="shared" si="1"/>
        <v>72.55030801</v>
      </c>
      <c r="I194" s="9">
        <f t="shared" si="2"/>
        <v>4.109514031</v>
      </c>
      <c r="J194" s="14" t="s">
        <v>42</v>
      </c>
      <c r="K194" s="15">
        <v>36943.0</v>
      </c>
      <c r="L194" s="16" t="s">
        <v>138</v>
      </c>
      <c r="M194" s="8" t="s">
        <v>700</v>
      </c>
      <c r="N194" s="1">
        <v>0.0</v>
      </c>
      <c r="O194" s="1">
        <v>0.0</v>
      </c>
      <c r="P194" s="16">
        <v>0.0</v>
      </c>
      <c r="Q194" s="16" t="s">
        <v>163</v>
      </c>
      <c r="R194" s="1" t="s">
        <v>140</v>
      </c>
    </row>
    <row r="195">
      <c r="A195" s="3">
        <v>38444.0</v>
      </c>
      <c r="B195" s="5" t="s">
        <v>58</v>
      </c>
      <c r="C195" s="2">
        <v>61.0</v>
      </c>
      <c r="D195" s="8" t="s">
        <v>701</v>
      </c>
      <c r="E195" s="1">
        <f>IFERROR(__xludf.DUMMYFUNCTION("IF(D195="""", 0, COUNTA(SPLIT(D195, "" "")))"),3.0)</f>
        <v>3</v>
      </c>
      <c r="F195" s="8" t="s">
        <v>702</v>
      </c>
      <c r="G195" s="12">
        <v>11146.0</v>
      </c>
      <c r="H195" s="13">
        <f t="shared" si="1"/>
        <v>74.73785079</v>
      </c>
      <c r="I195" s="9">
        <f t="shared" si="2"/>
        <v>4.109514031</v>
      </c>
      <c r="J195" s="14" t="s">
        <v>42</v>
      </c>
      <c r="K195" s="15">
        <v>36943.0</v>
      </c>
      <c r="L195" s="16" t="s">
        <v>138</v>
      </c>
      <c r="M195" s="8" t="s">
        <v>703</v>
      </c>
      <c r="N195" s="1">
        <v>0.0</v>
      </c>
      <c r="O195" s="1">
        <v>0.0</v>
      </c>
      <c r="P195" s="16">
        <v>0.0</v>
      </c>
      <c r="Q195" s="16" t="s">
        <v>167</v>
      </c>
      <c r="R195" s="1" t="s">
        <v>140</v>
      </c>
    </row>
    <row r="196">
      <c r="A196" s="3">
        <v>38444.0</v>
      </c>
      <c r="B196" s="5" t="s">
        <v>58</v>
      </c>
      <c r="C196" s="2">
        <v>62.0</v>
      </c>
      <c r="D196" s="8" t="s">
        <v>704</v>
      </c>
      <c r="E196" s="1">
        <f>IFERROR(__xludf.DUMMYFUNCTION("IF(D196="""", 0, COUNTA(SPLIT(D196, "" "")))"),2.0)</f>
        <v>2</v>
      </c>
      <c r="F196" s="8" t="s">
        <v>705</v>
      </c>
      <c r="G196" s="12">
        <v>9580.0</v>
      </c>
      <c r="H196" s="13">
        <f t="shared" si="1"/>
        <v>79.02532512</v>
      </c>
      <c r="I196" s="9">
        <f t="shared" si="2"/>
        <v>4.109514031</v>
      </c>
      <c r="J196" s="14" t="s">
        <v>42</v>
      </c>
      <c r="K196" s="15">
        <v>36943.0</v>
      </c>
      <c r="L196" s="16" t="s">
        <v>138</v>
      </c>
      <c r="M196" s="8" t="s">
        <v>706</v>
      </c>
      <c r="N196" s="1">
        <v>0.0</v>
      </c>
      <c r="O196" s="1">
        <v>0.0</v>
      </c>
      <c r="P196" s="16">
        <v>0.0</v>
      </c>
      <c r="Q196" s="16" t="s">
        <v>167</v>
      </c>
      <c r="R196" s="1" t="s">
        <v>140</v>
      </c>
    </row>
    <row r="197">
      <c r="A197" s="3">
        <v>38444.0</v>
      </c>
      <c r="B197" s="5" t="s">
        <v>58</v>
      </c>
      <c r="C197" s="2">
        <v>63.0</v>
      </c>
      <c r="D197" s="8" t="s">
        <v>707</v>
      </c>
      <c r="E197" s="1">
        <f>IFERROR(__xludf.DUMMYFUNCTION("IF(D197="""", 0, COUNTA(SPLIT(D197, "" "")))"),3.0)</f>
        <v>3</v>
      </c>
      <c r="F197" s="8" t="s">
        <v>708</v>
      </c>
      <c r="G197" s="12">
        <v>13547.0</v>
      </c>
      <c r="H197" s="13">
        <f t="shared" si="1"/>
        <v>68.16427105</v>
      </c>
      <c r="I197" s="9">
        <f t="shared" si="2"/>
        <v>4.109514031</v>
      </c>
      <c r="J197" s="14" t="s">
        <v>42</v>
      </c>
      <c r="K197" s="15">
        <v>36943.0</v>
      </c>
      <c r="L197" s="16" t="s">
        <v>138</v>
      </c>
      <c r="M197" s="8" t="s">
        <v>709</v>
      </c>
      <c r="N197" s="1">
        <v>0.0</v>
      </c>
      <c r="O197" s="1">
        <v>0.0</v>
      </c>
      <c r="P197" s="16">
        <v>0.0</v>
      </c>
      <c r="Q197" s="16" t="s">
        <v>222</v>
      </c>
      <c r="R197" s="1" t="s">
        <v>140</v>
      </c>
    </row>
    <row r="198">
      <c r="A198" s="3">
        <v>38444.0</v>
      </c>
      <c r="B198" s="5" t="s">
        <v>58</v>
      </c>
      <c r="C198" s="2">
        <v>64.0</v>
      </c>
      <c r="D198" s="17" t="s">
        <v>710</v>
      </c>
      <c r="E198" s="1">
        <f>IFERROR(__xludf.DUMMYFUNCTION("IF(D198="""", 0, COUNTA(SPLIT(D198, "" "")))"),4.0)</f>
        <v>4</v>
      </c>
      <c r="F198" s="8" t="s">
        <v>711</v>
      </c>
      <c r="G198" s="12">
        <v>12302.0</v>
      </c>
      <c r="H198" s="13">
        <f t="shared" si="1"/>
        <v>71.57289528</v>
      </c>
      <c r="I198" s="9">
        <f t="shared" si="2"/>
        <v>4.109514031</v>
      </c>
      <c r="J198" s="14" t="s">
        <v>42</v>
      </c>
      <c r="K198" s="15">
        <v>36943.0</v>
      </c>
      <c r="L198" s="16" t="s">
        <v>138</v>
      </c>
      <c r="M198" s="8" t="s">
        <v>712</v>
      </c>
      <c r="N198" s="1">
        <v>0.0</v>
      </c>
      <c r="O198" s="1">
        <v>0.0</v>
      </c>
      <c r="P198" s="16">
        <v>0.0</v>
      </c>
      <c r="Q198" s="16" t="s">
        <v>163</v>
      </c>
      <c r="R198" s="1" t="s">
        <v>140</v>
      </c>
    </row>
    <row r="199">
      <c r="A199" s="3">
        <v>38444.0</v>
      </c>
      <c r="B199" s="5" t="s">
        <v>58</v>
      </c>
      <c r="C199" s="2">
        <v>65.0</v>
      </c>
      <c r="D199" s="17" t="s">
        <v>713</v>
      </c>
      <c r="E199" s="1">
        <f>IFERROR(__xludf.DUMMYFUNCTION("IF(D199="""", 0, COUNTA(SPLIT(D199, "" "")))"),3.0)</f>
        <v>3</v>
      </c>
      <c r="F199" s="8" t="s">
        <v>714</v>
      </c>
      <c r="G199" s="12">
        <v>13216.0</v>
      </c>
      <c r="H199" s="13">
        <f t="shared" si="1"/>
        <v>69.07049966</v>
      </c>
      <c r="I199" s="9">
        <f t="shared" si="2"/>
        <v>4.109514031</v>
      </c>
      <c r="J199" s="14" t="s">
        <v>42</v>
      </c>
      <c r="K199" s="15">
        <v>36943.0</v>
      </c>
      <c r="L199" s="16" t="s">
        <v>138</v>
      </c>
      <c r="M199" s="8" t="s">
        <v>715</v>
      </c>
      <c r="N199" s="1">
        <v>0.0</v>
      </c>
      <c r="O199" s="1">
        <v>0.0</v>
      </c>
      <c r="P199" s="16">
        <v>0.0</v>
      </c>
      <c r="Q199" s="16" t="s">
        <v>163</v>
      </c>
      <c r="R199" s="1" t="s">
        <v>140</v>
      </c>
    </row>
    <row r="200">
      <c r="A200" s="3">
        <v>38444.0</v>
      </c>
      <c r="B200" s="5" t="s">
        <v>58</v>
      </c>
      <c r="C200" s="2">
        <v>66.0</v>
      </c>
      <c r="D200" s="17" t="s">
        <v>716</v>
      </c>
      <c r="E200" s="1">
        <f>IFERROR(__xludf.DUMMYFUNCTION("IF(D200="""", 0, COUNTA(SPLIT(D200, "" "")))"),3.0)</f>
        <v>3</v>
      </c>
      <c r="F200" s="8" t="s">
        <v>717</v>
      </c>
      <c r="G200" s="12">
        <v>15043.0</v>
      </c>
      <c r="H200" s="13">
        <f t="shared" si="1"/>
        <v>64.06844627</v>
      </c>
      <c r="I200" s="9">
        <f t="shared" si="2"/>
        <v>4.109514031</v>
      </c>
      <c r="J200" s="14" t="s">
        <v>42</v>
      </c>
      <c r="K200" s="15">
        <v>36943.0</v>
      </c>
      <c r="L200" s="16" t="s">
        <v>138</v>
      </c>
      <c r="M200" s="8" t="s">
        <v>718</v>
      </c>
      <c r="N200" s="1">
        <v>0.0</v>
      </c>
      <c r="O200" s="1">
        <v>0.0</v>
      </c>
      <c r="P200" s="16">
        <v>0.0</v>
      </c>
      <c r="Q200" s="16" t="s">
        <v>167</v>
      </c>
      <c r="R200" s="1" t="s">
        <v>140</v>
      </c>
    </row>
    <row r="201">
      <c r="A201" s="3">
        <v>38444.0</v>
      </c>
      <c r="B201" s="5" t="s">
        <v>58</v>
      </c>
      <c r="C201" s="2">
        <v>67.0</v>
      </c>
      <c r="D201" s="17" t="s">
        <v>719</v>
      </c>
      <c r="E201" s="1">
        <f>IFERROR(__xludf.DUMMYFUNCTION("IF(D201="""", 0, COUNTA(SPLIT(D201, "" "")))"),4.0)</f>
        <v>4</v>
      </c>
      <c r="F201" s="8" t="s">
        <v>720</v>
      </c>
      <c r="G201" s="12">
        <v>15704.0</v>
      </c>
      <c r="H201" s="13">
        <f t="shared" si="1"/>
        <v>62.2587269</v>
      </c>
      <c r="I201" s="9">
        <f t="shared" si="2"/>
        <v>4.109514031</v>
      </c>
      <c r="J201" s="14" t="s">
        <v>42</v>
      </c>
      <c r="K201" s="15">
        <v>36943.0</v>
      </c>
      <c r="L201" s="16" t="s">
        <v>138</v>
      </c>
      <c r="M201" s="8" t="s">
        <v>721</v>
      </c>
      <c r="N201" s="1">
        <v>0.0</v>
      </c>
      <c r="O201" s="1">
        <v>0.0</v>
      </c>
      <c r="P201" s="16">
        <v>0.0</v>
      </c>
      <c r="Q201" s="16" t="s">
        <v>163</v>
      </c>
      <c r="R201" s="1" t="s">
        <v>140</v>
      </c>
    </row>
    <row r="202">
      <c r="A202" s="3">
        <v>38444.0</v>
      </c>
      <c r="B202" s="5" t="s">
        <v>58</v>
      </c>
      <c r="C202" s="2">
        <v>68.0</v>
      </c>
      <c r="D202" s="8" t="s">
        <v>722</v>
      </c>
      <c r="E202" s="1">
        <f>IFERROR(__xludf.DUMMYFUNCTION("IF(D202="""", 0, COUNTA(SPLIT(D202, "" "")))"),2.0)</f>
        <v>2</v>
      </c>
      <c r="F202" s="8" t="s">
        <v>723</v>
      </c>
      <c r="G202" s="12">
        <v>9558.0</v>
      </c>
      <c r="H202" s="13">
        <f t="shared" si="1"/>
        <v>79.08555784</v>
      </c>
      <c r="I202" s="9">
        <f t="shared" si="2"/>
        <v>4.109514031</v>
      </c>
      <c r="J202" s="14" t="s">
        <v>42</v>
      </c>
      <c r="K202" s="15">
        <v>36943.0</v>
      </c>
      <c r="L202" s="16" t="s">
        <v>138</v>
      </c>
      <c r="M202" s="8" t="s">
        <v>724</v>
      </c>
      <c r="N202" s="1">
        <v>0.0</v>
      </c>
      <c r="O202" s="1">
        <v>0.0</v>
      </c>
      <c r="P202" s="16">
        <v>0.0</v>
      </c>
      <c r="Q202" s="16" t="s">
        <v>174</v>
      </c>
      <c r="R202" s="1" t="s">
        <v>140</v>
      </c>
    </row>
    <row r="203">
      <c r="A203" s="3">
        <v>38444.0</v>
      </c>
      <c r="B203" s="5" t="s">
        <v>58</v>
      </c>
      <c r="C203" s="2">
        <v>69.0</v>
      </c>
      <c r="D203" s="8" t="s">
        <v>725</v>
      </c>
      <c r="E203" s="1">
        <f>IFERROR(__xludf.DUMMYFUNCTION("IF(D203="""", 0, COUNTA(SPLIT(D203, "" "")))"),4.0)</f>
        <v>4</v>
      </c>
      <c r="F203" s="8" t="s">
        <v>726</v>
      </c>
      <c r="G203" s="12">
        <v>16068.0</v>
      </c>
      <c r="H203" s="13">
        <f t="shared" si="1"/>
        <v>61.26214921</v>
      </c>
      <c r="I203" s="9">
        <f t="shared" si="2"/>
        <v>4.109514031</v>
      </c>
      <c r="J203" s="14" t="s">
        <v>42</v>
      </c>
      <c r="K203" s="15">
        <v>36943.0</v>
      </c>
      <c r="L203" s="16" t="s">
        <v>138</v>
      </c>
      <c r="M203" s="8" t="s">
        <v>727</v>
      </c>
      <c r="N203" s="1">
        <v>0.0</v>
      </c>
      <c r="O203" s="1">
        <v>0.0</v>
      </c>
      <c r="P203" s="16">
        <v>0.0</v>
      </c>
      <c r="Q203" s="16" t="s">
        <v>163</v>
      </c>
      <c r="R203" s="1" t="s">
        <v>140</v>
      </c>
    </row>
    <row r="204">
      <c r="A204" s="3">
        <v>38444.0</v>
      </c>
      <c r="B204" s="5" t="s">
        <v>58</v>
      </c>
      <c r="C204" s="2">
        <v>70.0</v>
      </c>
      <c r="D204" s="8" t="s">
        <v>728</v>
      </c>
      <c r="E204" s="1">
        <f>IFERROR(__xludf.DUMMYFUNCTION("IF(D204="""", 0, COUNTA(SPLIT(D204, "" "")))"),3.0)</f>
        <v>3</v>
      </c>
      <c r="F204" s="8" t="s">
        <v>729</v>
      </c>
      <c r="G204" s="12">
        <v>9327.0</v>
      </c>
      <c r="H204" s="13">
        <f t="shared" si="1"/>
        <v>79.71800137</v>
      </c>
      <c r="I204" s="9">
        <f t="shared" si="2"/>
        <v>4.109514031</v>
      </c>
      <c r="J204" s="14" t="s">
        <v>42</v>
      </c>
      <c r="K204" s="15">
        <v>36943.0</v>
      </c>
      <c r="L204" s="16" t="s">
        <v>138</v>
      </c>
      <c r="M204" s="8" t="s">
        <v>730</v>
      </c>
      <c r="N204" s="1">
        <v>0.0</v>
      </c>
      <c r="O204" s="1">
        <v>0.0</v>
      </c>
      <c r="P204" s="16">
        <v>0.0</v>
      </c>
      <c r="Q204" s="16" t="s">
        <v>163</v>
      </c>
      <c r="R204" s="1" t="s">
        <v>140</v>
      </c>
    </row>
    <row r="205">
      <c r="A205" s="3">
        <v>38444.0</v>
      </c>
      <c r="B205" s="5" t="s">
        <v>58</v>
      </c>
      <c r="C205" s="2">
        <v>71.0</v>
      </c>
      <c r="D205" s="17" t="s">
        <v>731</v>
      </c>
      <c r="E205" s="1">
        <f>IFERROR(__xludf.DUMMYFUNCTION("IF(D205="""", 0, COUNTA(SPLIT(D205, "" "")))"),2.0)</f>
        <v>2</v>
      </c>
      <c r="F205" s="8" t="s">
        <v>732</v>
      </c>
      <c r="G205" s="12">
        <v>12639.0</v>
      </c>
      <c r="H205" s="13">
        <f t="shared" si="1"/>
        <v>70.65023956</v>
      </c>
      <c r="I205" s="9">
        <f t="shared" si="2"/>
        <v>4.109514031</v>
      </c>
      <c r="J205" s="14" t="s">
        <v>42</v>
      </c>
      <c r="K205" s="15">
        <v>36943.0</v>
      </c>
      <c r="L205" s="16" t="s">
        <v>138</v>
      </c>
      <c r="M205" s="8" t="s">
        <v>733</v>
      </c>
      <c r="N205" s="1">
        <v>0.0</v>
      </c>
      <c r="O205" s="1">
        <v>0.0</v>
      </c>
      <c r="P205" s="16">
        <v>0.0</v>
      </c>
      <c r="Q205" s="16" t="s">
        <v>218</v>
      </c>
      <c r="R205" s="1" t="s">
        <v>140</v>
      </c>
    </row>
    <row r="206">
      <c r="A206" s="3">
        <v>38444.0</v>
      </c>
      <c r="B206" s="5" t="s">
        <v>58</v>
      </c>
      <c r="C206" s="2">
        <v>72.0</v>
      </c>
      <c r="D206" s="17" t="s">
        <v>734</v>
      </c>
      <c r="E206" s="1">
        <f>IFERROR(__xludf.DUMMYFUNCTION("IF(D206="""", 0, COUNTA(SPLIT(D206, "" "")))"),2.0)</f>
        <v>2</v>
      </c>
      <c r="F206" s="8" t="s">
        <v>735</v>
      </c>
      <c r="G206" s="12">
        <v>10011.0</v>
      </c>
      <c r="H206" s="13">
        <f t="shared" si="1"/>
        <v>77.84531143</v>
      </c>
      <c r="I206" s="9">
        <f t="shared" si="2"/>
        <v>4.109514031</v>
      </c>
      <c r="J206" s="14" t="s">
        <v>42</v>
      </c>
      <c r="K206" s="15">
        <v>36943.0</v>
      </c>
      <c r="L206" s="16" t="s">
        <v>138</v>
      </c>
      <c r="M206" s="8" t="s">
        <v>736</v>
      </c>
      <c r="N206" s="1">
        <v>0.0</v>
      </c>
      <c r="O206" s="1">
        <v>0.0</v>
      </c>
      <c r="P206" s="16">
        <v>0.0</v>
      </c>
      <c r="Q206" s="16" t="s">
        <v>383</v>
      </c>
      <c r="R206" s="1" t="s">
        <v>140</v>
      </c>
    </row>
    <row r="207">
      <c r="A207" s="3">
        <v>38444.0</v>
      </c>
      <c r="B207" s="5" t="s">
        <v>58</v>
      </c>
      <c r="C207" s="2">
        <v>73.0</v>
      </c>
      <c r="D207" s="17" t="s">
        <v>737</v>
      </c>
      <c r="E207" s="1">
        <f>IFERROR(__xludf.DUMMYFUNCTION("IF(D207="""", 0, COUNTA(SPLIT(D207, "" "")))"),3.0)</f>
        <v>3</v>
      </c>
      <c r="F207" s="8" t="s">
        <v>738</v>
      </c>
      <c r="G207" s="12">
        <v>13501.0</v>
      </c>
      <c r="H207" s="13">
        <f t="shared" si="1"/>
        <v>68.29021218</v>
      </c>
      <c r="I207" s="9">
        <f t="shared" si="2"/>
        <v>4.109514031</v>
      </c>
      <c r="J207" s="14" t="s">
        <v>42</v>
      </c>
      <c r="K207" s="15">
        <v>36943.0</v>
      </c>
      <c r="L207" s="16" t="s">
        <v>138</v>
      </c>
      <c r="M207" s="8" t="s">
        <v>739</v>
      </c>
      <c r="N207" s="1">
        <v>0.0</v>
      </c>
      <c r="O207" s="1">
        <v>0.0</v>
      </c>
      <c r="P207" s="16">
        <v>0.0</v>
      </c>
      <c r="Q207" s="16" t="s">
        <v>163</v>
      </c>
      <c r="R207" s="1" t="s">
        <v>140</v>
      </c>
    </row>
    <row r="208">
      <c r="A208" s="3">
        <v>38444.0</v>
      </c>
      <c r="B208" s="5" t="s">
        <v>58</v>
      </c>
      <c r="C208" s="2">
        <v>74.0</v>
      </c>
      <c r="D208" s="8" t="s">
        <v>740</v>
      </c>
      <c r="E208" s="1">
        <f>IFERROR(__xludf.DUMMYFUNCTION("IF(D208="""", 0, COUNTA(SPLIT(D208, "" "")))"),4.0)</f>
        <v>4</v>
      </c>
      <c r="F208" s="8" t="s">
        <v>741</v>
      </c>
      <c r="G208" s="12">
        <v>13206.0</v>
      </c>
      <c r="H208" s="13">
        <f t="shared" si="1"/>
        <v>69.09787817</v>
      </c>
      <c r="I208" s="9">
        <f t="shared" si="2"/>
        <v>4.109514031</v>
      </c>
      <c r="J208" s="14" t="s">
        <v>42</v>
      </c>
      <c r="K208" s="15">
        <v>36943.0</v>
      </c>
      <c r="L208" s="16" t="s">
        <v>138</v>
      </c>
      <c r="M208" s="8" t="s">
        <v>742</v>
      </c>
      <c r="N208" s="1">
        <v>0.0</v>
      </c>
      <c r="O208" s="1">
        <v>0.0</v>
      </c>
      <c r="P208" s="16">
        <v>0.0</v>
      </c>
      <c r="Q208" s="16" t="s">
        <v>218</v>
      </c>
      <c r="R208" s="1" t="s">
        <v>140</v>
      </c>
    </row>
    <row r="209">
      <c r="A209" s="3">
        <v>38444.0</v>
      </c>
      <c r="B209" s="5" t="s">
        <v>58</v>
      </c>
      <c r="C209" s="2">
        <v>75.0</v>
      </c>
      <c r="D209" s="8" t="s">
        <v>743</v>
      </c>
      <c r="E209" s="1">
        <f>IFERROR(__xludf.DUMMYFUNCTION("IF(D209="""", 0, COUNTA(SPLIT(D209, "" "")))"),2.0)</f>
        <v>2</v>
      </c>
      <c r="F209" s="8" t="s">
        <v>744</v>
      </c>
      <c r="G209" s="12">
        <v>12131.0</v>
      </c>
      <c r="H209" s="13">
        <f t="shared" si="1"/>
        <v>72.04106776</v>
      </c>
      <c r="I209" s="9">
        <f t="shared" si="2"/>
        <v>4.109514031</v>
      </c>
      <c r="J209" s="14" t="s">
        <v>42</v>
      </c>
      <c r="K209" s="15">
        <v>36943.0</v>
      </c>
      <c r="L209" s="16" t="s">
        <v>138</v>
      </c>
      <c r="M209" s="8" t="s">
        <v>745</v>
      </c>
      <c r="N209" s="1">
        <v>0.0</v>
      </c>
      <c r="O209" s="1">
        <v>0.0</v>
      </c>
      <c r="P209" s="16">
        <v>0.0</v>
      </c>
      <c r="Q209" s="16" t="s">
        <v>27</v>
      </c>
      <c r="R209" s="1" t="s">
        <v>140</v>
      </c>
    </row>
    <row r="210">
      <c r="A210" s="3">
        <v>38444.0</v>
      </c>
      <c r="B210" s="5" t="s">
        <v>58</v>
      </c>
      <c r="C210" s="2">
        <v>76.0</v>
      </c>
      <c r="D210" s="8" t="s">
        <v>746</v>
      </c>
      <c r="E210" s="1">
        <f>IFERROR(__xludf.DUMMYFUNCTION("IF(D210="""", 0, COUNTA(SPLIT(D210, "" "")))"),2.0)</f>
        <v>2</v>
      </c>
      <c r="F210" s="8" t="s">
        <v>747</v>
      </c>
      <c r="G210" s="12">
        <v>11925.0</v>
      </c>
      <c r="H210" s="13">
        <f t="shared" si="1"/>
        <v>72.60506502</v>
      </c>
      <c r="I210" s="9">
        <f t="shared" si="2"/>
        <v>4.109514031</v>
      </c>
      <c r="J210" s="14" t="s">
        <v>42</v>
      </c>
      <c r="K210" s="15">
        <v>36943.0</v>
      </c>
      <c r="L210" s="16" t="s">
        <v>138</v>
      </c>
      <c r="M210" s="8" t="s">
        <v>748</v>
      </c>
      <c r="N210" s="1">
        <v>0.0</v>
      </c>
      <c r="O210" s="1">
        <v>0.0</v>
      </c>
      <c r="P210" s="16">
        <v>0.0</v>
      </c>
      <c r="Q210" s="16" t="s">
        <v>167</v>
      </c>
      <c r="R210" s="1" t="s">
        <v>140</v>
      </c>
    </row>
    <row r="211">
      <c r="A211" s="3">
        <v>38444.0</v>
      </c>
      <c r="B211" s="5" t="s">
        <v>58</v>
      </c>
      <c r="C211" s="2">
        <v>77.0</v>
      </c>
      <c r="D211" s="8" t="s">
        <v>749</v>
      </c>
      <c r="E211" s="1">
        <f>IFERROR(__xludf.DUMMYFUNCTION("IF(D211="""", 0, COUNTA(SPLIT(D211, "" "")))"),3.0)</f>
        <v>3</v>
      </c>
      <c r="F211" s="8" t="s">
        <v>750</v>
      </c>
      <c r="G211" s="12">
        <v>11781.0</v>
      </c>
      <c r="H211" s="13">
        <f t="shared" si="1"/>
        <v>72.99931554</v>
      </c>
      <c r="I211" s="9">
        <f t="shared" si="2"/>
        <v>4.109514031</v>
      </c>
      <c r="J211" s="14" t="s">
        <v>42</v>
      </c>
      <c r="K211" s="15">
        <v>36943.0</v>
      </c>
      <c r="L211" s="16" t="s">
        <v>138</v>
      </c>
      <c r="M211" s="8" t="s">
        <v>751</v>
      </c>
      <c r="N211" s="1">
        <v>0.0</v>
      </c>
      <c r="O211" s="1">
        <v>0.0</v>
      </c>
      <c r="P211" s="16">
        <v>0.0</v>
      </c>
      <c r="Q211" s="16" t="s">
        <v>167</v>
      </c>
      <c r="R211" s="1" t="s">
        <v>140</v>
      </c>
    </row>
    <row r="212">
      <c r="A212" s="3">
        <v>38444.0</v>
      </c>
      <c r="B212" s="5" t="s">
        <v>58</v>
      </c>
      <c r="C212" s="2">
        <v>78.0</v>
      </c>
      <c r="D212" s="17" t="s">
        <v>752</v>
      </c>
      <c r="E212" s="1">
        <f>IFERROR(__xludf.DUMMYFUNCTION("IF(D212="""", 0, COUNTA(SPLIT(D212, "" "")))"),2.0)</f>
        <v>2</v>
      </c>
      <c r="F212" s="8" t="s">
        <v>753</v>
      </c>
      <c r="G212" s="12">
        <v>12111.0</v>
      </c>
      <c r="H212" s="13">
        <f t="shared" si="1"/>
        <v>72.09582478</v>
      </c>
      <c r="I212" s="9">
        <f t="shared" si="2"/>
        <v>4.109514031</v>
      </c>
      <c r="J212" s="14" t="s">
        <v>42</v>
      </c>
      <c r="K212" s="15">
        <v>36943.0</v>
      </c>
      <c r="L212" s="16" t="s">
        <v>138</v>
      </c>
      <c r="M212" s="8" t="s">
        <v>754</v>
      </c>
      <c r="N212" s="1">
        <v>0.0</v>
      </c>
      <c r="O212" s="1">
        <v>0.0</v>
      </c>
      <c r="P212" s="16">
        <v>0.0</v>
      </c>
      <c r="Q212" s="16" t="s">
        <v>755</v>
      </c>
      <c r="R212" s="1" t="s">
        <v>140</v>
      </c>
    </row>
    <row r="213">
      <c r="A213" s="3">
        <v>38444.0</v>
      </c>
      <c r="B213" s="5" t="s">
        <v>58</v>
      </c>
      <c r="C213" s="2">
        <v>79.0</v>
      </c>
      <c r="D213" s="8" t="s">
        <v>756</v>
      </c>
      <c r="E213" s="1">
        <f>IFERROR(__xludf.DUMMYFUNCTION("IF(D213="""", 0, COUNTA(SPLIT(D213, "" "")))"),2.0)</f>
        <v>2</v>
      </c>
      <c r="F213" s="8" t="s">
        <v>757</v>
      </c>
      <c r="G213" s="12">
        <v>13286.0</v>
      </c>
      <c r="H213" s="13">
        <f t="shared" si="1"/>
        <v>68.8788501</v>
      </c>
      <c r="I213" s="9">
        <f t="shared" si="2"/>
        <v>1.448323066</v>
      </c>
      <c r="J213" s="14" t="s">
        <v>42</v>
      </c>
      <c r="K213" s="15">
        <v>37915.0</v>
      </c>
      <c r="L213" s="16" t="s">
        <v>138</v>
      </c>
      <c r="M213" s="8" t="s">
        <v>758</v>
      </c>
      <c r="N213" s="1">
        <v>0.0</v>
      </c>
      <c r="O213" s="1">
        <v>0.0</v>
      </c>
      <c r="P213" s="16">
        <v>0.0</v>
      </c>
      <c r="Q213" s="16" t="s">
        <v>159</v>
      </c>
      <c r="R213" s="1" t="s">
        <v>140</v>
      </c>
    </row>
    <row r="214">
      <c r="A214" s="3">
        <v>38444.0</v>
      </c>
      <c r="B214" s="5" t="s">
        <v>58</v>
      </c>
      <c r="C214" s="2">
        <v>80.0</v>
      </c>
      <c r="D214" s="8" t="s">
        <v>759</v>
      </c>
      <c r="E214" s="1">
        <f>IFERROR(__xludf.DUMMYFUNCTION("IF(D214="""", 0, COUNTA(SPLIT(D214, "" "")))"),2.0)</f>
        <v>2</v>
      </c>
      <c r="F214" s="8" t="s">
        <v>760</v>
      </c>
      <c r="G214" s="12">
        <v>15287.0</v>
      </c>
      <c r="H214" s="13">
        <f t="shared" si="1"/>
        <v>63.40041068</v>
      </c>
      <c r="I214" s="9">
        <f t="shared" si="2"/>
        <v>1.448323066</v>
      </c>
      <c r="J214" s="14" t="s">
        <v>42</v>
      </c>
      <c r="K214" s="15">
        <v>37915.0</v>
      </c>
      <c r="L214" s="16" t="s">
        <v>138</v>
      </c>
      <c r="M214" s="8" t="s">
        <v>761</v>
      </c>
      <c r="N214" s="1">
        <v>0.0</v>
      </c>
      <c r="O214" s="1">
        <v>0.0</v>
      </c>
      <c r="P214" s="16">
        <v>0.0</v>
      </c>
      <c r="Q214" s="16" t="s">
        <v>27</v>
      </c>
      <c r="R214" s="1" t="s">
        <v>140</v>
      </c>
    </row>
    <row r="215">
      <c r="A215" s="3">
        <v>38444.0</v>
      </c>
      <c r="B215" s="5" t="s">
        <v>58</v>
      </c>
      <c r="C215" s="2">
        <v>81.0</v>
      </c>
      <c r="D215" s="8" t="s">
        <v>762</v>
      </c>
      <c r="E215" s="1">
        <f>IFERROR(__xludf.DUMMYFUNCTION("IF(D215="""", 0, COUNTA(SPLIT(D215, "" "")))"),3.0)</f>
        <v>3</v>
      </c>
      <c r="F215" s="8" t="s">
        <v>763</v>
      </c>
      <c r="G215" s="12">
        <v>13317.0</v>
      </c>
      <c r="H215" s="13">
        <f t="shared" si="1"/>
        <v>68.79397673</v>
      </c>
      <c r="I215" s="9">
        <f t="shared" si="2"/>
        <v>1.448323066</v>
      </c>
      <c r="J215" s="14" t="s">
        <v>42</v>
      </c>
      <c r="K215" s="15">
        <v>37915.0</v>
      </c>
      <c r="L215" s="16" t="s">
        <v>138</v>
      </c>
      <c r="M215" s="8" t="s">
        <v>764</v>
      </c>
      <c r="N215" s="1">
        <v>0.0</v>
      </c>
      <c r="O215" s="1">
        <v>0.0</v>
      </c>
      <c r="P215" s="16">
        <v>0.0</v>
      </c>
      <c r="Q215" s="16" t="s">
        <v>260</v>
      </c>
      <c r="R215" s="1" t="s">
        <v>140</v>
      </c>
    </row>
    <row r="216">
      <c r="A216" s="3">
        <v>38444.0</v>
      </c>
      <c r="B216" s="5" t="s">
        <v>58</v>
      </c>
      <c r="C216" s="2">
        <v>82.0</v>
      </c>
      <c r="D216" s="8" t="s">
        <v>765</v>
      </c>
      <c r="E216" s="1">
        <f>IFERROR(__xludf.DUMMYFUNCTION("IF(D216="""", 0, COUNTA(SPLIT(D216, "" "")))"),2.0)</f>
        <v>2</v>
      </c>
      <c r="F216" s="8" t="s">
        <v>766</v>
      </c>
      <c r="G216" s="12">
        <v>11349.0</v>
      </c>
      <c r="H216" s="13">
        <f t="shared" si="1"/>
        <v>74.18206708</v>
      </c>
      <c r="I216" s="9">
        <f t="shared" si="2"/>
        <v>1.448323066</v>
      </c>
      <c r="J216" s="14" t="s">
        <v>42</v>
      </c>
      <c r="K216" s="15">
        <v>37915.0</v>
      </c>
      <c r="L216" s="16" t="s">
        <v>138</v>
      </c>
      <c r="M216" s="8" t="s">
        <v>767</v>
      </c>
      <c r="N216" s="1">
        <v>0.0</v>
      </c>
      <c r="O216" s="1">
        <v>0.0</v>
      </c>
      <c r="P216" s="16">
        <v>0.0</v>
      </c>
      <c r="Q216" s="16" t="s">
        <v>174</v>
      </c>
      <c r="R216" s="1" t="s">
        <v>140</v>
      </c>
    </row>
    <row r="217">
      <c r="A217" s="3">
        <v>38444.0</v>
      </c>
      <c r="B217" s="5" t="s">
        <v>58</v>
      </c>
      <c r="C217" s="2">
        <v>83.0</v>
      </c>
      <c r="D217" s="8" t="s">
        <v>768</v>
      </c>
      <c r="E217" s="1">
        <f>IFERROR(__xludf.DUMMYFUNCTION("IF(D217="""", 0, COUNTA(SPLIT(D217, "" "")))"),3.0)</f>
        <v>3</v>
      </c>
      <c r="F217" s="8" t="s">
        <v>769</v>
      </c>
      <c r="G217" s="12">
        <v>15034.0</v>
      </c>
      <c r="H217" s="13">
        <f t="shared" si="1"/>
        <v>64.09308693</v>
      </c>
      <c r="I217" s="9">
        <f t="shared" si="2"/>
        <v>1.448323066</v>
      </c>
      <c r="J217" s="14" t="s">
        <v>42</v>
      </c>
      <c r="K217" s="15">
        <v>37915.0</v>
      </c>
      <c r="L217" s="16" t="s">
        <v>138</v>
      </c>
      <c r="M217" s="8" t="s">
        <v>770</v>
      </c>
      <c r="N217" s="1">
        <v>0.0</v>
      </c>
      <c r="O217" s="1">
        <v>0.0</v>
      </c>
      <c r="P217" s="16">
        <v>0.0</v>
      </c>
      <c r="Q217" s="16" t="s">
        <v>148</v>
      </c>
      <c r="R217" s="1" t="s">
        <v>140</v>
      </c>
    </row>
    <row r="218">
      <c r="A218" s="3">
        <v>38444.0</v>
      </c>
      <c r="B218" s="5" t="s">
        <v>58</v>
      </c>
      <c r="C218" s="2">
        <v>84.0</v>
      </c>
      <c r="D218" s="17" t="s">
        <v>771</v>
      </c>
      <c r="E218" s="1">
        <f>IFERROR(__xludf.DUMMYFUNCTION("IF(D218="""", 0, COUNTA(SPLIT(D218, "" "")))"),3.0)</f>
        <v>3</v>
      </c>
      <c r="F218" s="8" t="s">
        <v>772</v>
      </c>
      <c r="G218" s="12">
        <v>12654.0</v>
      </c>
      <c r="H218" s="13">
        <f t="shared" si="1"/>
        <v>70.6091718</v>
      </c>
      <c r="I218" s="9">
        <f t="shared" si="2"/>
        <v>1.448323066</v>
      </c>
      <c r="J218" s="14" t="s">
        <v>42</v>
      </c>
      <c r="K218" s="15">
        <v>37915.0</v>
      </c>
      <c r="L218" s="16" t="s">
        <v>138</v>
      </c>
      <c r="M218" s="8" t="s">
        <v>773</v>
      </c>
      <c r="N218" s="1">
        <v>0.0</v>
      </c>
      <c r="O218" s="1">
        <v>0.0</v>
      </c>
      <c r="P218" s="16">
        <v>0.0</v>
      </c>
      <c r="Q218" s="16" t="s">
        <v>163</v>
      </c>
      <c r="R218" s="1" t="s">
        <v>140</v>
      </c>
    </row>
    <row r="219">
      <c r="A219" s="3">
        <v>38444.0</v>
      </c>
      <c r="B219" s="5" t="s">
        <v>58</v>
      </c>
      <c r="C219" s="2">
        <v>85.0</v>
      </c>
      <c r="D219" s="8" t="s">
        <v>774</v>
      </c>
      <c r="E219" s="1">
        <f>IFERROR(__xludf.DUMMYFUNCTION("IF(D219="""", 0, COUNTA(SPLIT(D219, "" "")))"),3.0)</f>
        <v>3</v>
      </c>
      <c r="F219" s="8" t="s">
        <v>775</v>
      </c>
      <c r="G219" s="12">
        <v>12893.0</v>
      </c>
      <c r="H219" s="13">
        <f t="shared" si="1"/>
        <v>69.95482546</v>
      </c>
      <c r="I219" s="9">
        <f t="shared" si="2"/>
        <v>1.448323066</v>
      </c>
      <c r="J219" s="14" t="s">
        <v>42</v>
      </c>
      <c r="K219" s="15">
        <v>37915.0</v>
      </c>
      <c r="L219" s="16" t="s">
        <v>138</v>
      </c>
      <c r="M219" s="8" t="s">
        <v>776</v>
      </c>
      <c r="N219" s="1">
        <v>0.0</v>
      </c>
      <c r="O219" s="1">
        <v>0.0</v>
      </c>
      <c r="P219" s="16">
        <v>0.0</v>
      </c>
      <c r="Q219" s="16" t="s">
        <v>167</v>
      </c>
      <c r="R219" s="1" t="s">
        <v>140</v>
      </c>
    </row>
    <row r="220">
      <c r="A220" s="3">
        <v>38444.0</v>
      </c>
      <c r="B220" s="5" t="s">
        <v>58</v>
      </c>
      <c r="C220" s="2">
        <v>86.0</v>
      </c>
      <c r="D220" s="8" t="s">
        <v>777</v>
      </c>
      <c r="E220" s="1">
        <f>IFERROR(__xludf.DUMMYFUNCTION("IF(D220="""", 0, COUNTA(SPLIT(D220, "" "")))"),4.0)</f>
        <v>4</v>
      </c>
      <c r="F220" s="8" t="s">
        <v>778</v>
      </c>
      <c r="G220" s="12">
        <v>13956.0</v>
      </c>
      <c r="H220" s="13">
        <f t="shared" si="1"/>
        <v>67.04449008</v>
      </c>
      <c r="I220" s="9">
        <f t="shared" si="2"/>
        <v>1.448323066</v>
      </c>
      <c r="J220" s="14" t="s">
        <v>42</v>
      </c>
      <c r="K220" s="15">
        <v>37915.0</v>
      </c>
      <c r="L220" s="16" t="s">
        <v>138</v>
      </c>
      <c r="M220" s="8" t="s">
        <v>779</v>
      </c>
      <c r="N220" s="1">
        <v>0.0</v>
      </c>
      <c r="O220" s="1">
        <v>0.0</v>
      </c>
      <c r="P220" s="16">
        <v>0.0</v>
      </c>
      <c r="Q220" s="16" t="s">
        <v>167</v>
      </c>
      <c r="R220" s="1" t="s">
        <v>140</v>
      </c>
    </row>
    <row r="221">
      <c r="A221" s="3">
        <v>38444.0</v>
      </c>
      <c r="B221" s="5" t="s">
        <v>58</v>
      </c>
      <c r="C221" s="2">
        <v>87.0</v>
      </c>
      <c r="D221" s="17" t="s">
        <v>780</v>
      </c>
      <c r="E221" s="1">
        <f>IFERROR(__xludf.DUMMYFUNCTION("IF(D221="""", 0, COUNTA(SPLIT(D221, "" "")))"),3.0)</f>
        <v>3</v>
      </c>
      <c r="F221" s="8" t="s">
        <v>781</v>
      </c>
      <c r="G221" s="12">
        <v>12031.0</v>
      </c>
      <c r="H221" s="13">
        <f t="shared" si="1"/>
        <v>72.31485284</v>
      </c>
      <c r="I221" s="9">
        <f t="shared" si="2"/>
        <v>1.448323066</v>
      </c>
      <c r="J221" s="14" t="s">
        <v>42</v>
      </c>
      <c r="K221" s="15">
        <v>37915.0</v>
      </c>
      <c r="L221" s="16" t="s">
        <v>138</v>
      </c>
      <c r="M221" s="8" t="s">
        <v>782</v>
      </c>
      <c r="N221" s="1">
        <v>0.0</v>
      </c>
      <c r="O221" s="1">
        <v>0.0</v>
      </c>
      <c r="P221" s="16">
        <v>0.0</v>
      </c>
      <c r="Q221" s="16" t="s">
        <v>218</v>
      </c>
      <c r="R221" s="1" t="s">
        <v>140</v>
      </c>
    </row>
    <row r="222">
      <c r="A222" s="3">
        <v>38444.0</v>
      </c>
      <c r="B222" s="5" t="s">
        <v>58</v>
      </c>
      <c r="C222" s="2">
        <v>88.0</v>
      </c>
      <c r="D222" s="8" t="s">
        <v>783</v>
      </c>
      <c r="E222" s="1">
        <f>IFERROR(__xludf.DUMMYFUNCTION("IF(D222="""", 0, COUNTA(SPLIT(D222, "" "")))"),2.0)</f>
        <v>2</v>
      </c>
      <c r="F222" s="8" t="s">
        <v>784</v>
      </c>
      <c r="G222" s="12">
        <v>13472.0</v>
      </c>
      <c r="H222" s="13">
        <f t="shared" si="1"/>
        <v>68.36960986</v>
      </c>
      <c r="I222" s="9">
        <f t="shared" si="2"/>
        <v>1.448323066</v>
      </c>
      <c r="J222" s="14" t="s">
        <v>42</v>
      </c>
      <c r="K222" s="15">
        <v>37915.0</v>
      </c>
      <c r="L222" s="16" t="s">
        <v>138</v>
      </c>
      <c r="M222" s="8" t="s">
        <v>785</v>
      </c>
      <c r="N222" s="1">
        <v>0.0</v>
      </c>
      <c r="O222" s="1">
        <v>0.0</v>
      </c>
      <c r="P222" s="16">
        <v>0.0</v>
      </c>
      <c r="Q222" s="16" t="s">
        <v>27</v>
      </c>
      <c r="R222" s="1" t="s">
        <v>140</v>
      </c>
    </row>
    <row r="223">
      <c r="A223" s="3">
        <v>38444.0</v>
      </c>
      <c r="B223" s="5" t="s">
        <v>58</v>
      </c>
      <c r="C223" s="2">
        <v>89.0</v>
      </c>
      <c r="D223" s="17" t="s">
        <v>786</v>
      </c>
      <c r="E223" s="1">
        <f>IFERROR(__xludf.DUMMYFUNCTION("IF(D223="""", 0, COUNTA(SPLIT(D223, "" "")))"),2.0)</f>
        <v>2</v>
      </c>
      <c r="F223" s="8" t="s">
        <v>787</v>
      </c>
      <c r="G223" s="12">
        <v>12755.0</v>
      </c>
      <c r="H223" s="13">
        <f t="shared" si="1"/>
        <v>70.33264887</v>
      </c>
      <c r="I223" s="9">
        <f t="shared" si="2"/>
        <v>1.448323066</v>
      </c>
      <c r="J223" s="14" t="s">
        <v>42</v>
      </c>
      <c r="K223" s="15">
        <v>37915.0</v>
      </c>
      <c r="L223" s="16" t="s">
        <v>138</v>
      </c>
      <c r="M223" s="8" t="s">
        <v>788</v>
      </c>
      <c r="N223" s="1">
        <v>0.0</v>
      </c>
      <c r="O223" s="1">
        <v>0.0</v>
      </c>
      <c r="P223" s="16">
        <v>0.0</v>
      </c>
      <c r="Q223" s="16" t="s">
        <v>27</v>
      </c>
      <c r="R223" s="1" t="s">
        <v>140</v>
      </c>
    </row>
    <row r="224">
      <c r="A224" s="3">
        <v>38444.0</v>
      </c>
      <c r="B224" s="5" t="s">
        <v>58</v>
      </c>
      <c r="C224" s="2">
        <v>90.0</v>
      </c>
      <c r="D224" s="8" t="s">
        <v>789</v>
      </c>
      <c r="E224" s="1">
        <f>IFERROR(__xludf.DUMMYFUNCTION("IF(D224="""", 0, COUNTA(SPLIT(D224, "" "")))"),4.0)</f>
        <v>4</v>
      </c>
      <c r="F224" s="8" t="s">
        <v>790</v>
      </c>
      <c r="G224" s="12">
        <v>17817.0</v>
      </c>
      <c r="H224" s="13">
        <f t="shared" si="1"/>
        <v>56.47364819</v>
      </c>
      <c r="I224" s="9">
        <f t="shared" si="2"/>
        <v>1.448323066</v>
      </c>
      <c r="J224" s="14" t="s">
        <v>42</v>
      </c>
      <c r="K224" s="15">
        <v>37915.0</v>
      </c>
      <c r="L224" s="16" t="s">
        <v>138</v>
      </c>
      <c r="M224" s="8" t="s">
        <v>791</v>
      </c>
      <c r="N224" s="1">
        <v>0.0</v>
      </c>
      <c r="O224" s="1">
        <v>0.0</v>
      </c>
      <c r="P224" s="16">
        <v>0.0</v>
      </c>
      <c r="Q224" s="16" t="s">
        <v>276</v>
      </c>
      <c r="R224" s="1" t="s">
        <v>140</v>
      </c>
    </row>
    <row r="225">
      <c r="A225" s="3">
        <v>38444.0</v>
      </c>
      <c r="B225" s="5" t="s">
        <v>58</v>
      </c>
      <c r="C225" s="2">
        <v>91.0</v>
      </c>
      <c r="D225" s="8" t="s">
        <v>792</v>
      </c>
      <c r="E225" s="1">
        <f>IFERROR(__xludf.DUMMYFUNCTION("IF(D225="""", 0, COUNTA(SPLIT(D225, "" "")))"),3.0)</f>
        <v>3</v>
      </c>
      <c r="F225" s="8" t="s">
        <v>793</v>
      </c>
      <c r="G225" s="12">
        <v>14533.0</v>
      </c>
      <c r="H225" s="13">
        <f t="shared" si="1"/>
        <v>65.46475017</v>
      </c>
      <c r="I225" s="9">
        <f t="shared" si="2"/>
        <v>1.448323066</v>
      </c>
      <c r="J225" s="14" t="s">
        <v>42</v>
      </c>
      <c r="K225" s="15">
        <v>37915.0</v>
      </c>
      <c r="L225" s="16" t="s">
        <v>138</v>
      </c>
      <c r="M225" s="8" t="s">
        <v>794</v>
      </c>
      <c r="N225" s="1">
        <v>0.0</v>
      </c>
      <c r="O225" s="1">
        <v>0.0</v>
      </c>
      <c r="P225" s="16">
        <v>0.0</v>
      </c>
      <c r="Q225" s="16" t="s">
        <v>280</v>
      </c>
      <c r="R225" s="1" t="s">
        <v>140</v>
      </c>
    </row>
    <row r="226">
      <c r="A226" s="3">
        <v>38444.0</v>
      </c>
      <c r="B226" s="5" t="s">
        <v>58</v>
      </c>
      <c r="C226" s="2">
        <v>92.0</v>
      </c>
      <c r="D226" s="8" t="s">
        <v>795</v>
      </c>
      <c r="E226" s="1">
        <f>IFERROR(__xludf.DUMMYFUNCTION("IF(D226="""", 0, COUNTA(SPLIT(D226, "" "")))"),2.0)</f>
        <v>2</v>
      </c>
      <c r="F226" s="8" t="s">
        <v>796</v>
      </c>
      <c r="G226" s="12">
        <v>15135.0</v>
      </c>
      <c r="H226" s="13">
        <f t="shared" si="1"/>
        <v>63.816564</v>
      </c>
      <c r="I226" s="9">
        <f t="shared" si="2"/>
        <v>1.448323066</v>
      </c>
      <c r="J226" s="14" t="s">
        <v>42</v>
      </c>
      <c r="K226" s="15">
        <v>37915.0</v>
      </c>
      <c r="L226" s="16" t="s">
        <v>138</v>
      </c>
      <c r="M226" s="8" t="s">
        <v>797</v>
      </c>
      <c r="N226" s="1">
        <v>0.0</v>
      </c>
      <c r="O226" s="1">
        <v>0.0</v>
      </c>
      <c r="P226" s="16">
        <v>0.0</v>
      </c>
      <c r="Q226" s="16" t="s">
        <v>167</v>
      </c>
      <c r="R226" s="1" t="s">
        <v>140</v>
      </c>
    </row>
    <row r="227">
      <c r="A227" s="3">
        <v>38444.0</v>
      </c>
      <c r="B227" s="5" t="s">
        <v>58</v>
      </c>
      <c r="C227" s="2">
        <v>93.0</v>
      </c>
      <c r="D227" s="8" t="s">
        <v>798</v>
      </c>
      <c r="E227" s="1">
        <f>IFERROR(__xludf.DUMMYFUNCTION("IF(D227="""", 0, COUNTA(SPLIT(D227, "" "")))"),2.0)</f>
        <v>2</v>
      </c>
      <c r="F227" s="8" t="s">
        <v>799</v>
      </c>
      <c r="G227" s="12">
        <v>17977.0</v>
      </c>
      <c r="H227" s="13">
        <f t="shared" si="1"/>
        <v>56.03559206</v>
      </c>
      <c r="I227" s="9">
        <f t="shared" si="2"/>
        <v>1.448323066</v>
      </c>
      <c r="J227" s="14" t="s">
        <v>42</v>
      </c>
      <c r="K227" s="15">
        <v>37915.0</v>
      </c>
      <c r="L227" s="16" t="s">
        <v>138</v>
      </c>
      <c r="M227" s="8" t="s">
        <v>800</v>
      </c>
      <c r="N227" s="1">
        <v>0.0</v>
      </c>
      <c r="O227" s="1">
        <v>0.0</v>
      </c>
      <c r="P227" s="16">
        <v>0.0</v>
      </c>
      <c r="Q227" s="16" t="s">
        <v>178</v>
      </c>
      <c r="R227" s="1" t="s">
        <v>140</v>
      </c>
    </row>
    <row r="228">
      <c r="A228" s="3">
        <v>38444.0</v>
      </c>
      <c r="B228" s="5" t="s">
        <v>58</v>
      </c>
      <c r="C228" s="2">
        <v>94.0</v>
      </c>
      <c r="D228" s="8" t="s">
        <v>801</v>
      </c>
      <c r="E228" s="1">
        <f>IFERROR(__xludf.DUMMYFUNCTION("IF(D228="""", 0, COUNTA(SPLIT(D228, "" "")))"),4.0)</f>
        <v>4</v>
      </c>
      <c r="F228" s="8" t="s">
        <v>802</v>
      </c>
      <c r="G228" s="12">
        <v>12483.0</v>
      </c>
      <c r="H228" s="13">
        <f t="shared" si="1"/>
        <v>71.07734428</v>
      </c>
      <c r="I228" s="9">
        <f t="shared" si="2"/>
        <v>1.448323066</v>
      </c>
      <c r="J228" s="14" t="s">
        <v>42</v>
      </c>
      <c r="K228" s="15">
        <v>37915.0</v>
      </c>
      <c r="L228" s="16" t="s">
        <v>138</v>
      </c>
      <c r="M228" s="8" t="s">
        <v>803</v>
      </c>
      <c r="N228" s="1">
        <v>0.0</v>
      </c>
      <c r="O228" s="1">
        <v>0.0</v>
      </c>
      <c r="P228" s="16">
        <v>0.0</v>
      </c>
      <c r="Q228" s="16" t="s">
        <v>290</v>
      </c>
      <c r="R228" s="1" t="s">
        <v>140</v>
      </c>
    </row>
    <row r="229">
      <c r="A229" s="3">
        <v>38444.0</v>
      </c>
      <c r="B229" s="5" t="s">
        <v>58</v>
      </c>
      <c r="C229" s="2">
        <v>95.0</v>
      </c>
      <c r="D229" s="8" t="s">
        <v>804</v>
      </c>
      <c r="E229" s="1">
        <f>IFERROR(__xludf.DUMMYFUNCTION("IF(D229="""", 0, COUNTA(SPLIT(D229, "" "")))"),3.0)</f>
        <v>3</v>
      </c>
      <c r="F229" s="8" t="s">
        <v>805</v>
      </c>
      <c r="G229" s="12">
        <v>11756.0</v>
      </c>
      <c r="H229" s="13">
        <f t="shared" si="1"/>
        <v>73.06776181</v>
      </c>
      <c r="I229" s="9">
        <f t="shared" si="2"/>
        <v>1.448323066</v>
      </c>
      <c r="J229" s="14" t="s">
        <v>42</v>
      </c>
      <c r="K229" s="15">
        <v>37915.0</v>
      </c>
      <c r="L229" s="16" t="s">
        <v>138</v>
      </c>
      <c r="M229" s="8" t="s">
        <v>806</v>
      </c>
      <c r="N229" s="1">
        <v>0.0</v>
      </c>
      <c r="O229" s="1">
        <v>0.0</v>
      </c>
      <c r="P229" s="16">
        <v>0.0</v>
      </c>
      <c r="Q229" s="16" t="s">
        <v>163</v>
      </c>
      <c r="R229" s="1" t="s">
        <v>140</v>
      </c>
    </row>
    <row r="230">
      <c r="A230" s="3">
        <v>38444.0</v>
      </c>
      <c r="B230" s="5" t="s">
        <v>58</v>
      </c>
      <c r="C230" s="2">
        <v>96.0</v>
      </c>
      <c r="D230" s="8" t="s">
        <v>807</v>
      </c>
      <c r="E230" s="1">
        <f>IFERROR(__xludf.DUMMYFUNCTION("IF(D230="""", 0, COUNTA(SPLIT(D230, "" "")))"),2.0)</f>
        <v>2</v>
      </c>
      <c r="F230" s="8" t="s">
        <v>808</v>
      </c>
      <c r="G230" s="12">
        <v>18553.0</v>
      </c>
      <c r="H230" s="13">
        <f t="shared" si="1"/>
        <v>54.45859001</v>
      </c>
      <c r="I230" s="9">
        <f t="shared" si="2"/>
        <v>1.448323066</v>
      </c>
      <c r="J230" s="14" t="s">
        <v>42</v>
      </c>
      <c r="K230" s="15">
        <v>37915.0</v>
      </c>
      <c r="L230" s="16" t="s">
        <v>138</v>
      </c>
      <c r="M230" s="8" t="s">
        <v>809</v>
      </c>
      <c r="N230" s="1">
        <v>0.0</v>
      </c>
      <c r="O230" s="1">
        <v>0.0</v>
      </c>
      <c r="P230" s="16">
        <v>0.0</v>
      </c>
      <c r="Q230" s="16" t="s">
        <v>174</v>
      </c>
      <c r="R230" s="1" t="s">
        <v>140</v>
      </c>
    </row>
    <row r="231">
      <c r="A231" s="3">
        <v>38444.0</v>
      </c>
      <c r="B231" s="5" t="s">
        <v>58</v>
      </c>
      <c r="C231" s="2">
        <v>97.0</v>
      </c>
      <c r="D231" s="8" t="s">
        <v>810</v>
      </c>
      <c r="E231" s="1">
        <f>IFERROR(__xludf.DUMMYFUNCTION("IF(D231="""", 0, COUNTA(SPLIT(D231, "" "")))"),2.0)</f>
        <v>2</v>
      </c>
      <c r="F231" s="8" t="s">
        <v>811</v>
      </c>
      <c r="G231" s="12">
        <v>19170.0</v>
      </c>
      <c r="H231" s="13">
        <f t="shared" si="1"/>
        <v>52.76933607</v>
      </c>
      <c r="I231" s="9">
        <f t="shared" si="2"/>
        <v>1.448323066</v>
      </c>
      <c r="J231" s="14" t="s">
        <v>42</v>
      </c>
      <c r="K231" s="15">
        <v>37915.0</v>
      </c>
      <c r="L231" s="16" t="s">
        <v>138</v>
      </c>
      <c r="M231" s="8" t="s">
        <v>812</v>
      </c>
      <c r="N231" s="1">
        <v>0.0</v>
      </c>
      <c r="O231" s="1">
        <v>0.0</v>
      </c>
      <c r="P231" s="16">
        <v>0.0</v>
      </c>
      <c r="Q231" s="16" t="s">
        <v>297</v>
      </c>
      <c r="R231" s="1" t="s">
        <v>140</v>
      </c>
    </row>
    <row r="232">
      <c r="A232" s="3">
        <v>38444.0</v>
      </c>
      <c r="B232" s="5" t="s">
        <v>58</v>
      </c>
      <c r="C232" s="2">
        <v>98.0</v>
      </c>
      <c r="D232" s="17" t="s">
        <v>813</v>
      </c>
      <c r="E232" s="1">
        <f>IFERROR(__xludf.DUMMYFUNCTION("IF(D232="""", 0, COUNTA(SPLIT(D232, "" "")))"),2.0)</f>
        <v>2</v>
      </c>
      <c r="F232" s="8" t="s">
        <v>814</v>
      </c>
      <c r="G232" s="12">
        <v>16231.0</v>
      </c>
      <c r="H232" s="13">
        <f t="shared" si="1"/>
        <v>60.81587953</v>
      </c>
      <c r="I232" s="9">
        <f t="shared" si="2"/>
        <v>1.448323066</v>
      </c>
      <c r="J232" s="14" t="s">
        <v>42</v>
      </c>
      <c r="K232" s="15">
        <v>37915.0</v>
      </c>
      <c r="L232" s="16" t="s">
        <v>138</v>
      </c>
      <c r="M232" s="8" t="s">
        <v>815</v>
      </c>
      <c r="N232" s="1">
        <v>0.0</v>
      </c>
      <c r="O232" s="1">
        <v>0.0</v>
      </c>
      <c r="P232" s="16">
        <v>0.0</v>
      </c>
      <c r="Q232" s="16" t="s">
        <v>174</v>
      </c>
      <c r="R232" s="1" t="s">
        <v>140</v>
      </c>
    </row>
    <row r="233">
      <c r="A233" s="3">
        <v>38444.0</v>
      </c>
      <c r="B233" s="5" t="s">
        <v>58</v>
      </c>
      <c r="C233" s="2">
        <v>99.0</v>
      </c>
      <c r="D233" s="8" t="s">
        <v>816</v>
      </c>
      <c r="E233" s="1">
        <f>IFERROR(__xludf.DUMMYFUNCTION("IF(D233="""", 0, COUNTA(SPLIT(D233, "" "")))"),4.0)</f>
        <v>4</v>
      </c>
      <c r="F233" s="8" t="s">
        <v>817</v>
      </c>
      <c r="G233" s="12">
        <v>9854.0</v>
      </c>
      <c r="H233" s="13">
        <f t="shared" si="1"/>
        <v>78.275154</v>
      </c>
      <c r="I233" s="9">
        <f t="shared" si="2"/>
        <v>7.110198494</v>
      </c>
      <c r="J233" s="14" t="s">
        <v>422</v>
      </c>
      <c r="K233" s="15">
        <v>35847.0</v>
      </c>
      <c r="L233" s="16" t="s">
        <v>138</v>
      </c>
      <c r="M233" s="8" t="s">
        <v>818</v>
      </c>
      <c r="N233" s="1">
        <v>0.0</v>
      </c>
      <c r="O233" s="1">
        <v>0.0</v>
      </c>
      <c r="P233" s="16">
        <v>0.0</v>
      </c>
      <c r="Q233" s="16" t="s">
        <v>163</v>
      </c>
      <c r="R233" s="1" t="s">
        <v>140</v>
      </c>
    </row>
    <row r="234">
      <c r="A234" s="3">
        <v>38444.0</v>
      </c>
      <c r="B234" s="5" t="s">
        <v>58</v>
      </c>
      <c r="C234" s="2">
        <v>100.0</v>
      </c>
      <c r="D234" s="8" t="s">
        <v>819</v>
      </c>
      <c r="E234" s="1">
        <f>IFERROR(__xludf.DUMMYFUNCTION("IF(D234="""", 0, COUNTA(SPLIT(D234, "" "")))"),3.0)</f>
        <v>3</v>
      </c>
      <c r="F234" s="8" t="s">
        <v>820</v>
      </c>
      <c r="G234" s="12">
        <v>10778.0</v>
      </c>
      <c r="H234" s="13">
        <f t="shared" si="1"/>
        <v>75.74537988</v>
      </c>
      <c r="I234" s="9">
        <f t="shared" si="2"/>
        <v>7.110198494</v>
      </c>
      <c r="J234" s="14" t="s">
        <v>422</v>
      </c>
      <c r="K234" s="15">
        <v>35847.0</v>
      </c>
      <c r="L234" s="16" t="s">
        <v>138</v>
      </c>
      <c r="M234" s="8" t="s">
        <v>821</v>
      </c>
      <c r="N234" s="1">
        <v>0.0</v>
      </c>
      <c r="O234" s="1">
        <v>0.0</v>
      </c>
      <c r="P234" s="16">
        <v>0.0</v>
      </c>
      <c r="Q234" s="16" t="s">
        <v>163</v>
      </c>
      <c r="R234" s="1" t="s">
        <v>140</v>
      </c>
    </row>
    <row r="235">
      <c r="A235" s="3">
        <v>38444.0</v>
      </c>
      <c r="B235" s="5" t="s">
        <v>58</v>
      </c>
      <c r="C235" s="2">
        <v>101.0</v>
      </c>
      <c r="D235" s="8" t="s">
        <v>822</v>
      </c>
      <c r="E235" s="1">
        <f>IFERROR(__xludf.DUMMYFUNCTION("IF(D235="""", 0, COUNTA(SPLIT(D235, "" "")))"),3.0)</f>
        <v>3</v>
      </c>
      <c r="F235" s="8" t="s">
        <v>823</v>
      </c>
      <c r="G235" s="12">
        <v>11896.0</v>
      </c>
      <c r="H235" s="13">
        <f t="shared" si="1"/>
        <v>72.6844627</v>
      </c>
      <c r="I235" s="9">
        <f t="shared" si="2"/>
        <v>7.110198494</v>
      </c>
      <c r="J235" s="14" t="s">
        <v>422</v>
      </c>
      <c r="K235" s="15">
        <v>35847.0</v>
      </c>
      <c r="L235" s="16" t="s">
        <v>138</v>
      </c>
      <c r="M235" s="8" t="s">
        <v>824</v>
      </c>
      <c r="N235" s="1">
        <v>0.0</v>
      </c>
      <c r="O235" s="1">
        <v>0.0</v>
      </c>
      <c r="P235" s="16">
        <v>0.0</v>
      </c>
      <c r="Q235" s="16" t="s">
        <v>167</v>
      </c>
      <c r="R235" s="1" t="s">
        <v>140</v>
      </c>
    </row>
    <row r="236">
      <c r="A236" s="3">
        <v>38444.0</v>
      </c>
      <c r="B236" s="5" t="s">
        <v>58</v>
      </c>
      <c r="C236" s="2">
        <v>102.0</v>
      </c>
      <c r="D236" s="8" t="s">
        <v>825</v>
      </c>
      <c r="E236" s="1">
        <f>IFERROR(__xludf.DUMMYFUNCTION("IF(D236="""", 0, COUNTA(SPLIT(D236, "" "")))"),2.0)</f>
        <v>2</v>
      </c>
      <c r="F236" s="8" t="s">
        <v>826</v>
      </c>
      <c r="G236" s="12">
        <v>9723.0</v>
      </c>
      <c r="H236" s="13">
        <f t="shared" si="1"/>
        <v>78.63381246</v>
      </c>
      <c r="I236" s="9">
        <f t="shared" si="2"/>
        <v>4.109514031</v>
      </c>
      <c r="J236" s="14" t="s">
        <v>422</v>
      </c>
      <c r="K236" s="15">
        <v>36943.0</v>
      </c>
      <c r="L236" s="16" t="s">
        <v>138</v>
      </c>
      <c r="M236" s="8" t="s">
        <v>827</v>
      </c>
      <c r="N236" s="1">
        <v>0.0</v>
      </c>
      <c r="O236" s="1">
        <v>0.0</v>
      </c>
      <c r="P236" s="16">
        <v>0.0</v>
      </c>
      <c r="Q236" s="16" t="s">
        <v>27</v>
      </c>
      <c r="R236" s="1" t="s">
        <v>140</v>
      </c>
    </row>
    <row r="237">
      <c r="A237" s="3">
        <v>38444.0</v>
      </c>
      <c r="B237" s="5" t="s">
        <v>58</v>
      </c>
      <c r="C237" s="2">
        <v>103.0</v>
      </c>
      <c r="D237" s="8" t="s">
        <v>828</v>
      </c>
      <c r="E237" s="1">
        <f>IFERROR(__xludf.DUMMYFUNCTION("IF(D237="""", 0, COUNTA(SPLIT(D237, "" "")))"),2.0)</f>
        <v>2</v>
      </c>
      <c r="F237" s="8" t="s">
        <v>829</v>
      </c>
      <c r="G237" s="12">
        <v>11424.0</v>
      </c>
      <c r="H237" s="13">
        <f t="shared" si="1"/>
        <v>73.97672827</v>
      </c>
      <c r="I237" s="9">
        <f t="shared" si="2"/>
        <v>4.109514031</v>
      </c>
      <c r="J237" s="14" t="s">
        <v>422</v>
      </c>
      <c r="K237" s="15">
        <v>36943.0</v>
      </c>
      <c r="L237" s="16" t="s">
        <v>138</v>
      </c>
      <c r="M237" s="8" t="s">
        <v>830</v>
      </c>
      <c r="N237" s="1">
        <v>0.0</v>
      </c>
      <c r="O237" s="1">
        <v>0.0</v>
      </c>
      <c r="P237" s="16">
        <v>0.0</v>
      </c>
      <c r="Q237" s="16" t="s">
        <v>27</v>
      </c>
      <c r="R237" s="1" t="s">
        <v>140</v>
      </c>
    </row>
    <row r="238">
      <c r="A238" s="3">
        <v>38444.0</v>
      </c>
      <c r="B238" s="5" t="s">
        <v>58</v>
      </c>
      <c r="C238" s="2">
        <v>104.0</v>
      </c>
      <c r="D238" s="8" t="s">
        <v>831</v>
      </c>
      <c r="E238" s="1">
        <f>IFERROR(__xludf.DUMMYFUNCTION("IF(D238="""", 0, COUNTA(SPLIT(D238, "" "")))"),2.0)</f>
        <v>2</v>
      </c>
      <c r="F238" s="8" t="s">
        <v>832</v>
      </c>
      <c r="G238" s="12">
        <v>14529.0</v>
      </c>
      <c r="H238" s="13">
        <f t="shared" si="1"/>
        <v>65.47570157</v>
      </c>
      <c r="I238" s="9">
        <f t="shared" si="2"/>
        <v>4.109514031</v>
      </c>
      <c r="J238" s="14" t="s">
        <v>422</v>
      </c>
      <c r="K238" s="15">
        <v>36943.0</v>
      </c>
      <c r="L238" s="16" t="s">
        <v>138</v>
      </c>
      <c r="M238" s="8" t="s">
        <v>833</v>
      </c>
      <c r="N238" s="1">
        <v>0.0</v>
      </c>
      <c r="O238" s="1">
        <v>0.0</v>
      </c>
      <c r="P238" s="16">
        <v>0.0</v>
      </c>
      <c r="Q238" s="16" t="s">
        <v>204</v>
      </c>
      <c r="R238" s="1" t="s">
        <v>140</v>
      </c>
    </row>
    <row r="239">
      <c r="A239" s="3">
        <v>38444.0</v>
      </c>
      <c r="B239" s="5" t="s">
        <v>58</v>
      </c>
      <c r="C239" s="2">
        <v>105.0</v>
      </c>
      <c r="D239" s="17" t="s">
        <v>834</v>
      </c>
      <c r="E239" s="1">
        <f>IFERROR(__xludf.DUMMYFUNCTION("IF(D239="""", 0, COUNTA(SPLIT(D239, "" "")))"),3.0)</f>
        <v>3</v>
      </c>
      <c r="F239" s="8" t="s">
        <v>835</v>
      </c>
      <c r="G239" s="12">
        <v>11694.0</v>
      </c>
      <c r="H239" s="13">
        <f t="shared" si="1"/>
        <v>73.23750856</v>
      </c>
      <c r="I239" s="9">
        <f t="shared" si="2"/>
        <v>4.109514031</v>
      </c>
      <c r="J239" s="14" t="s">
        <v>422</v>
      </c>
      <c r="K239" s="15">
        <v>36943.0</v>
      </c>
      <c r="L239" s="16" t="s">
        <v>138</v>
      </c>
      <c r="M239" s="8" t="s">
        <v>836</v>
      </c>
      <c r="N239" s="1">
        <v>0.0</v>
      </c>
      <c r="O239" s="1">
        <v>0.0</v>
      </c>
      <c r="P239" s="16">
        <v>0.0</v>
      </c>
      <c r="Q239" s="16" t="s">
        <v>218</v>
      </c>
      <c r="R239" s="1" t="s">
        <v>140</v>
      </c>
    </row>
    <row r="240">
      <c r="A240" s="3">
        <v>38444.0</v>
      </c>
      <c r="B240" s="5" t="s">
        <v>58</v>
      </c>
      <c r="C240" s="2">
        <v>106.0</v>
      </c>
      <c r="D240" s="8" t="s">
        <v>837</v>
      </c>
      <c r="E240" s="1">
        <f>IFERROR(__xludf.DUMMYFUNCTION("IF(D240="""", 0, COUNTA(SPLIT(D240, "" "")))"),2.0)</f>
        <v>2</v>
      </c>
      <c r="F240" s="8" t="s">
        <v>838</v>
      </c>
      <c r="G240" s="12">
        <v>15859.0</v>
      </c>
      <c r="H240" s="13">
        <f t="shared" si="1"/>
        <v>61.83436003</v>
      </c>
      <c r="I240" s="9">
        <f t="shared" si="2"/>
        <v>4.109514031</v>
      </c>
      <c r="J240" s="14" t="s">
        <v>422</v>
      </c>
      <c r="K240" s="15">
        <v>36943.0</v>
      </c>
      <c r="L240" s="16" t="s">
        <v>138</v>
      </c>
      <c r="M240" s="8" t="s">
        <v>839</v>
      </c>
      <c r="N240" s="1">
        <v>0.0</v>
      </c>
      <c r="O240" s="1">
        <v>0.0</v>
      </c>
      <c r="P240" s="16">
        <v>0.0</v>
      </c>
      <c r="Q240" s="16" t="s">
        <v>27</v>
      </c>
      <c r="R240" s="1" t="s">
        <v>140</v>
      </c>
    </row>
    <row r="241">
      <c r="A241" s="3">
        <v>38444.0</v>
      </c>
      <c r="B241" s="5" t="s">
        <v>58</v>
      </c>
      <c r="C241" s="2">
        <v>107.0</v>
      </c>
      <c r="D241" s="8" t="s">
        <v>840</v>
      </c>
      <c r="E241" s="1">
        <f>IFERROR(__xludf.DUMMYFUNCTION("IF(D241="""", 0, COUNTA(SPLIT(D241, "" "")))"),3.0)</f>
        <v>3</v>
      </c>
      <c r="F241" s="8" t="s">
        <v>841</v>
      </c>
      <c r="G241" s="12">
        <v>10701.0</v>
      </c>
      <c r="H241" s="13">
        <f t="shared" si="1"/>
        <v>75.95619439</v>
      </c>
      <c r="I241" s="9">
        <f t="shared" si="2"/>
        <v>4.109514031</v>
      </c>
      <c r="J241" s="14" t="s">
        <v>422</v>
      </c>
      <c r="K241" s="15">
        <v>36943.0</v>
      </c>
      <c r="L241" s="16" t="s">
        <v>138</v>
      </c>
      <c r="M241" s="8" t="s">
        <v>842</v>
      </c>
      <c r="N241" s="1">
        <v>0.0</v>
      </c>
      <c r="O241" s="1">
        <v>0.0</v>
      </c>
      <c r="P241" s="16">
        <v>0.0</v>
      </c>
      <c r="Q241" s="16" t="s">
        <v>27</v>
      </c>
      <c r="R241" s="1" t="s">
        <v>140</v>
      </c>
    </row>
    <row r="242">
      <c r="A242" s="3">
        <v>38444.0</v>
      </c>
      <c r="B242" s="5" t="s">
        <v>58</v>
      </c>
      <c r="C242" s="2">
        <v>108.0</v>
      </c>
      <c r="D242" s="8" t="s">
        <v>843</v>
      </c>
      <c r="E242" s="1">
        <f>IFERROR(__xludf.DUMMYFUNCTION("IF(D242="""", 0, COUNTA(SPLIT(D242, "" "")))"),2.0)</f>
        <v>2</v>
      </c>
      <c r="F242" s="8" t="s">
        <v>844</v>
      </c>
      <c r="G242" s="12">
        <v>12118.0</v>
      </c>
      <c r="H242" s="13">
        <f t="shared" si="1"/>
        <v>72.07665982</v>
      </c>
      <c r="I242" s="9">
        <f t="shared" si="2"/>
        <v>4.109514031</v>
      </c>
      <c r="J242" s="14" t="s">
        <v>422</v>
      </c>
      <c r="K242" s="15">
        <v>36943.0</v>
      </c>
      <c r="L242" s="16" t="s">
        <v>138</v>
      </c>
      <c r="M242" s="8" t="s">
        <v>845</v>
      </c>
      <c r="N242" s="1">
        <v>0.0</v>
      </c>
      <c r="O242" s="1">
        <v>0.0</v>
      </c>
      <c r="P242" s="16">
        <v>0.0</v>
      </c>
      <c r="Q242" s="16" t="s">
        <v>159</v>
      </c>
      <c r="R242" s="1" t="s">
        <v>140</v>
      </c>
    </row>
    <row r="243">
      <c r="A243" s="3">
        <v>38444.0</v>
      </c>
      <c r="B243" s="5" t="s">
        <v>58</v>
      </c>
      <c r="C243" s="2">
        <v>109.0</v>
      </c>
      <c r="D243" s="8" t="s">
        <v>846</v>
      </c>
      <c r="E243" s="1">
        <f>IFERROR(__xludf.DUMMYFUNCTION("IF(D243="""", 0, COUNTA(SPLIT(D243, "" "")))"),2.0)</f>
        <v>2</v>
      </c>
      <c r="F243" s="8" t="s">
        <v>847</v>
      </c>
      <c r="G243" s="12">
        <v>15801.0</v>
      </c>
      <c r="H243" s="13">
        <f t="shared" si="1"/>
        <v>61.99315537</v>
      </c>
      <c r="I243" s="9">
        <f t="shared" si="2"/>
        <v>1.448323066</v>
      </c>
      <c r="J243" s="14" t="s">
        <v>422</v>
      </c>
      <c r="K243" s="15">
        <v>37915.0</v>
      </c>
      <c r="L243" s="16" t="s">
        <v>138</v>
      </c>
      <c r="M243" s="8" t="s">
        <v>848</v>
      </c>
      <c r="N243" s="1">
        <v>0.0</v>
      </c>
      <c r="O243" s="1">
        <v>0.0</v>
      </c>
      <c r="P243" s="16">
        <v>0.0</v>
      </c>
      <c r="Q243" s="16" t="s">
        <v>174</v>
      </c>
      <c r="R243" s="1" t="s">
        <v>140</v>
      </c>
    </row>
    <row r="244">
      <c r="A244" s="3">
        <v>38444.0</v>
      </c>
      <c r="B244" s="5" t="s">
        <v>58</v>
      </c>
      <c r="C244" s="2">
        <v>110.0</v>
      </c>
      <c r="D244" s="8" t="s">
        <v>849</v>
      </c>
      <c r="E244" s="1">
        <f>IFERROR(__xludf.DUMMYFUNCTION("IF(D244="""", 0, COUNTA(SPLIT(D244, "" "")))"),3.0)</f>
        <v>3</v>
      </c>
      <c r="F244" s="8" t="s">
        <v>850</v>
      </c>
      <c r="G244" s="12">
        <v>12016.0</v>
      </c>
      <c r="H244" s="13">
        <f t="shared" si="1"/>
        <v>72.3559206</v>
      </c>
      <c r="I244" s="9">
        <f t="shared" si="2"/>
        <v>1.448323066</v>
      </c>
      <c r="J244" s="14" t="s">
        <v>422</v>
      </c>
      <c r="K244" s="15">
        <v>37915.0</v>
      </c>
      <c r="L244" s="16" t="s">
        <v>138</v>
      </c>
      <c r="M244" s="8" t="s">
        <v>851</v>
      </c>
      <c r="N244" s="1">
        <v>0.0</v>
      </c>
      <c r="O244" s="1">
        <v>0.0</v>
      </c>
      <c r="P244" s="16">
        <v>0.0</v>
      </c>
      <c r="Q244" s="16" t="s">
        <v>27</v>
      </c>
      <c r="R244" s="1" t="s">
        <v>140</v>
      </c>
    </row>
    <row r="245">
      <c r="A245" s="3">
        <v>38444.0</v>
      </c>
      <c r="B245" s="5" t="s">
        <v>58</v>
      </c>
      <c r="C245" s="2">
        <v>111.0</v>
      </c>
      <c r="D245" s="8" t="s">
        <v>852</v>
      </c>
      <c r="E245" s="1">
        <f>IFERROR(__xludf.DUMMYFUNCTION("IF(D245="""", 0, COUNTA(SPLIT(D245, "" "")))"),2.0)</f>
        <v>2</v>
      </c>
      <c r="F245" s="8" t="s">
        <v>853</v>
      </c>
      <c r="G245" s="12">
        <v>10769.0</v>
      </c>
      <c r="H245" s="13">
        <f t="shared" si="1"/>
        <v>75.77002053</v>
      </c>
      <c r="I245" s="9">
        <f t="shared" si="2"/>
        <v>1.448323066</v>
      </c>
      <c r="J245" s="14" t="s">
        <v>422</v>
      </c>
      <c r="K245" s="15">
        <v>37915.0</v>
      </c>
      <c r="L245" s="16" t="s">
        <v>138</v>
      </c>
      <c r="M245" s="8" t="s">
        <v>854</v>
      </c>
      <c r="N245" s="1">
        <v>0.0</v>
      </c>
      <c r="O245" s="1">
        <v>0.0</v>
      </c>
      <c r="P245" s="16">
        <v>0.0</v>
      </c>
      <c r="Q245" s="16" t="s">
        <v>27</v>
      </c>
      <c r="R245" s="1" t="s">
        <v>140</v>
      </c>
    </row>
    <row r="246">
      <c r="A246" s="3">
        <v>38444.0</v>
      </c>
      <c r="B246" s="5" t="s">
        <v>58</v>
      </c>
      <c r="C246" s="2">
        <v>112.0</v>
      </c>
      <c r="D246" s="8" t="s">
        <v>855</v>
      </c>
      <c r="E246" s="1">
        <f>IFERROR(__xludf.DUMMYFUNCTION("IF(D246="""", 0, COUNTA(SPLIT(D246, "" "")))"),3.0)</f>
        <v>3</v>
      </c>
      <c r="F246" s="8" t="s">
        <v>856</v>
      </c>
      <c r="G246" s="12">
        <v>11048.0</v>
      </c>
      <c r="H246" s="13">
        <f t="shared" si="1"/>
        <v>75.00616016</v>
      </c>
      <c r="I246" s="9">
        <f t="shared" si="2"/>
        <v>1.448323066</v>
      </c>
      <c r="J246" s="14" t="s">
        <v>422</v>
      </c>
      <c r="K246" s="15">
        <v>37915.0</v>
      </c>
      <c r="L246" s="16" t="s">
        <v>138</v>
      </c>
      <c r="M246" s="8" t="s">
        <v>857</v>
      </c>
      <c r="N246" s="1">
        <v>0.0</v>
      </c>
      <c r="O246" s="1">
        <v>0.0</v>
      </c>
      <c r="P246" s="16">
        <v>0.0</v>
      </c>
      <c r="Q246" s="16" t="s">
        <v>163</v>
      </c>
      <c r="R246" s="1" t="s">
        <v>140</v>
      </c>
    </row>
    <row r="247">
      <c r="A247" s="3">
        <v>38444.0</v>
      </c>
      <c r="B247" s="5" t="s">
        <v>58</v>
      </c>
      <c r="C247" s="2">
        <v>113.0</v>
      </c>
      <c r="D247" s="8" t="s">
        <v>858</v>
      </c>
      <c r="E247" s="1">
        <f>IFERROR(__xludf.DUMMYFUNCTION("IF(D247="""", 0, COUNTA(SPLIT(D247, "" "")))"),3.0)</f>
        <v>3</v>
      </c>
      <c r="F247" s="8" t="s">
        <v>859</v>
      </c>
      <c r="G247" s="12">
        <v>12080.0</v>
      </c>
      <c r="H247" s="13">
        <f t="shared" si="1"/>
        <v>72.18069815</v>
      </c>
      <c r="I247" s="9">
        <f t="shared" si="2"/>
        <v>1.448323066</v>
      </c>
      <c r="J247" s="14" t="s">
        <v>422</v>
      </c>
      <c r="K247" s="15">
        <v>37915.0</v>
      </c>
      <c r="L247" s="16" t="s">
        <v>138</v>
      </c>
      <c r="M247" s="8" t="s">
        <v>860</v>
      </c>
      <c r="N247" s="1">
        <v>0.0</v>
      </c>
      <c r="O247" s="1">
        <v>0.0</v>
      </c>
      <c r="P247" s="16">
        <v>0.0</v>
      </c>
      <c r="Q247" s="16" t="s">
        <v>163</v>
      </c>
      <c r="R247" s="1" t="s">
        <v>140</v>
      </c>
    </row>
    <row r="248">
      <c r="A248" s="3">
        <v>38444.0</v>
      </c>
      <c r="B248" s="5" t="s">
        <v>58</v>
      </c>
      <c r="C248" s="2">
        <v>114.0</v>
      </c>
      <c r="D248" s="8" t="s">
        <v>861</v>
      </c>
      <c r="E248" s="1">
        <f>IFERROR(__xludf.DUMMYFUNCTION("IF(D248="""", 0, COUNTA(SPLIT(D248, "" "")))"),3.0)</f>
        <v>3</v>
      </c>
      <c r="F248" s="8" t="s">
        <v>862</v>
      </c>
      <c r="G248" s="12">
        <v>11026.0</v>
      </c>
      <c r="H248" s="13">
        <f t="shared" si="1"/>
        <v>75.06639288</v>
      </c>
      <c r="I248" s="9">
        <f t="shared" si="2"/>
        <v>1.448323066</v>
      </c>
      <c r="J248" s="14" t="s">
        <v>422</v>
      </c>
      <c r="K248" s="15">
        <v>37915.0</v>
      </c>
      <c r="L248" s="16" t="s">
        <v>138</v>
      </c>
      <c r="M248" s="8" t="s">
        <v>863</v>
      </c>
      <c r="N248" s="1">
        <v>0.0</v>
      </c>
      <c r="O248" s="1">
        <v>0.0</v>
      </c>
      <c r="P248" s="16">
        <v>0.0</v>
      </c>
      <c r="Q248" s="16" t="s">
        <v>626</v>
      </c>
      <c r="R248" s="1" t="s">
        <v>140</v>
      </c>
    </row>
    <row r="249">
      <c r="A249" s="3">
        <v>38444.0</v>
      </c>
      <c r="B249" s="5" t="s">
        <v>58</v>
      </c>
      <c r="C249" s="2">
        <v>115.0</v>
      </c>
      <c r="D249" s="8" t="s">
        <v>864</v>
      </c>
      <c r="E249" s="1">
        <f>IFERROR(__xludf.DUMMYFUNCTION("IF(D249="""", 0, COUNTA(SPLIT(D249, "" "")))"),2.0)</f>
        <v>2</v>
      </c>
      <c r="F249" s="8" t="s">
        <v>865</v>
      </c>
      <c r="G249" s="12">
        <v>13590.0</v>
      </c>
      <c r="H249" s="13">
        <f t="shared" si="1"/>
        <v>68.04654346</v>
      </c>
      <c r="I249" s="9">
        <f t="shared" si="2"/>
        <v>1.448323066</v>
      </c>
      <c r="J249" s="14" t="s">
        <v>422</v>
      </c>
      <c r="K249" s="15">
        <v>37915.0</v>
      </c>
      <c r="L249" s="16" t="s">
        <v>138</v>
      </c>
      <c r="M249" s="8" t="s">
        <v>866</v>
      </c>
      <c r="N249" s="1">
        <v>0.0</v>
      </c>
      <c r="O249" s="1">
        <v>0.0</v>
      </c>
      <c r="P249" s="16">
        <v>0.0</v>
      </c>
      <c r="Q249" s="16" t="s">
        <v>27</v>
      </c>
      <c r="R249" s="1" t="s">
        <v>140</v>
      </c>
    </row>
    <row r="250">
      <c r="A250" s="3">
        <v>28764.0</v>
      </c>
      <c r="B250" s="5" t="s">
        <v>58</v>
      </c>
      <c r="C250" s="2">
        <v>1.0</v>
      </c>
      <c r="D250" s="8" t="s">
        <v>867</v>
      </c>
      <c r="E250" s="1">
        <f>IFERROR(__xludf.DUMMYFUNCTION("IF(D250="""", 0, COUNTA(SPLIT(D250, "" "")))"),2.0)</f>
        <v>2</v>
      </c>
      <c r="F250" s="8" t="s">
        <v>868</v>
      </c>
      <c r="G250" s="12">
        <v>2111.0</v>
      </c>
      <c r="H250" s="13">
        <f t="shared" si="1"/>
        <v>72.97193703</v>
      </c>
      <c r="I250" s="9">
        <f t="shared" si="2"/>
        <v>13.60438056</v>
      </c>
      <c r="J250" s="14" t="s">
        <v>23</v>
      </c>
      <c r="K250" s="15">
        <v>23795.0</v>
      </c>
      <c r="L250" s="16" t="s">
        <v>132</v>
      </c>
      <c r="M250" s="8" t="s">
        <v>869</v>
      </c>
      <c r="N250" s="1">
        <v>0.0</v>
      </c>
      <c r="O250" s="1">
        <v>0.0</v>
      </c>
      <c r="P250" s="16">
        <v>0.0</v>
      </c>
      <c r="Q250" s="16" t="s">
        <v>174</v>
      </c>
      <c r="R250" s="1" t="s">
        <v>140</v>
      </c>
    </row>
    <row r="251">
      <c r="A251" s="3">
        <v>28764.0</v>
      </c>
      <c r="B251" s="5" t="s">
        <v>58</v>
      </c>
      <c r="C251" s="2">
        <v>2.0</v>
      </c>
      <c r="D251" s="8" t="s">
        <v>870</v>
      </c>
      <c r="E251" s="1">
        <f>IFERROR(__xludf.DUMMYFUNCTION("IF(D251="""", 0, COUNTA(SPLIT(D251, "" "")))"),2.0)</f>
        <v>2</v>
      </c>
      <c r="F251" s="8" t="s">
        <v>871</v>
      </c>
      <c r="G251" s="12">
        <v>2165.0</v>
      </c>
      <c r="H251" s="13">
        <f t="shared" si="1"/>
        <v>72.82409309</v>
      </c>
      <c r="I251" s="9">
        <f t="shared" si="2"/>
        <v>13.60438056</v>
      </c>
      <c r="J251" s="14" t="s">
        <v>23</v>
      </c>
      <c r="K251" s="15">
        <v>23795.0</v>
      </c>
      <c r="L251" s="16" t="s">
        <v>132</v>
      </c>
      <c r="M251" s="8" t="s">
        <v>872</v>
      </c>
      <c r="N251" s="1">
        <v>0.0</v>
      </c>
      <c r="O251" s="1">
        <v>0.0</v>
      </c>
      <c r="P251" s="16">
        <v>0.0</v>
      </c>
      <c r="Q251" s="16" t="s">
        <v>27</v>
      </c>
      <c r="R251" s="1" t="s">
        <v>140</v>
      </c>
    </row>
    <row r="252">
      <c r="A252" s="3">
        <v>28764.0</v>
      </c>
      <c r="B252" s="5" t="s">
        <v>58</v>
      </c>
      <c r="C252" s="2">
        <v>3.0</v>
      </c>
      <c r="D252" s="8" t="s">
        <v>873</v>
      </c>
      <c r="E252" s="1">
        <f>IFERROR(__xludf.DUMMYFUNCTION("IF(D252="""", 0, COUNTA(SPLIT(D252, "" "")))"),2.0)</f>
        <v>2</v>
      </c>
      <c r="F252" s="8" t="s">
        <v>874</v>
      </c>
      <c r="G252" s="12">
        <v>1965.0</v>
      </c>
      <c r="H252" s="13">
        <f t="shared" si="1"/>
        <v>73.37166324</v>
      </c>
      <c r="I252" s="9">
        <f t="shared" si="2"/>
        <v>11.26625599</v>
      </c>
      <c r="J252" s="14" t="s">
        <v>23</v>
      </c>
      <c r="K252" s="15">
        <v>24649.0</v>
      </c>
      <c r="L252" s="16" t="s">
        <v>132</v>
      </c>
      <c r="M252" s="8" t="s">
        <v>875</v>
      </c>
      <c r="N252" s="1">
        <v>0.0</v>
      </c>
      <c r="O252" s="1">
        <v>0.0</v>
      </c>
      <c r="P252" s="16">
        <v>0.0</v>
      </c>
      <c r="Q252" s="16" t="s">
        <v>27</v>
      </c>
      <c r="R252" s="1" t="s">
        <v>140</v>
      </c>
    </row>
    <row r="253">
      <c r="A253" s="3">
        <v>28764.0</v>
      </c>
      <c r="B253" s="5" t="s">
        <v>58</v>
      </c>
      <c r="C253" s="2">
        <v>4.0</v>
      </c>
      <c r="D253" s="8" t="s">
        <v>876</v>
      </c>
      <c r="E253" s="1">
        <f>IFERROR(__xludf.DUMMYFUNCTION("IF(D253="""", 0, COUNTA(SPLIT(D253, "" "")))"),2.0)</f>
        <v>2</v>
      </c>
      <c r="F253" s="8" t="s">
        <v>877</v>
      </c>
      <c r="G253" s="12">
        <v>4885.0</v>
      </c>
      <c r="H253" s="13">
        <f t="shared" si="1"/>
        <v>65.37713895</v>
      </c>
      <c r="I253" s="9">
        <f t="shared" si="2"/>
        <v>11.26625599</v>
      </c>
      <c r="J253" s="14" t="s">
        <v>23</v>
      </c>
      <c r="K253" s="15">
        <v>24649.0</v>
      </c>
      <c r="L253" s="16" t="s">
        <v>132</v>
      </c>
      <c r="M253" s="8" t="s">
        <v>878</v>
      </c>
      <c r="N253" s="1">
        <v>0.0</v>
      </c>
      <c r="O253" s="1">
        <v>0.0</v>
      </c>
      <c r="P253" s="16">
        <v>0.0</v>
      </c>
      <c r="Q253" s="16" t="s">
        <v>27</v>
      </c>
      <c r="R253" s="1" t="s">
        <v>140</v>
      </c>
    </row>
    <row r="254">
      <c r="A254" s="3">
        <v>28764.0</v>
      </c>
      <c r="B254" s="5" t="s">
        <v>58</v>
      </c>
      <c r="C254" s="2">
        <v>5.0</v>
      </c>
      <c r="D254" s="17" t="s">
        <v>879</v>
      </c>
      <c r="E254" s="1">
        <f>IFERROR(__xludf.DUMMYFUNCTION("IF(D254="""", 0, COUNTA(SPLIT(D254, "" "")))"),3.0)</f>
        <v>3</v>
      </c>
      <c r="F254" s="8" t="s">
        <v>880</v>
      </c>
      <c r="G254" s="12">
        <v>1514.0</v>
      </c>
      <c r="H254" s="13">
        <f t="shared" si="1"/>
        <v>74.60643395</v>
      </c>
      <c r="I254" s="9">
        <f t="shared" si="2"/>
        <v>9.42642026</v>
      </c>
      <c r="J254" s="14" t="s">
        <v>23</v>
      </c>
      <c r="K254" s="15">
        <v>25321.0</v>
      </c>
      <c r="L254" s="16" t="s">
        <v>132</v>
      </c>
      <c r="M254" s="8" t="s">
        <v>881</v>
      </c>
      <c r="N254" s="1">
        <v>0.0</v>
      </c>
      <c r="O254" s="1">
        <v>0.0</v>
      </c>
      <c r="P254" s="16">
        <v>0.0</v>
      </c>
      <c r="Q254" s="16" t="s">
        <v>148</v>
      </c>
      <c r="R254" s="1" t="s">
        <v>140</v>
      </c>
    </row>
    <row r="255">
      <c r="A255" s="3">
        <v>28764.0</v>
      </c>
      <c r="B255" s="5" t="s">
        <v>58</v>
      </c>
      <c r="C255" s="2">
        <v>6.0</v>
      </c>
      <c r="D255" s="8" t="s">
        <v>882</v>
      </c>
      <c r="E255" s="1">
        <f>IFERROR(__xludf.DUMMYFUNCTION("IF(D255="""", 0, COUNTA(SPLIT(D255, "" "")))"),2.0)</f>
        <v>2</v>
      </c>
      <c r="F255" s="8" t="s">
        <v>883</v>
      </c>
      <c r="G255" s="12">
        <v>2332.0</v>
      </c>
      <c r="H255" s="13">
        <f t="shared" si="1"/>
        <v>72.36687201</v>
      </c>
      <c r="I255" s="9">
        <f t="shared" si="2"/>
        <v>13.60438056</v>
      </c>
      <c r="J255" s="14" t="s">
        <v>42</v>
      </c>
      <c r="K255" s="15">
        <v>23795.0</v>
      </c>
      <c r="L255" s="16" t="s">
        <v>132</v>
      </c>
      <c r="M255" s="8" t="s">
        <v>884</v>
      </c>
      <c r="N255" s="1">
        <v>0.0</v>
      </c>
      <c r="O255" s="1">
        <v>0.0</v>
      </c>
      <c r="P255" s="16">
        <v>0.0</v>
      </c>
      <c r="Q255" s="16" t="s">
        <v>27</v>
      </c>
      <c r="R255" s="1" t="s">
        <v>140</v>
      </c>
    </row>
    <row r="256">
      <c r="A256" s="3">
        <v>28764.0</v>
      </c>
      <c r="B256" s="5" t="s">
        <v>58</v>
      </c>
      <c r="C256" s="2">
        <v>7.0</v>
      </c>
      <c r="D256" s="8" t="s">
        <v>885</v>
      </c>
      <c r="E256" s="1">
        <f>IFERROR(__xludf.DUMMYFUNCTION("IF(D256="""", 0, COUNTA(SPLIT(D256, "" "")))"),2.0)</f>
        <v>2</v>
      </c>
      <c r="F256" s="8" t="s">
        <v>886</v>
      </c>
      <c r="G256" s="12">
        <v>581.0</v>
      </c>
      <c r="H256" s="13">
        <f t="shared" si="1"/>
        <v>77.16084873</v>
      </c>
      <c r="I256" s="9">
        <f t="shared" si="2"/>
        <v>25.71663244</v>
      </c>
      <c r="J256" s="14" t="s">
        <v>42</v>
      </c>
      <c r="K256" s="15">
        <v>19371.0</v>
      </c>
      <c r="L256" s="16" t="s">
        <v>123</v>
      </c>
      <c r="M256" s="8" t="s">
        <v>887</v>
      </c>
      <c r="N256" s="1">
        <v>0.0</v>
      </c>
      <c r="O256" s="1">
        <v>0.0</v>
      </c>
      <c r="P256" s="16">
        <v>0.0</v>
      </c>
      <c r="Q256" s="16" t="s">
        <v>204</v>
      </c>
      <c r="R256" s="1" t="s">
        <v>140</v>
      </c>
    </row>
    <row r="257">
      <c r="A257" s="3">
        <v>28764.0</v>
      </c>
      <c r="B257" s="5" t="s">
        <v>58</v>
      </c>
      <c r="C257" s="2">
        <v>8.0</v>
      </c>
      <c r="D257" s="17" t="s">
        <v>888</v>
      </c>
      <c r="E257" s="1">
        <f>IFERROR(__xludf.DUMMYFUNCTION("IF(D257="""", 0, COUNTA(SPLIT(D257, "" "")))"),3.0)</f>
        <v>3</v>
      </c>
      <c r="F257" s="8" t="s">
        <v>889</v>
      </c>
      <c r="G257" s="12">
        <v>1578.0</v>
      </c>
      <c r="H257" s="13">
        <f t="shared" si="1"/>
        <v>74.4312115</v>
      </c>
      <c r="I257" s="9">
        <f t="shared" si="2"/>
        <v>25.71663244</v>
      </c>
      <c r="J257" s="14" t="s">
        <v>42</v>
      </c>
      <c r="K257" s="15">
        <v>19371.0</v>
      </c>
      <c r="L257" s="16" t="s">
        <v>123</v>
      </c>
      <c r="M257" s="8" t="s">
        <v>890</v>
      </c>
      <c r="N257" s="1">
        <v>0.0</v>
      </c>
      <c r="O257" s="1">
        <v>0.0</v>
      </c>
      <c r="P257" s="16">
        <v>0.0</v>
      </c>
      <c r="Q257" s="16" t="s">
        <v>174</v>
      </c>
      <c r="R257" s="1" t="s">
        <v>140</v>
      </c>
    </row>
    <row r="258">
      <c r="A258" s="3">
        <v>28764.0</v>
      </c>
      <c r="B258" s="5" t="s">
        <v>58</v>
      </c>
      <c r="C258" s="2">
        <v>9.0</v>
      </c>
      <c r="D258" s="8" t="s">
        <v>891</v>
      </c>
      <c r="E258" s="1">
        <f>IFERROR(__xludf.DUMMYFUNCTION("IF(D258="""", 0, COUNTA(SPLIT(D258, "" "")))"),5.0)</f>
        <v>5</v>
      </c>
      <c r="F258" s="8" t="s">
        <v>892</v>
      </c>
      <c r="G258" s="12">
        <v>1716.0</v>
      </c>
      <c r="H258" s="13">
        <f t="shared" si="1"/>
        <v>74.05338809</v>
      </c>
      <c r="I258" s="9">
        <f t="shared" si="2"/>
        <v>25.71663244</v>
      </c>
      <c r="J258" s="14" t="s">
        <v>42</v>
      </c>
      <c r="K258" s="15">
        <v>19371.0</v>
      </c>
      <c r="L258" s="16" t="s">
        <v>123</v>
      </c>
      <c r="M258" s="8" t="s">
        <v>893</v>
      </c>
      <c r="N258" s="1">
        <v>0.0</v>
      </c>
      <c r="O258" s="1">
        <v>0.0</v>
      </c>
      <c r="P258" s="16">
        <v>0.0</v>
      </c>
      <c r="Q258" s="16" t="s">
        <v>163</v>
      </c>
      <c r="R258" s="1" t="s">
        <v>140</v>
      </c>
    </row>
    <row r="259">
      <c r="A259" s="3">
        <v>28764.0</v>
      </c>
      <c r="B259" s="5" t="s">
        <v>58</v>
      </c>
      <c r="C259" s="2">
        <v>10.0</v>
      </c>
      <c r="D259" s="8" t="s">
        <v>894</v>
      </c>
      <c r="E259" s="1">
        <f>IFERROR(__xludf.DUMMYFUNCTION("IF(D259="""", 0, COUNTA(SPLIT(D259, "" "")))"),2.0)</f>
        <v>2</v>
      </c>
      <c r="F259" s="8" t="s">
        <v>895</v>
      </c>
      <c r="G259" s="12">
        <v>2042.0</v>
      </c>
      <c r="H259" s="13">
        <f t="shared" si="1"/>
        <v>73.16084873</v>
      </c>
      <c r="I259" s="9">
        <f t="shared" si="2"/>
        <v>19.79466119</v>
      </c>
      <c r="J259" s="14" t="s">
        <v>42</v>
      </c>
      <c r="K259" s="15">
        <v>21534.0</v>
      </c>
      <c r="L259" s="16" t="s">
        <v>128</v>
      </c>
      <c r="M259" s="8" t="s">
        <v>896</v>
      </c>
      <c r="N259" s="1">
        <v>0.0</v>
      </c>
      <c r="O259" s="1">
        <v>0.0</v>
      </c>
      <c r="P259" s="16">
        <v>0.0</v>
      </c>
      <c r="Q259" s="16" t="s">
        <v>159</v>
      </c>
      <c r="R259" s="1" t="s">
        <v>140</v>
      </c>
    </row>
    <row r="260">
      <c r="A260" s="3">
        <v>28764.0</v>
      </c>
      <c r="B260" s="5" t="s">
        <v>58</v>
      </c>
      <c r="C260" s="2">
        <v>11.0</v>
      </c>
      <c r="D260" s="8" t="s">
        <v>897</v>
      </c>
      <c r="E260" s="1">
        <f>IFERROR(__xludf.DUMMYFUNCTION("IF(D260="""", 0, COUNTA(SPLIT(D260, "" "")))"),3.0)</f>
        <v>3</v>
      </c>
      <c r="F260" s="8" t="s">
        <v>898</v>
      </c>
      <c r="G260" s="12">
        <v>187.0</v>
      </c>
      <c r="H260" s="13">
        <f t="shared" si="1"/>
        <v>78.23956194</v>
      </c>
      <c r="I260" s="9">
        <f t="shared" si="2"/>
        <v>19.79466119</v>
      </c>
      <c r="J260" s="14" t="s">
        <v>42</v>
      </c>
      <c r="K260" s="15">
        <v>21534.0</v>
      </c>
      <c r="L260" s="16" t="s">
        <v>128</v>
      </c>
      <c r="M260" s="8" t="s">
        <v>899</v>
      </c>
      <c r="N260" s="1">
        <v>0.0</v>
      </c>
      <c r="O260" s="1">
        <v>0.0</v>
      </c>
      <c r="P260" s="16">
        <v>0.0</v>
      </c>
      <c r="Q260" s="16" t="s">
        <v>155</v>
      </c>
      <c r="R260" s="1" t="s">
        <v>140</v>
      </c>
    </row>
    <row r="261">
      <c r="A261" s="3">
        <v>28764.0</v>
      </c>
      <c r="B261" s="5" t="s">
        <v>58</v>
      </c>
      <c r="C261" s="2">
        <v>12.0</v>
      </c>
      <c r="D261" s="8" t="s">
        <v>900</v>
      </c>
      <c r="E261" s="1">
        <f>IFERROR(__xludf.DUMMYFUNCTION("IF(D261="""", 0, COUNTA(SPLIT(D261, "" "")))"),2.0)</f>
        <v>2</v>
      </c>
      <c r="F261" s="8" t="s">
        <v>901</v>
      </c>
      <c r="G261" s="12">
        <v>4577.0</v>
      </c>
      <c r="H261" s="13">
        <f t="shared" si="1"/>
        <v>66.22039699</v>
      </c>
      <c r="I261" s="9">
        <f t="shared" si="2"/>
        <v>18.51060917</v>
      </c>
      <c r="J261" s="14" t="s">
        <v>42</v>
      </c>
      <c r="K261" s="15">
        <v>22003.0</v>
      </c>
      <c r="L261" s="16" t="s">
        <v>128</v>
      </c>
      <c r="M261" s="8" t="s">
        <v>902</v>
      </c>
      <c r="N261" s="1">
        <v>0.0</v>
      </c>
      <c r="O261" s="1">
        <v>0.0</v>
      </c>
      <c r="P261" s="16">
        <v>0.0</v>
      </c>
      <c r="Q261" s="16" t="s">
        <v>191</v>
      </c>
      <c r="R261" s="1" t="s">
        <v>140</v>
      </c>
    </row>
    <row r="262">
      <c r="A262" s="3">
        <v>28764.0</v>
      </c>
      <c r="B262" s="5" t="s">
        <v>58</v>
      </c>
      <c r="C262" s="2">
        <v>13.0</v>
      </c>
      <c r="D262" s="8" t="s">
        <v>903</v>
      </c>
      <c r="E262" s="1">
        <f>IFERROR(__xludf.DUMMYFUNCTION("IF(D262="""", 0, COUNTA(SPLIT(D262, "" "")))"),4.0)</f>
        <v>4</v>
      </c>
      <c r="F262" s="8" t="s">
        <v>904</v>
      </c>
      <c r="G262" s="12">
        <v>996.0</v>
      </c>
      <c r="H262" s="13">
        <f t="shared" si="1"/>
        <v>76.02464066</v>
      </c>
      <c r="I262" s="9">
        <f t="shared" si="2"/>
        <v>18.51060917</v>
      </c>
      <c r="J262" s="14" t="s">
        <v>42</v>
      </c>
      <c r="K262" s="15">
        <v>22003.0</v>
      </c>
      <c r="L262" s="16" t="s">
        <v>128</v>
      </c>
      <c r="M262" s="8" t="s">
        <v>905</v>
      </c>
      <c r="N262" s="1">
        <v>0.0</v>
      </c>
      <c r="O262" s="1">
        <v>0.0</v>
      </c>
      <c r="P262" s="16">
        <v>0.0</v>
      </c>
      <c r="Q262" s="16" t="s">
        <v>163</v>
      </c>
      <c r="R262" s="1" t="s">
        <v>140</v>
      </c>
    </row>
    <row r="263">
      <c r="A263" s="3">
        <v>28764.0</v>
      </c>
      <c r="B263" s="5" t="s">
        <v>58</v>
      </c>
      <c r="C263" s="2">
        <v>14.0</v>
      </c>
      <c r="D263" s="17" t="s">
        <v>906</v>
      </c>
      <c r="E263" s="1">
        <f>IFERROR(__xludf.DUMMYFUNCTION("IF(D263="""", 0, COUNTA(SPLIT(D263, "" "")))"),3.0)</f>
        <v>3</v>
      </c>
      <c r="F263" s="8" t="s">
        <v>907</v>
      </c>
      <c r="G263" s="12">
        <v>5072.0</v>
      </c>
      <c r="H263" s="13">
        <f t="shared" si="1"/>
        <v>64.86516085</v>
      </c>
      <c r="I263" s="9">
        <f t="shared" si="2"/>
        <v>17.70568104</v>
      </c>
      <c r="J263" s="14" t="s">
        <v>42</v>
      </c>
      <c r="K263" s="15">
        <v>22297.0</v>
      </c>
      <c r="L263" s="16" t="s">
        <v>128</v>
      </c>
      <c r="M263" s="8" t="s">
        <v>908</v>
      </c>
      <c r="N263" s="1">
        <v>0.0</v>
      </c>
      <c r="O263" s="1">
        <v>0.0</v>
      </c>
      <c r="P263" s="16">
        <v>0.0</v>
      </c>
      <c r="Q263" s="16" t="s">
        <v>163</v>
      </c>
      <c r="R263" s="1" t="s">
        <v>140</v>
      </c>
    </row>
    <row r="264">
      <c r="A264" s="3">
        <v>28764.0</v>
      </c>
      <c r="B264" s="5" t="s">
        <v>58</v>
      </c>
      <c r="C264" s="2">
        <v>15.0</v>
      </c>
      <c r="D264" s="17" t="s">
        <v>909</v>
      </c>
      <c r="E264" s="1">
        <f>IFERROR(__xludf.DUMMYFUNCTION("IF(D264="""", 0, COUNTA(SPLIT(D264, "" "")))"),3.0)</f>
        <v>3</v>
      </c>
      <c r="F264" s="8" t="s">
        <v>910</v>
      </c>
      <c r="G264" s="12">
        <v>2827.0</v>
      </c>
      <c r="H264" s="13">
        <f t="shared" si="1"/>
        <v>71.01163587</v>
      </c>
      <c r="I264" s="9">
        <f t="shared" si="2"/>
        <v>16.53661875</v>
      </c>
      <c r="J264" s="14" t="s">
        <v>42</v>
      </c>
      <c r="K264" s="15">
        <v>22724.0</v>
      </c>
      <c r="L264" s="16" t="s">
        <v>128</v>
      </c>
      <c r="M264" s="8" t="s">
        <v>911</v>
      </c>
      <c r="N264" s="1">
        <v>0.0</v>
      </c>
      <c r="O264" s="1">
        <v>0.0</v>
      </c>
      <c r="P264" s="16">
        <v>0.0</v>
      </c>
      <c r="Q264" s="16" t="s">
        <v>163</v>
      </c>
      <c r="R264" s="1" t="s">
        <v>140</v>
      </c>
    </row>
    <row r="265">
      <c r="A265" s="3">
        <v>28764.0</v>
      </c>
      <c r="B265" s="5" t="s">
        <v>58</v>
      </c>
      <c r="C265" s="2">
        <v>16.0</v>
      </c>
      <c r="D265" s="8" t="s">
        <v>912</v>
      </c>
      <c r="E265" s="1">
        <f>IFERROR(__xludf.DUMMYFUNCTION("IF(D265="""", 0, COUNTA(SPLIT(D265, "" "")))"),2.0)</f>
        <v>2</v>
      </c>
      <c r="F265" s="8" t="s">
        <v>913</v>
      </c>
      <c r="G265" s="12">
        <v>1659.0</v>
      </c>
      <c r="H265" s="13">
        <f t="shared" si="1"/>
        <v>74.20944559</v>
      </c>
      <c r="I265" s="9">
        <f t="shared" si="2"/>
        <v>16.53661875</v>
      </c>
      <c r="J265" s="14" t="s">
        <v>42</v>
      </c>
      <c r="K265" s="15">
        <v>22724.0</v>
      </c>
      <c r="L265" s="16" t="s">
        <v>128</v>
      </c>
      <c r="M265" s="8" t="s">
        <v>914</v>
      </c>
      <c r="N265" s="1">
        <v>0.0</v>
      </c>
      <c r="O265" s="1">
        <v>0.0</v>
      </c>
      <c r="P265" s="16">
        <v>0.0</v>
      </c>
      <c r="Q265" s="16" t="s">
        <v>155</v>
      </c>
      <c r="R265" s="1" t="s">
        <v>140</v>
      </c>
    </row>
    <row r="266">
      <c r="A266" s="3">
        <v>28764.0</v>
      </c>
      <c r="B266" s="5" t="s">
        <v>58</v>
      </c>
      <c r="C266" s="2">
        <v>17.0</v>
      </c>
      <c r="D266" s="17" t="s">
        <v>915</v>
      </c>
      <c r="E266" s="1">
        <f>IFERROR(__xludf.DUMMYFUNCTION("IF(D266="""", 0, COUNTA(SPLIT(D266, "" "")))"),3.0)</f>
        <v>3</v>
      </c>
      <c r="F266" s="8" t="s">
        <v>916</v>
      </c>
      <c r="G266" s="12">
        <v>728.0</v>
      </c>
      <c r="H266" s="13">
        <f t="shared" si="1"/>
        <v>76.75838467</v>
      </c>
      <c r="I266" s="9">
        <f t="shared" si="2"/>
        <v>16.53661875</v>
      </c>
      <c r="J266" s="14" t="s">
        <v>42</v>
      </c>
      <c r="K266" s="15">
        <v>22724.0</v>
      </c>
      <c r="L266" s="16" t="s">
        <v>128</v>
      </c>
      <c r="M266" s="8" t="s">
        <v>917</v>
      </c>
      <c r="N266" s="1">
        <v>0.0</v>
      </c>
      <c r="O266" s="1">
        <v>0.0</v>
      </c>
      <c r="P266" s="16">
        <v>0.0</v>
      </c>
      <c r="Q266" s="16" t="s">
        <v>376</v>
      </c>
      <c r="R266" s="1" t="s">
        <v>140</v>
      </c>
    </row>
    <row r="267">
      <c r="A267" s="3">
        <v>28764.0</v>
      </c>
      <c r="B267" s="5" t="s">
        <v>58</v>
      </c>
      <c r="C267" s="2">
        <v>18.0</v>
      </c>
      <c r="D267" s="8" t="s">
        <v>918</v>
      </c>
      <c r="E267" s="1">
        <f>IFERROR(__xludf.DUMMYFUNCTION("IF(D267="""", 0, COUNTA(SPLIT(D267, "" "")))"),2.0)</f>
        <v>2</v>
      </c>
      <c r="F267" s="8" t="s">
        <v>919</v>
      </c>
      <c r="G267" s="12">
        <v>1852.0</v>
      </c>
      <c r="H267" s="13">
        <f t="shared" si="1"/>
        <v>73.68104038</v>
      </c>
      <c r="I267" s="9">
        <f t="shared" si="2"/>
        <v>13.60438056</v>
      </c>
      <c r="J267" s="14" t="s">
        <v>42</v>
      </c>
      <c r="K267" s="15">
        <v>23795.0</v>
      </c>
      <c r="L267" s="16" t="s">
        <v>132</v>
      </c>
      <c r="M267" s="8" t="s">
        <v>920</v>
      </c>
      <c r="N267" s="1">
        <v>0.0</v>
      </c>
      <c r="O267" s="1">
        <v>0.0</v>
      </c>
      <c r="P267" s="16">
        <v>0.0</v>
      </c>
      <c r="Q267" s="16" t="s">
        <v>174</v>
      </c>
      <c r="R267" s="1" t="s">
        <v>140</v>
      </c>
    </row>
    <row r="268">
      <c r="A268" s="3">
        <v>28764.0</v>
      </c>
      <c r="B268" s="5" t="s">
        <v>58</v>
      </c>
      <c r="C268" s="2">
        <v>19.0</v>
      </c>
      <c r="D268" s="8" t="s">
        <v>921</v>
      </c>
      <c r="E268" s="1">
        <f>IFERROR(__xludf.DUMMYFUNCTION("IF(D268="""", 0, COUNTA(SPLIT(D268, "" "")))"),2.0)</f>
        <v>2</v>
      </c>
      <c r="F268" s="8" t="s">
        <v>922</v>
      </c>
      <c r="G268" s="12">
        <v>2737.0</v>
      </c>
      <c r="H268" s="13">
        <f t="shared" si="1"/>
        <v>71.25804244</v>
      </c>
      <c r="I268" s="9">
        <f t="shared" si="2"/>
        <v>13.60438056</v>
      </c>
      <c r="J268" s="14" t="s">
        <v>42</v>
      </c>
      <c r="K268" s="15">
        <v>23795.0</v>
      </c>
      <c r="L268" s="16" t="s">
        <v>132</v>
      </c>
      <c r="M268" s="8" t="s">
        <v>923</v>
      </c>
      <c r="N268" s="1">
        <v>0.0</v>
      </c>
      <c r="O268" s="1">
        <v>0.0</v>
      </c>
      <c r="P268" s="16">
        <v>0.0</v>
      </c>
      <c r="Q268" s="16" t="s">
        <v>167</v>
      </c>
      <c r="R268" s="1" t="s">
        <v>140</v>
      </c>
    </row>
    <row r="269">
      <c r="A269" s="3">
        <v>28764.0</v>
      </c>
      <c r="B269" s="5" t="s">
        <v>58</v>
      </c>
      <c r="C269" s="2">
        <v>20.0</v>
      </c>
      <c r="D269" s="8" t="s">
        <v>924</v>
      </c>
      <c r="E269" s="1">
        <f>IFERROR(__xludf.DUMMYFUNCTION("IF(D269="""", 0, COUNTA(SPLIT(D269, "" "")))"),2.0)</f>
        <v>2</v>
      </c>
      <c r="F269" s="8" t="s">
        <v>925</v>
      </c>
      <c r="G269" s="12">
        <v>1409.0</v>
      </c>
      <c r="H269" s="13">
        <f t="shared" si="1"/>
        <v>74.89390828</v>
      </c>
      <c r="I269" s="9">
        <f t="shared" si="2"/>
        <v>13.60438056</v>
      </c>
      <c r="J269" s="14" t="s">
        <v>42</v>
      </c>
      <c r="K269" s="15">
        <v>23795.0</v>
      </c>
      <c r="L269" s="16" t="s">
        <v>132</v>
      </c>
      <c r="M269" s="8" t="s">
        <v>926</v>
      </c>
      <c r="N269" s="1">
        <v>0.0</v>
      </c>
      <c r="O269" s="1">
        <v>0.0</v>
      </c>
      <c r="P269" s="16">
        <v>0.0</v>
      </c>
      <c r="Q269" s="16" t="s">
        <v>174</v>
      </c>
      <c r="R269" s="1" t="s">
        <v>140</v>
      </c>
    </row>
    <row r="270">
      <c r="A270" s="3">
        <v>28764.0</v>
      </c>
      <c r="B270" s="5" t="s">
        <v>58</v>
      </c>
      <c r="C270" s="2">
        <v>21.0</v>
      </c>
      <c r="D270" s="8" t="s">
        <v>927</v>
      </c>
      <c r="E270" s="1">
        <f>IFERROR(__xludf.DUMMYFUNCTION("IF(D270="""", 0, COUNTA(SPLIT(D270, "" "")))"),2.0)</f>
        <v>2</v>
      </c>
      <c r="F270" s="8" t="s">
        <v>928</v>
      </c>
      <c r="G270" s="12">
        <v>552.0</v>
      </c>
      <c r="H270" s="13">
        <f t="shared" si="1"/>
        <v>77.24024641</v>
      </c>
      <c r="I270" s="9">
        <f t="shared" si="2"/>
        <v>13.60438056</v>
      </c>
      <c r="J270" s="14" t="s">
        <v>42</v>
      </c>
      <c r="K270" s="15">
        <v>23795.0</v>
      </c>
      <c r="L270" s="16" t="s">
        <v>132</v>
      </c>
      <c r="M270" s="8" t="s">
        <v>929</v>
      </c>
      <c r="N270" s="1">
        <v>0.0</v>
      </c>
      <c r="O270" s="1">
        <v>0.0</v>
      </c>
      <c r="P270" s="16">
        <v>0.0</v>
      </c>
      <c r="Q270" s="16" t="s">
        <v>27</v>
      </c>
      <c r="R270" s="1" t="s">
        <v>140</v>
      </c>
    </row>
    <row r="271">
      <c r="A271" s="3">
        <v>28764.0</v>
      </c>
      <c r="B271" s="5" t="s">
        <v>58</v>
      </c>
      <c r="C271" s="2">
        <v>22.0</v>
      </c>
      <c r="D271" s="8" t="s">
        <v>930</v>
      </c>
      <c r="E271" s="1">
        <f>IFERROR(__xludf.DUMMYFUNCTION("IF(D271="""", 0, COUNTA(SPLIT(D271, "" "")))"),2.0)</f>
        <v>2</v>
      </c>
      <c r="F271" s="8" t="s">
        <v>931</v>
      </c>
      <c r="G271" s="12">
        <v>2102.0</v>
      </c>
      <c r="H271" s="13">
        <f t="shared" si="1"/>
        <v>72.99657769</v>
      </c>
      <c r="I271" s="9">
        <f t="shared" si="2"/>
        <v>13.60438056</v>
      </c>
      <c r="J271" s="14" t="s">
        <v>42</v>
      </c>
      <c r="K271" s="15">
        <v>23795.0</v>
      </c>
      <c r="L271" s="16" t="s">
        <v>132</v>
      </c>
      <c r="M271" s="8" t="s">
        <v>932</v>
      </c>
      <c r="N271" s="1">
        <v>0.0</v>
      </c>
      <c r="O271" s="1">
        <v>0.0</v>
      </c>
      <c r="P271" s="16">
        <v>0.0</v>
      </c>
      <c r="Q271" s="16" t="s">
        <v>178</v>
      </c>
      <c r="R271" s="1" t="s">
        <v>140</v>
      </c>
    </row>
    <row r="272">
      <c r="A272" s="3">
        <v>28764.0</v>
      </c>
      <c r="B272" s="5" t="s">
        <v>58</v>
      </c>
      <c r="C272" s="2">
        <v>23.0</v>
      </c>
      <c r="D272" s="17" t="s">
        <v>933</v>
      </c>
      <c r="E272" s="1">
        <f>IFERROR(__xludf.DUMMYFUNCTION("IF(D272="""", 0, COUNTA(SPLIT(D272, "" "")))"),2.0)</f>
        <v>2</v>
      </c>
      <c r="F272" s="8" t="s">
        <v>934</v>
      </c>
      <c r="G272" s="12">
        <v>6456.0</v>
      </c>
      <c r="H272" s="13">
        <f t="shared" si="1"/>
        <v>61.07597536</v>
      </c>
      <c r="I272" s="9">
        <f t="shared" si="2"/>
        <v>13.60438056</v>
      </c>
      <c r="J272" s="14" t="s">
        <v>42</v>
      </c>
      <c r="K272" s="15">
        <v>23795.0</v>
      </c>
      <c r="L272" s="16" t="s">
        <v>132</v>
      </c>
      <c r="M272" s="8" t="s">
        <v>935</v>
      </c>
      <c r="N272" s="1">
        <v>0.0</v>
      </c>
      <c r="O272" s="1">
        <v>0.0</v>
      </c>
      <c r="P272" s="16">
        <v>0.0</v>
      </c>
      <c r="Q272" s="16" t="s">
        <v>936</v>
      </c>
      <c r="R272" s="1" t="s">
        <v>140</v>
      </c>
    </row>
    <row r="273">
      <c r="A273" s="3">
        <v>28764.0</v>
      </c>
      <c r="B273" s="5" t="s">
        <v>58</v>
      </c>
      <c r="C273" s="2">
        <v>24.0</v>
      </c>
      <c r="D273" s="8" t="s">
        <v>937</v>
      </c>
      <c r="E273" s="1">
        <f>IFERROR(__xludf.DUMMYFUNCTION("IF(D273="""", 0, COUNTA(SPLIT(D273, "" "")))"),2.0)</f>
        <v>2</v>
      </c>
      <c r="F273" s="8" t="s">
        <v>938</v>
      </c>
      <c r="G273" s="12">
        <v>3787.0</v>
      </c>
      <c r="H273" s="13">
        <f t="shared" si="1"/>
        <v>68.38329911</v>
      </c>
      <c r="I273" s="9">
        <f t="shared" si="2"/>
        <v>13.60438056</v>
      </c>
      <c r="J273" s="14" t="s">
        <v>42</v>
      </c>
      <c r="K273" s="15">
        <v>23795.0</v>
      </c>
      <c r="L273" s="16" t="s">
        <v>132</v>
      </c>
      <c r="M273" s="8" t="s">
        <v>939</v>
      </c>
      <c r="N273" s="1">
        <v>0.0</v>
      </c>
      <c r="O273" s="1">
        <v>0.0</v>
      </c>
      <c r="P273" s="16">
        <v>0.0</v>
      </c>
      <c r="Q273" s="16" t="s">
        <v>218</v>
      </c>
      <c r="R273" s="1" t="s">
        <v>140</v>
      </c>
    </row>
    <row r="274">
      <c r="A274" s="3">
        <v>28764.0</v>
      </c>
      <c r="B274" s="5" t="s">
        <v>58</v>
      </c>
      <c r="C274" s="2">
        <v>25.0</v>
      </c>
      <c r="D274" s="8" t="s">
        <v>940</v>
      </c>
      <c r="E274" s="1">
        <f>IFERROR(__xludf.DUMMYFUNCTION("IF(D274="""", 0, COUNTA(SPLIT(D274, "" "")))"),2.0)</f>
        <v>2</v>
      </c>
      <c r="F274" s="8" t="s">
        <v>941</v>
      </c>
      <c r="G274" s="12">
        <v>1071.0</v>
      </c>
      <c r="H274" s="13">
        <f t="shared" si="1"/>
        <v>75.81930185</v>
      </c>
      <c r="I274" s="9">
        <f t="shared" si="2"/>
        <v>13.60438056</v>
      </c>
      <c r="J274" s="14" t="s">
        <v>42</v>
      </c>
      <c r="K274" s="15">
        <v>23795.0</v>
      </c>
      <c r="L274" s="16" t="s">
        <v>132</v>
      </c>
      <c r="M274" s="8" t="s">
        <v>942</v>
      </c>
      <c r="N274" s="1">
        <v>0.0</v>
      </c>
      <c r="O274" s="1">
        <v>0.0</v>
      </c>
      <c r="P274" s="16">
        <v>0.0</v>
      </c>
      <c r="Q274" s="16" t="s">
        <v>27</v>
      </c>
      <c r="R274" s="1" t="s">
        <v>140</v>
      </c>
    </row>
    <row r="275">
      <c r="A275" s="3">
        <v>28764.0</v>
      </c>
      <c r="B275" s="5" t="s">
        <v>58</v>
      </c>
      <c r="C275" s="2">
        <v>26.0</v>
      </c>
      <c r="D275" s="8" t="s">
        <v>943</v>
      </c>
      <c r="E275" s="1">
        <f>IFERROR(__xludf.DUMMYFUNCTION("IF(D275="""", 0, COUNTA(SPLIT(D275, "" "")))"),2.0)</f>
        <v>2</v>
      </c>
      <c r="F275" s="8" t="s">
        <v>944</v>
      </c>
      <c r="G275" s="12">
        <v>651.0</v>
      </c>
      <c r="H275" s="13">
        <f t="shared" si="1"/>
        <v>76.96919918</v>
      </c>
      <c r="I275" s="9">
        <f t="shared" si="2"/>
        <v>13.60438056</v>
      </c>
      <c r="J275" s="14" t="s">
        <v>42</v>
      </c>
      <c r="K275" s="15">
        <v>23795.0</v>
      </c>
      <c r="L275" s="16" t="s">
        <v>132</v>
      </c>
      <c r="M275" s="8" t="s">
        <v>945</v>
      </c>
      <c r="N275" s="1">
        <v>0.0</v>
      </c>
      <c r="O275" s="1">
        <v>0.0</v>
      </c>
      <c r="P275" s="16">
        <v>0.0</v>
      </c>
      <c r="Q275" s="16" t="s">
        <v>174</v>
      </c>
      <c r="R275" s="1" t="s">
        <v>140</v>
      </c>
    </row>
    <row r="276">
      <c r="A276" s="3">
        <v>28764.0</v>
      </c>
      <c r="B276" s="5" t="s">
        <v>58</v>
      </c>
      <c r="C276" s="2">
        <v>27.0</v>
      </c>
      <c r="D276" s="8" t="s">
        <v>946</v>
      </c>
      <c r="E276" s="1">
        <f>IFERROR(__xludf.DUMMYFUNCTION("IF(D276="""", 0, COUNTA(SPLIT(D276, "" "")))"),2.0)</f>
        <v>2</v>
      </c>
      <c r="F276" s="8" t="s">
        <v>947</v>
      </c>
      <c r="G276" s="12">
        <v>2249.0</v>
      </c>
      <c r="H276" s="13">
        <f t="shared" si="1"/>
        <v>72.59411362</v>
      </c>
      <c r="I276" s="9">
        <f t="shared" si="2"/>
        <v>11.26625599</v>
      </c>
      <c r="J276" s="14" t="s">
        <v>42</v>
      </c>
      <c r="K276" s="15">
        <v>24649.0</v>
      </c>
      <c r="L276" s="16" t="s">
        <v>132</v>
      </c>
      <c r="M276" s="8" t="s">
        <v>948</v>
      </c>
      <c r="N276" s="1">
        <v>0.0</v>
      </c>
      <c r="O276" s="1">
        <v>0.0</v>
      </c>
      <c r="P276" s="16">
        <v>0.0</v>
      </c>
      <c r="Q276" s="16" t="s">
        <v>27</v>
      </c>
      <c r="R276" s="1" t="s">
        <v>140</v>
      </c>
    </row>
    <row r="277">
      <c r="A277" s="3">
        <v>28764.0</v>
      </c>
      <c r="B277" s="5" t="s">
        <v>58</v>
      </c>
      <c r="C277" s="2">
        <v>28.0</v>
      </c>
      <c r="D277" s="8" t="s">
        <v>949</v>
      </c>
      <c r="E277" s="1">
        <f>IFERROR(__xludf.DUMMYFUNCTION("IF(D277="""", 0, COUNTA(SPLIT(D277, "" "")))"),3.0)</f>
        <v>3</v>
      </c>
      <c r="F277" s="8" t="s">
        <v>950</v>
      </c>
      <c r="G277" s="12">
        <v>1758.0</v>
      </c>
      <c r="H277" s="13">
        <f t="shared" si="1"/>
        <v>73.93839836</v>
      </c>
      <c r="I277" s="9">
        <f t="shared" si="2"/>
        <v>11.26625599</v>
      </c>
      <c r="J277" s="14" t="s">
        <v>42</v>
      </c>
      <c r="K277" s="15">
        <v>24649.0</v>
      </c>
      <c r="L277" s="16" t="s">
        <v>132</v>
      </c>
      <c r="M277" s="8" t="s">
        <v>951</v>
      </c>
      <c r="N277" s="1">
        <v>0.0</v>
      </c>
      <c r="O277" s="1">
        <v>0.0</v>
      </c>
      <c r="P277" s="16">
        <v>0.0</v>
      </c>
      <c r="Q277" s="16" t="s">
        <v>174</v>
      </c>
      <c r="R277" s="1" t="s">
        <v>140</v>
      </c>
    </row>
    <row r="278">
      <c r="A278" s="3">
        <v>28764.0</v>
      </c>
      <c r="B278" s="5" t="s">
        <v>58</v>
      </c>
      <c r="C278" s="2">
        <v>29.0</v>
      </c>
      <c r="D278" s="17" t="s">
        <v>952</v>
      </c>
      <c r="E278" s="1">
        <f>IFERROR(__xludf.DUMMYFUNCTION("IF(D278="""", 0, COUNTA(SPLIT(D278, "" "")))"),3.0)</f>
        <v>3</v>
      </c>
      <c r="F278" s="8" t="s">
        <v>953</v>
      </c>
      <c r="G278" s="12">
        <v>73.0</v>
      </c>
      <c r="H278" s="13">
        <f t="shared" si="1"/>
        <v>78.55167693</v>
      </c>
      <c r="I278" s="9">
        <f t="shared" si="2"/>
        <v>11.26625599</v>
      </c>
      <c r="J278" s="14" t="s">
        <v>42</v>
      </c>
      <c r="K278" s="15">
        <v>24649.0</v>
      </c>
      <c r="L278" s="16" t="s">
        <v>132</v>
      </c>
      <c r="M278" s="8" t="s">
        <v>954</v>
      </c>
      <c r="N278" s="1">
        <v>0.0</v>
      </c>
      <c r="O278" s="1">
        <v>0.0</v>
      </c>
      <c r="P278" s="16">
        <v>0.0</v>
      </c>
      <c r="Q278" s="16" t="s">
        <v>159</v>
      </c>
      <c r="R278" s="1" t="s">
        <v>140</v>
      </c>
    </row>
    <row r="279">
      <c r="A279" s="3">
        <v>28764.0</v>
      </c>
      <c r="B279" s="5" t="s">
        <v>58</v>
      </c>
      <c r="C279" s="2">
        <v>30.0</v>
      </c>
      <c r="D279" s="8" t="s">
        <v>955</v>
      </c>
      <c r="E279" s="1">
        <f>IFERROR(__xludf.DUMMYFUNCTION("IF(D279="""", 0, COUNTA(SPLIT(D279, "" "")))"),3.0)</f>
        <v>3</v>
      </c>
      <c r="F279" s="8" t="s">
        <v>956</v>
      </c>
      <c r="G279" s="12">
        <v>3952.0</v>
      </c>
      <c r="H279" s="13">
        <f t="shared" si="1"/>
        <v>67.93155373</v>
      </c>
      <c r="I279" s="9">
        <f t="shared" si="2"/>
        <v>11.26625599</v>
      </c>
      <c r="J279" s="14" t="s">
        <v>42</v>
      </c>
      <c r="K279" s="15">
        <v>24649.0</v>
      </c>
      <c r="L279" s="16" t="s">
        <v>132</v>
      </c>
      <c r="M279" s="8" t="s">
        <v>957</v>
      </c>
      <c r="N279" s="1">
        <v>0.0</v>
      </c>
      <c r="O279" s="1">
        <v>0.0</v>
      </c>
      <c r="P279" s="16">
        <v>0.0</v>
      </c>
      <c r="Q279" s="16" t="s">
        <v>167</v>
      </c>
      <c r="R279" s="1" t="s">
        <v>140</v>
      </c>
    </row>
    <row r="280">
      <c r="A280" s="3">
        <v>28764.0</v>
      </c>
      <c r="B280" s="5" t="s">
        <v>58</v>
      </c>
      <c r="C280" s="2">
        <v>31.0</v>
      </c>
      <c r="D280" s="8" t="s">
        <v>958</v>
      </c>
      <c r="E280" s="1">
        <f>IFERROR(__xludf.DUMMYFUNCTION("IF(D280="""", 0, COUNTA(SPLIT(D280, "" "")))"),3.0)</f>
        <v>3</v>
      </c>
      <c r="F280" s="8" t="s">
        <v>959</v>
      </c>
      <c r="G280" s="12">
        <v>2915.0</v>
      </c>
      <c r="H280" s="13">
        <f t="shared" si="1"/>
        <v>70.770705</v>
      </c>
      <c r="I280" s="9">
        <f t="shared" si="2"/>
        <v>11.26625599</v>
      </c>
      <c r="J280" s="14" t="s">
        <v>42</v>
      </c>
      <c r="K280" s="15">
        <v>24649.0</v>
      </c>
      <c r="L280" s="16" t="s">
        <v>132</v>
      </c>
      <c r="M280" s="8" t="s">
        <v>960</v>
      </c>
      <c r="N280" s="1">
        <v>0.0</v>
      </c>
      <c r="O280" s="1">
        <v>0.0</v>
      </c>
      <c r="P280" s="16">
        <v>0.0</v>
      </c>
      <c r="Q280" s="16" t="s">
        <v>167</v>
      </c>
      <c r="R280" s="1" t="s">
        <v>140</v>
      </c>
    </row>
    <row r="281">
      <c r="A281" s="3">
        <v>28764.0</v>
      </c>
      <c r="B281" s="5" t="s">
        <v>58</v>
      </c>
      <c r="C281" s="2">
        <v>32.0</v>
      </c>
      <c r="D281" s="8" t="s">
        <v>961</v>
      </c>
      <c r="E281" s="1">
        <f>IFERROR(__xludf.DUMMYFUNCTION("IF(D281="""", 0, COUNTA(SPLIT(D281, "" "")))"),2.0)</f>
        <v>2</v>
      </c>
      <c r="F281" s="8" t="s">
        <v>962</v>
      </c>
      <c r="G281" s="12">
        <v>3130.0</v>
      </c>
      <c r="H281" s="13">
        <f t="shared" si="1"/>
        <v>70.18206708</v>
      </c>
      <c r="I281" s="9">
        <f t="shared" si="2"/>
        <v>11.26625599</v>
      </c>
      <c r="J281" s="14" t="s">
        <v>42</v>
      </c>
      <c r="K281" s="15">
        <v>24649.0</v>
      </c>
      <c r="L281" s="16" t="s">
        <v>132</v>
      </c>
      <c r="M281" s="8" t="s">
        <v>963</v>
      </c>
      <c r="N281" s="1">
        <v>0.0</v>
      </c>
      <c r="O281" s="1">
        <v>0.0</v>
      </c>
      <c r="P281" s="16">
        <v>0.0</v>
      </c>
      <c r="Q281" s="16" t="s">
        <v>27</v>
      </c>
      <c r="R281" s="1" t="s">
        <v>140</v>
      </c>
    </row>
    <row r="282">
      <c r="A282" s="3">
        <v>28764.0</v>
      </c>
      <c r="B282" s="5" t="s">
        <v>58</v>
      </c>
      <c r="C282" s="2">
        <v>33.0</v>
      </c>
      <c r="D282" s="8" t="s">
        <v>964</v>
      </c>
      <c r="E282" s="1">
        <f>IFERROR(__xludf.DUMMYFUNCTION("IF(D282="""", 0, COUNTA(SPLIT(D282, "" "")))"),2.0)</f>
        <v>2</v>
      </c>
      <c r="F282" s="8" t="s">
        <v>965</v>
      </c>
      <c r="G282" s="12">
        <v>7924.0</v>
      </c>
      <c r="H282" s="13">
        <f t="shared" si="1"/>
        <v>57.0568104</v>
      </c>
      <c r="I282" s="9">
        <f t="shared" si="2"/>
        <v>11.26625599</v>
      </c>
      <c r="J282" s="14" t="s">
        <v>42</v>
      </c>
      <c r="K282" s="15">
        <v>24649.0</v>
      </c>
      <c r="L282" s="16" t="s">
        <v>132</v>
      </c>
      <c r="M282" s="8" t="s">
        <v>966</v>
      </c>
      <c r="N282" s="1">
        <v>0.0</v>
      </c>
      <c r="O282" s="1">
        <v>0.0</v>
      </c>
      <c r="P282" s="16">
        <v>0.0</v>
      </c>
      <c r="Q282" s="16" t="s">
        <v>159</v>
      </c>
      <c r="R282" s="1" t="s">
        <v>140</v>
      </c>
    </row>
    <row r="283">
      <c r="A283" s="3">
        <v>28764.0</v>
      </c>
      <c r="B283" s="5" t="s">
        <v>58</v>
      </c>
      <c r="C283" s="2">
        <v>34.0</v>
      </c>
      <c r="D283" s="8" t="s">
        <v>967</v>
      </c>
      <c r="E283" s="1">
        <f>IFERROR(__xludf.DUMMYFUNCTION("IF(D283="""", 0, COUNTA(SPLIT(D283, "" "")))"),2.0)</f>
        <v>2</v>
      </c>
      <c r="F283" s="8" t="s">
        <v>968</v>
      </c>
      <c r="G283" s="12">
        <v>5420.0</v>
      </c>
      <c r="H283" s="13">
        <f t="shared" si="1"/>
        <v>63.91238877</v>
      </c>
      <c r="I283" s="9">
        <f t="shared" si="2"/>
        <v>11.26625599</v>
      </c>
      <c r="J283" s="14" t="s">
        <v>42</v>
      </c>
      <c r="K283" s="15">
        <v>24649.0</v>
      </c>
      <c r="L283" s="16" t="s">
        <v>132</v>
      </c>
      <c r="M283" s="8" t="s">
        <v>969</v>
      </c>
      <c r="N283" s="1">
        <v>0.0</v>
      </c>
      <c r="O283" s="1">
        <v>0.0</v>
      </c>
      <c r="P283" s="16">
        <v>0.0</v>
      </c>
      <c r="Q283" s="16" t="s">
        <v>630</v>
      </c>
      <c r="R283" s="1" t="s">
        <v>140</v>
      </c>
    </row>
    <row r="284">
      <c r="A284" s="3">
        <v>28764.0</v>
      </c>
      <c r="B284" s="1" t="s">
        <v>138</v>
      </c>
      <c r="C284" s="19">
        <v>35.0</v>
      </c>
      <c r="D284" s="17" t="s">
        <v>970</v>
      </c>
      <c r="E284" s="1">
        <f>IFERROR(__xludf.DUMMYFUNCTION("IF(D284="""", 0, COUNTA(SPLIT(D284, "" "")))"),3.0)</f>
        <v>3</v>
      </c>
      <c r="F284" s="8" t="s">
        <v>971</v>
      </c>
      <c r="G284" s="20">
        <v>7444.0</v>
      </c>
      <c r="H284" s="13">
        <f t="shared" si="1"/>
        <v>58.37097878</v>
      </c>
      <c r="I284" s="9">
        <f t="shared" si="2"/>
        <v>11.26625599</v>
      </c>
      <c r="J284" s="14" t="s">
        <v>42</v>
      </c>
      <c r="K284" s="15">
        <v>24649.0</v>
      </c>
      <c r="L284" s="16" t="s">
        <v>132</v>
      </c>
      <c r="M284" s="8" t="s">
        <v>972</v>
      </c>
      <c r="N284" s="1">
        <v>0.0</v>
      </c>
      <c r="O284" s="1">
        <v>0.0</v>
      </c>
      <c r="P284" s="16">
        <v>0.0</v>
      </c>
      <c r="Q284" s="16" t="s">
        <v>204</v>
      </c>
      <c r="R284" s="1" t="s">
        <v>140</v>
      </c>
    </row>
    <row r="285">
      <c r="A285" s="3">
        <v>28764.0</v>
      </c>
      <c r="B285" s="5" t="s">
        <v>58</v>
      </c>
      <c r="C285" s="2">
        <v>36.0</v>
      </c>
      <c r="D285" s="8" t="s">
        <v>973</v>
      </c>
      <c r="E285" s="1">
        <f>IFERROR(__xludf.DUMMYFUNCTION("IF(D285="""", 0, COUNTA(SPLIT(D285, "" "")))"),2.0)</f>
        <v>2</v>
      </c>
      <c r="F285" s="8" t="s">
        <v>974</v>
      </c>
      <c r="G285" s="12">
        <v>1211.0</v>
      </c>
      <c r="H285" s="13">
        <f t="shared" si="1"/>
        <v>75.43600274</v>
      </c>
      <c r="I285" s="9">
        <f t="shared" si="2"/>
        <v>11.26625599</v>
      </c>
      <c r="J285" s="14" t="s">
        <v>42</v>
      </c>
      <c r="K285" s="15">
        <v>24649.0</v>
      </c>
      <c r="L285" s="16" t="s">
        <v>132</v>
      </c>
      <c r="M285" s="8" t="s">
        <v>975</v>
      </c>
      <c r="N285" s="1">
        <v>0.0</v>
      </c>
      <c r="O285" s="1">
        <v>0.0</v>
      </c>
      <c r="P285" s="16">
        <v>0.0</v>
      </c>
      <c r="Q285" s="16" t="s">
        <v>27</v>
      </c>
      <c r="R285" s="1" t="s">
        <v>140</v>
      </c>
    </row>
    <row r="286">
      <c r="A286" s="3">
        <v>28764.0</v>
      </c>
      <c r="B286" s="5" t="s">
        <v>58</v>
      </c>
      <c r="C286" s="2">
        <v>37.0</v>
      </c>
      <c r="D286" s="8" t="s">
        <v>976</v>
      </c>
      <c r="E286" s="1">
        <f>IFERROR(__xludf.DUMMYFUNCTION("IF(D286="""", 0, COUNTA(SPLIT(D286, "" "")))"),2.0)</f>
        <v>2</v>
      </c>
      <c r="F286" s="8" t="s">
        <v>977</v>
      </c>
      <c r="G286" s="12">
        <v>2350.0</v>
      </c>
      <c r="H286" s="13">
        <f t="shared" si="1"/>
        <v>72.31759069</v>
      </c>
      <c r="I286" s="9">
        <f t="shared" si="2"/>
        <v>11.26625599</v>
      </c>
      <c r="J286" s="14" t="s">
        <v>42</v>
      </c>
      <c r="K286" s="15">
        <v>24649.0</v>
      </c>
      <c r="L286" s="16" t="s">
        <v>132</v>
      </c>
      <c r="M286" s="8" t="s">
        <v>978</v>
      </c>
      <c r="N286" s="1">
        <v>0.0</v>
      </c>
      <c r="O286" s="1">
        <v>0.0</v>
      </c>
      <c r="P286" s="16">
        <v>0.0</v>
      </c>
      <c r="Q286" s="16" t="s">
        <v>174</v>
      </c>
      <c r="R286" s="1" t="s">
        <v>140</v>
      </c>
    </row>
    <row r="287">
      <c r="A287" s="3">
        <v>28764.0</v>
      </c>
      <c r="B287" s="5" t="s">
        <v>58</v>
      </c>
      <c r="C287" s="2">
        <v>38.0</v>
      </c>
      <c r="D287" s="8" t="s">
        <v>979</v>
      </c>
      <c r="E287" s="1">
        <f>IFERROR(__xludf.DUMMYFUNCTION("IF(D287="""", 0, COUNTA(SPLIT(D287, "" "")))"),3.0)</f>
        <v>3</v>
      </c>
      <c r="F287" s="8" t="s">
        <v>980</v>
      </c>
      <c r="G287" s="12">
        <v>1132.0</v>
      </c>
      <c r="H287" s="13">
        <f t="shared" si="1"/>
        <v>75.65229295</v>
      </c>
      <c r="I287" s="9">
        <f t="shared" si="2"/>
        <v>11.26625599</v>
      </c>
      <c r="J287" s="14" t="s">
        <v>42</v>
      </c>
      <c r="K287" s="15">
        <v>24649.0</v>
      </c>
      <c r="L287" s="16" t="s">
        <v>132</v>
      </c>
      <c r="M287" s="8" t="s">
        <v>981</v>
      </c>
      <c r="N287" s="1">
        <v>0.0</v>
      </c>
      <c r="O287" s="1">
        <v>0.0</v>
      </c>
      <c r="P287" s="16">
        <v>0.0</v>
      </c>
      <c r="Q287" s="16" t="s">
        <v>159</v>
      </c>
      <c r="R287" s="1" t="s">
        <v>140</v>
      </c>
    </row>
    <row r="288">
      <c r="A288" s="3">
        <v>28764.0</v>
      </c>
      <c r="B288" s="5" t="s">
        <v>58</v>
      </c>
      <c r="C288" s="2">
        <v>39.0</v>
      </c>
      <c r="D288" s="8" t="s">
        <v>982</v>
      </c>
      <c r="E288" s="1">
        <f>IFERROR(__xludf.DUMMYFUNCTION("IF(D288="""", 0, COUNTA(SPLIT(D288, "" "")))"),4.0)</f>
        <v>4</v>
      </c>
      <c r="F288" s="8" t="s">
        <v>983</v>
      </c>
      <c r="G288" s="12">
        <v>2453.0</v>
      </c>
      <c r="H288" s="13">
        <f t="shared" si="1"/>
        <v>72.03559206</v>
      </c>
      <c r="I288" s="9">
        <f t="shared" si="2"/>
        <v>9.42642026</v>
      </c>
      <c r="J288" s="14" t="s">
        <v>42</v>
      </c>
      <c r="K288" s="15">
        <v>25321.0</v>
      </c>
      <c r="L288" s="16" t="s">
        <v>132</v>
      </c>
      <c r="M288" s="8" t="s">
        <v>984</v>
      </c>
      <c r="N288" s="1">
        <v>0.0</v>
      </c>
      <c r="O288" s="1">
        <v>0.0</v>
      </c>
      <c r="P288" s="16">
        <v>0.0</v>
      </c>
      <c r="Q288" s="16" t="s">
        <v>568</v>
      </c>
      <c r="R288" s="1" t="s">
        <v>140</v>
      </c>
    </row>
    <row r="289">
      <c r="A289" s="3">
        <v>28764.0</v>
      </c>
      <c r="B289" s="5" t="s">
        <v>58</v>
      </c>
      <c r="C289" s="2">
        <v>40.0</v>
      </c>
      <c r="D289" s="8" t="s">
        <v>985</v>
      </c>
      <c r="E289" s="1">
        <f>IFERROR(__xludf.DUMMYFUNCTION("IF(D289="""", 0, COUNTA(SPLIT(D289, "" "")))"),3.0)</f>
        <v>3</v>
      </c>
      <c r="F289" s="8" t="s">
        <v>986</v>
      </c>
      <c r="G289" s="12">
        <v>3875.0</v>
      </c>
      <c r="H289" s="13">
        <f t="shared" si="1"/>
        <v>68.14236824</v>
      </c>
      <c r="I289" s="9">
        <f t="shared" si="2"/>
        <v>9.42642026</v>
      </c>
      <c r="J289" s="14" t="s">
        <v>42</v>
      </c>
      <c r="K289" s="15">
        <v>25321.0</v>
      </c>
      <c r="L289" s="16" t="s">
        <v>132</v>
      </c>
      <c r="M289" s="8" t="s">
        <v>987</v>
      </c>
      <c r="N289" s="1">
        <v>0.0</v>
      </c>
      <c r="O289" s="1">
        <v>0.0</v>
      </c>
      <c r="P289" s="16">
        <v>0.0</v>
      </c>
      <c r="Q289" s="16" t="s">
        <v>167</v>
      </c>
      <c r="R289" s="1" t="s">
        <v>140</v>
      </c>
    </row>
    <row r="290">
      <c r="A290" s="3">
        <v>28764.0</v>
      </c>
      <c r="B290" s="5" t="s">
        <v>58</v>
      </c>
      <c r="C290" s="2">
        <v>41.0</v>
      </c>
      <c r="D290" s="8" t="s">
        <v>988</v>
      </c>
      <c r="E290" s="1">
        <f>IFERROR(__xludf.DUMMYFUNCTION("IF(D290="""", 0, COUNTA(SPLIT(D290, "" "")))"),2.0)</f>
        <v>2</v>
      </c>
      <c r="F290" s="8" t="s">
        <v>989</v>
      </c>
      <c r="G290" s="12">
        <v>2954.0</v>
      </c>
      <c r="H290" s="13">
        <f t="shared" si="1"/>
        <v>70.66392882</v>
      </c>
      <c r="I290" s="9">
        <f t="shared" si="2"/>
        <v>9.42642026</v>
      </c>
      <c r="J290" s="14" t="s">
        <v>42</v>
      </c>
      <c r="K290" s="15">
        <v>25321.0</v>
      </c>
      <c r="L290" s="16" t="s">
        <v>132</v>
      </c>
      <c r="M290" s="8" t="s">
        <v>990</v>
      </c>
      <c r="N290" s="1">
        <v>0.0</v>
      </c>
      <c r="O290" s="1">
        <v>0.0</v>
      </c>
      <c r="P290" s="16">
        <v>0.0</v>
      </c>
      <c r="Q290" s="16" t="s">
        <v>27</v>
      </c>
      <c r="R290" s="1" t="s">
        <v>140</v>
      </c>
    </row>
    <row r="291">
      <c r="A291" s="3">
        <v>28764.0</v>
      </c>
      <c r="B291" s="5" t="s">
        <v>58</v>
      </c>
      <c r="C291" s="2">
        <v>42.0</v>
      </c>
      <c r="D291" s="8" t="s">
        <v>991</v>
      </c>
      <c r="E291" s="1">
        <f>IFERROR(__xludf.DUMMYFUNCTION("IF(D291="""", 0, COUNTA(SPLIT(D291, "" "")))"),2.0)</f>
        <v>2</v>
      </c>
      <c r="F291" s="8" t="s">
        <v>992</v>
      </c>
      <c r="G291" s="12">
        <v>4475.0</v>
      </c>
      <c r="H291" s="13">
        <f t="shared" si="1"/>
        <v>66.49965777</v>
      </c>
      <c r="I291" s="9">
        <f t="shared" si="2"/>
        <v>9.42642026</v>
      </c>
      <c r="J291" s="14" t="s">
        <v>42</v>
      </c>
      <c r="K291" s="15">
        <v>25321.0</v>
      </c>
      <c r="L291" s="16" t="s">
        <v>132</v>
      </c>
      <c r="M291" s="8" t="s">
        <v>993</v>
      </c>
      <c r="N291" s="1">
        <v>0.0</v>
      </c>
      <c r="O291" s="1">
        <v>0.0</v>
      </c>
      <c r="P291" s="16">
        <v>0.0</v>
      </c>
      <c r="Q291" s="16" t="s">
        <v>383</v>
      </c>
      <c r="R291" s="1" t="s">
        <v>140</v>
      </c>
    </row>
    <row r="292">
      <c r="A292" s="3">
        <v>28764.0</v>
      </c>
      <c r="B292" s="5" t="s">
        <v>58</v>
      </c>
      <c r="C292" s="2">
        <v>43.0</v>
      </c>
      <c r="D292" s="8" t="s">
        <v>994</v>
      </c>
      <c r="E292" s="1">
        <f>IFERROR(__xludf.DUMMYFUNCTION("IF(D292="""", 0, COUNTA(SPLIT(D292, "" "")))"),3.0)</f>
        <v>3</v>
      </c>
      <c r="F292" s="8" t="s">
        <v>995</v>
      </c>
      <c r="G292" s="12">
        <v>2845.0</v>
      </c>
      <c r="H292" s="13">
        <f t="shared" si="1"/>
        <v>70.96235455</v>
      </c>
      <c r="I292" s="9">
        <f t="shared" si="2"/>
        <v>9.42642026</v>
      </c>
      <c r="J292" s="14" t="s">
        <v>42</v>
      </c>
      <c r="K292" s="15">
        <v>25321.0</v>
      </c>
      <c r="L292" s="16" t="s">
        <v>132</v>
      </c>
      <c r="M292" s="8" t="s">
        <v>996</v>
      </c>
      <c r="N292" s="1">
        <v>0.0</v>
      </c>
      <c r="O292" s="1">
        <v>0.0</v>
      </c>
      <c r="P292" s="16">
        <v>0.0</v>
      </c>
      <c r="Q292" s="16" t="s">
        <v>167</v>
      </c>
      <c r="R292" s="1" t="s">
        <v>140</v>
      </c>
    </row>
    <row r="293">
      <c r="A293" s="3">
        <v>28764.0</v>
      </c>
      <c r="B293" s="5" t="s">
        <v>58</v>
      </c>
      <c r="C293" s="2">
        <v>44.0</v>
      </c>
      <c r="D293" s="8" t="s">
        <v>997</v>
      </c>
      <c r="E293" s="1">
        <f>IFERROR(__xludf.DUMMYFUNCTION("IF(D293="""", 0, COUNTA(SPLIT(D293, "" "")))"),2.0)</f>
        <v>2</v>
      </c>
      <c r="F293" s="8" t="s">
        <v>998</v>
      </c>
      <c r="G293" s="12">
        <v>1598.0</v>
      </c>
      <c r="H293" s="13">
        <f t="shared" si="1"/>
        <v>74.37645448</v>
      </c>
      <c r="I293" s="9">
        <f t="shared" si="2"/>
        <v>9.42642026</v>
      </c>
      <c r="J293" s="14" t="s">
        <v>42</v>
      </c>
      <c r="K293" s="15">
        <v>25321.0</v>
      </c>
      <c r="L293" s="16" t="s">
        <v>132</v>
      </c>
      <c r="M293" s="8" t="s">
        <v>999</v>
      </c>
      <c r="N293" s="1">
        <v>0.0</v>
      </c>
      <c r="O293" s="1">
        <v>0.0</v>
      </c>
      <c r="P293" s="16">
        <v>0.0</v>
      </c>
      <c r="Q293" s="16" t="s">
        <v>174</v>
      </c>
      <c r="R293" s="1" t="s">
        <v>140</v>
      </c>
    </row>
    <row r="294">
      <c r="A294" s="3">
        <v>28764.0</v>
      </c>
      <c r="B294" s="5" t="s">
        <v>58</v>
      </c>
      <c r="C294" s="2">
        <v>45.0</v>
      </c>
      <c r="D294" s="17" t="s">
        <v>1000</v>
      </c>
      <c r="E294" s="1">
        <f>IFERROR(__xludf.DUMMYFUNCTION("IF(D294="""", 0, COUNTA(SPLIT(D294, "" "")))"),3.0)</f>
        <v>3</v>
      </c>
      <c r="F294" s="8" t="s">
        <v>1001</v>
      </c>
      <c r="G294" s="12">
        <v>2126.0</v>
      </c>
      <c r="H294" s="13">
        <f t="shared" si="1"/>
        <v>72.93086927</v>
      </c>
      <c r="I294" s="9">
        <f t="shared" si="2"/>
        <v>9.42642026</v>
      </c>
      <c r="J294" s="14" t="s">
        <v>42</v>
      </c>
      <c r="K294" s="15">
        <v>25321.0</v>
      </c>
      <c r="L294" s="16" t="s">
        <v>132</v>
      </c>
      <c r="M294" s="8" t="s">
        <v>1002</v>
      </c>
      <c r="N294" s="1">
        <v>0.0</v>
      </c>
      <c r="O294" s="1">
        <v>0.0</v>
      </c>
      <c r="P294" s="16">
        <v>0.0</v>
      </c>
      <c r="Q294" s="16" t="s">
        <v>167</v>
      </c>
      <c r="R294" s="1" t="s">
        <v>140</v>
      </c>
    </row>
    <row r="295">
      <c r="A295" s="3">
        <v>28764.0</v>
      </c>
      <c r="B295" s="5" t="s">
        <v>58</v>
      </c>
      <c r="C295" s="2">
        <v>46.0</v>
      </c>
      <c r="D295" s="8" t="s">
        <v>1003</v>
      </c>
      <c r="E295" s="1">
        <f>IFERROR(__xludf.DUMMYFUNCTION("IF(D295="""", 0, COUNTA(SPLIT(D295, "" "")))"),2.0)</f>
        <v>2</v>
      </c>
      <c r="F295" s="8" t="s">
        <v>1004</v>
      </c>
      <c r="G295" s="12">
        <v>3950.0</v>
      </c>
      <c r="H295" s="13">
        <f t="shared" si="1"/>
        <v>67.93702943</v>
      </c>
      <c r="I295" s="9">
        <f t="shared" si="2"/>
        <v>9.42642026</v>
      </c>
      <c r="J295" s="14" t="s">
        <v>42</v>
      </c>
      <c r="K295" s="15">
        <v>25321.0</v>
      </c>
      <c r="L295" s="16" t="s">
        <v>132</v>
      </c>
      <c r="M295" s="8" t="s">
        <v>1005</v>
      </c>
      <c r="N295" s="1">
        <v>0.0</v>
      </c>
      <c r="O295" s="1">
        <v>0.0</v>
      </c>
      <c r="P295" s="16">
        <v>0.0</v>
      </c>
      <c r="Q295" s="16" t="s">
        <v>174</v>
      </c>
      <c r="R295" s="1" t="s">
        <v>140</v>
      </c>
    </row>
    <row r="296">
      <c r="A296" s="3">
        <v>28764.0</v>
      </c>
      <c r="B296" s="5" t="s">
        <v>58</v>
      </c>
      <c r="C296" s="2">
        <v>47.0</v>
      </c>
      <c r="D296" s="17" t="s">
        <v>1006</v>
      </c>
      <c r="E296" s="1">
        <f>IFERROR(__xludf.DUMMYFUNCTION("IF(D296="""", 0, COUNTA(SPLIT(D296, "" "")))"),4.0)</f>
        <v>4</v>
      </c>
      <c r="F296" s="8" t="s">
        <v>1007</v>
      </c>
      <c r="G296" s="12">
        <v>3332.0</v>
      </c>
      <c r="H296" s="13">
        <f t="shared" si="1"/>
        <v>69.62902122</v>
      </c>
      <c r="I296" s="9">
        <f t="shared" si="2"/>
        <v>9.42642026</v>
      </c>
      <c r="J296" s="14" t="s">
        <v>42</v>
      </c>
      <c r="K296" s="15">
        <v>25321.0</v>
      </c>
      <c r="L296" s="16" t="s">
        <v>132</v>
      </c>
      <c r="M296" s="8" t="s">
        <v>1008</v>
      </c>
      <c r="N296" s="1">
        <v>0.0</v>
      </c>
      <c r="O296" s="1">
        <v>0.0</v>
      </c>
      <c r="P296" s="16">
        <v>0.0</v>
      </c>
      <c r="Q296" s="16" t="s">
        <v>163</v>
      </c>
      <c r="R296" s="1" t="s">
        <v>140</v>
      </c>
    </row>
    <row r="297">
      <c r="A297" s="3">
        <v>28764.0</v>
      </c>
      <c r="B297" s="5" t="s">
        <v>58</v>
      </c>
      <c r="C297" s="2">
        <v>48.0</v>
      </c>
      <c r="D297" s="8" t="s">
        <v>1009</v>
      </c>
      <c r="E297" s="1">
        <f>IFERROR(__xludf.DUMMYFUNCTION("IF(D297="""", 0, COUNTA(SPLIT(D297, "" "")))"),4.0)</f>
        <v>4</v>
      </c>
      <c r="F297" s="8" t="s">
        <v>1010</v>
      </c>
      <c r="G297" s="12">
        <v>2691.0</v>
      </c>
      <c r="H297" s="13">
        <f t="shared" si="1"/>
        <v>71.38398357</v>
      </c>
      <c r="I297" s="9">
        <f t="shared" si="2"/>
        <v>9.42642026</v>
      </c>
      <c r="J297" s="14" t="s">
        <v>42</v>
      </c>
      <c r="K297" s="15">
        <v>25321.0</v>
      </c>
      <c r="L297" s="16" t="s">
        <v>132</v>
      </c>
      <c r="M297" s="8" t="s">
        <v>1011</v>
      </c>
      <c r="N297" s="1">
        <v>0.0</v>
      </c>
      <c r="O297" s="1">
        <v>0.0</v>
      </c>
      <c r="P297" s="16">
        <v>0.0</v>
      </c>
      <c r="Q297" s="16" t="s">
        <v>163</v>
      </c>
      <c r="R297" s="1" t="s">
        <v>140</v>
      </c>
    </row>
    <row r="298">
      <c r="A298" s="3">
        <v>28764.0</v>
      </c>
      <c r="B298" s="5" t="s">
        <v>58</v>
      </c>
      <c r="C298" s="2">
        <v>49.0</v>
      </c>
      <c r="D298" s="8" t="s">
        <v>1012</v>
      </c>
      <c r="E298" s="1">
        <f>IFERROR(__xludf.DUMMYFUNCTION("IF(D298="""", 0, COUNTA(SPLIT(D298, "" "")))"),2.0)</f>
        <v>2</v>
      </c>
      <c r="F298" s="8" t="s">
        <v>1013</v>
      </c>
      <c r="G298" s="12">
        <v>6556.0</v>
      </c>
      <c r="H298" s="13">
        <f t="shared" si="1"/>
        <v>60.80219028</v>
      </c>
      <c r="I298" s="9">
        <f t="shared" si="2"/>
        <v>9.42642026</v>
      </c>
      <c r="J298" s="14" t="s">
        <v>42</v>
      </c>
      <c r="K298" s="15">
        <v>25321.0</v>
      </c>
      <c r="L298" s="16" t="s">
        <v>132</v>
      </c>
      <c r="M298" s="8" t="s">
        <v>1014</v>
      </c>
      <c r="N298" s="1">
        <v>0.0</v>
      </c>
      <c r="O298" s="1">
        <v>0.0</v>
      </c>
      <c r="P298" s="16">
        <v>0.0</v>
      </c>
      <c r="Q298" s="16" t="s">
        <v>360</v>
      </c>
      <c r="R298" s="1" t="s">
        <v>140</v>
      </c>
    </row>
    <row r="299">
      <c r="A299" s="3">
        <v>28764.0</v>
      </c>
      <c r="B299" s="5" t="s">
        <v>58</v>
      </c>
      <c r="C299" s="2">
        <v>50.0</v>
      </c>
      <c r="D299" s="17" t="s">
        <v>1015</v>
      </c>
      <c r="E299" s="1">
        <f>IFERROR(__xludf.DUMMYFUNCTION("IF(D299="""", 0, COUNTA(SPLIT(D299, "" "")))"),3.0)</f>
        <v>3</v>
      </c>
      <c r="F299" s="8" t="s">
        <v>1016</v>
      </c>
      <c r="G299" s="12">
        <v>1239.0</v>
      </c>
      <c r="H299" s="13">
        <f t="shared" si="1"/>
        <v>75.35934292</v>
      </c>
      <c r="I299" s="9">
        <f t="shared" si="2"/>
        <v>9.42642026</v>
      </c>
      <c r="J299" s="14" t="s">
        <v>42</v>
      </c>
      <c r="K299" s="15">
        <v>25321.0</v>
      </c>
      <c r="L299" s="16" t="s">
        <v>132</v>
      </c>
      <c r="M299" s="8" t="s">
        <v>1017</v>
      </c>
      <c r="N299" s="1">
        <v>0.0</v>
      </c>
      <c r="O299" s="1">
        <v>0.0</v>
      </c>
      <c r="P299" s="16">
        <v>0.0</v>
      </c>
      <c r="Q299" s="16" t="s">
        <v>163</v>
      </c>
      <c r="R299" s="1" t="s">
        <v>140</v>
      </c>
    </row>
    <row r="300">
      <c r="A300" s="3">
        <v>28764.0</v>
      </c>
      <c r="B300" s="5" t="s">
        <v>58</v>
      </c>
      <c r="C300" s="2">
        <v>51.0</v>
      </c>
      <c r="D300" s="8" t="s">
        <v>1018</v>
      </c>
      <c r="E300" s="1">
        <f>IFERROR(__xludf.DUMMYFUNCTION("IF(D300="""", 0, COUNTA(SPLIT(D300, "" "")))"),2.0)</f>
        <v>2</v>
      </c>
      <c r="F300" s="8" t="s">
        <v>1019</v>
      </c>
      <c r="G300" s="12">
        <v>3816.0</v>
      </c>
      <c r="H300" s="13">
        <f t="shared" si="1"/>
        <v>68.30390144</v>
      </c>
      <c r="I300" s="9">
        <f t="shared" si="2"/>
        <v>9.42642026</v>
      </c>
      <c r="J300" s="14" t="s">
        <v>42</v>
      </c>
      <c r="K300" s="15">
        <v>25321.0</v>
      </c>
      <c r="L300" s="16" t="s">
        <v>132</v>
      </c>
      <c r="M300" s="8" t="s">
        <v>1020</v>
      </c>
      <c r="N300" s="1">
        <v>0.0</v>
      </c>
      <c r="O300" s="1">
        <v>0.0</v>
      </c>
      <c r="P300" s="16">
        <v>0.0</v>
      </c>
      <c r="Q300" s="16" t="s">
        <v>27</v>
      </c>
      <c r="R300" s="1" t="s">
        <v>140</v>
      </c>
    </row>
    <row r="301">
      <c r="A301" s="3">
        <v>28764.0</v>
      </c>
      <c r="B301" s="5" t="s">
        <v>58</v>
      </c>
      <c r="C301" s="2">
        <v>52.0</v>
      </c>
      <c r="D301" s="8" t="s">
        <v>1021</v>
      </c>
      <c r="E301" s="1">
        <f>IFERROR(__xludf.DUMMYFUNCTION("IF(D301="""", 0, COUNTA(SPLIT(D301, "" "")))"),3.0)</f>
        <v>3</v>
      </c>
      <c r="F301" s="8" t="s">
        <v>1022</v>
      </c>
      <c r="G301" s="12">
        <v>1674.0</v>
      </c>
      <c r="H301" s="13">
        <f t="shared" si="1"/>
        <v>74.16837782</v>
      </c>
      <c r="I301" s="9">
        <f t="shared" si="2"/>
        <v>9.42642026</v>
      </c>
      <c r="J301" s="14" t="s">
        <v>42</v>
      </c>
      <c r="K301" s="15">
        <v>25321.0</v>
      </c>
      <c r="L301" s="16" t="s">
        <v>132</v>
      </c>
      <c r="M301" s="8" t="s">
        <v>1023</v>
      </c>
      <c r="N301" s="1">
        <v>0.0</v>
      </c>
      <c r="O301" s="1">
        <v>0.0</v>
      </c>
      <c r="P301" s="16">
        <v>0.0</v>
      </c>
      <c r="Q301" s="16" t="s">
        <v>167</v>
      </c>
      <c r="R301" s="1" t="s">
        <v>140</v>
      </c>
    </row>
    <row r="302">
      <c r="A302" s="3">
        <v>28764.0</v>
      </c>
      <c r="B302" s="5" t="s">
        <v>58</v>
      </c>
      <c r="C302" s="2">
        <v>53.0</v>
      </c>
      <c r="D302" s="8" t="s">
        <v>1024</v>
      </c>
      <c r="E302" s="1">
        <f>IFERROR(__xludf.DUMMYFUNCTION("IF(D302="""", 0, COUNTA(SPLIT(D302, "" "")))"),3.0)</f>
        <v>3</v>
      </c>
      <c r="F302" s="8" t="s">
        <v>1025</v>
      </c>
      <c r="G302" s="12">
        <v>7731.0</v>
      </c>
      <c r="H302" s="13">
        <f t="shared" si="1"/>
        <v>57.58521561</v>
      </c>
      <c r="I302" s="9">
        <f t="shared" si="2"/>
        <v>9.42642026</v>
      </c>
      <c r="J302" s="14" t="s">
        <v>42</v>
      </c>
      <c r="K302" s="15">
        <v>25321.0</v>
      </c>
      <c r="L302" s="16" t="s">
        <v>132</v>
      </c>
      <c r="M302" s="8" t="s">
        <v>1026</v>
      </c>
      <c r="N302" s="1">
        <v>0.0</v>
      </c>
      <c r="O302" s="1">
        <v>0.0</v>
      </c>
      <c r="P302" s="16">
        <v>0.0</v>
      </c>
      <c r="Q302" s="16" t="s">
        <v>167</v>
      </c>
      <c r="R302" s="1" t="s">
        <v>140</v>
      </c>
    </row>
    <row r="303">
      <c r="A303" s="3">
        <v>28764.0</v>
      </c>
      <c r="B303" s="5" t="s">
        <v>58</v>
      </c>
      <c r="C303" s="2">
        <v>54.0</v>
      </c>
      <c r="D303" s="8" t="s">
        <v>1027</v>
      </c>
      <c r="E303" s="1">
        <f>IFERROR(__xludf.DUMMYFUNCTION("IF(D303="""", 0, COUNTA(SPLIT(D303, "" "")))"),3.0)</f>
        <v>3</v>
      </c>
      <c r="F303" s="8" t="s">
        <v>1028</v>
      </c>
      <c r="G303" s="12">
        <v>8164.0</v>
      </c>
      <c r="H303" s="13">
        <f t="shared" si="1"/>
        <v>56.39972621</v>
      </c>
      <c r="I303" s="9">
        <f t="shared" si="2"/>
        <v>9.42642026</v>
      </c>
      <c r="J303" s="14" t="s">
        <v>42</v>
      </c>
      <c r="K303" s="15">
        <v>25321.0</v>
      </c>
      <c r="L303" s="16" t="s">
        <v>132</v>
      </c>
      <c r="M303" s="8" t="s">
        <v>1029</v>
      </c>
      <c r="N303" s="1">
        <v>0.0</v>
      </c>
      <c r="O303" s="1">
        <v>0.0</v>
      </c>
      <c r="P303" s="16">
        <v>0.0</v>
      </c>
      <c r="Q303" s="16" t="s">
        <v>1030</v>
      </c>
      <c r="R303" s="1" t="s">
        <v>140</v>
      </c>
    </row>
    <row r="304">
      <c r="A304" s="3">
        <v>28764.0</v>
      </c>
      <c r="B304" s="5" t="s">
        <v>58</v>
      </c>
      <c r="C304" s="2">
        <v>55.0</v>
      </c>
      <c r="D304" s="8" t="s">
        <v>1031</v>
      </c>
      <c r="E304" s="1">
        <f>IFERROR(__xludf.DUMMYFUNCTION("IF(D304="""", 0, COUNTA(SPLIT(D304, "" "")))"),4.0)</f>
        <v>4</v>
      </c>
      <c r="F304" s="8" t="s">
        <v>1032</v>
      </c>
      <c r="G304" s="12">
        <v>7618.0</v>
      </c>
      <c r="H304" s="13">
        <f t="shared" si="1"/>
        <v>57.89459274</v>
      </c>
      <c r="I304" s="9">
        <f t="shared" si="2"/>
        <v>9.42642026</v>
      </c>
      <c r="J304" s="14" t="s">
        <v>42</v>
      </c>
      <c r="K304" s="15">
        <v>25321.0</v>
      </c>
      <c r="L304" s="16" t="s">
        <v>132</v>
      </c>
      <c r="M304" s="8" t="s">
        <v>1033</v>
      </c>
      <c r="N304" s="1">
        <v>0.0</v>
      </c>
      <c r="O304" s="1">
        <v>0.0</v>
      </c>
      <c r="P304" s="16">
        <v>0.0</v>
      </c>
      <c r="Q304" s="16" t="s">
        <v>218</v>
      </c>
      <c r="R304" s="1" t="s">
        <v>140</v>
      </c>
    </row>
    <row r="305">
      <c r="A305" s="3">
        <v>28764.0</v>
      </c>
      <c r="B305" s="5" t="s">
        <v>58</v>
      </c>
      <c r="C305" s="2">
        <v>56.0</v>
      </c>
      <c r="D305" s="8" t="s">
        <v>1034</v>
      </c>
      <c r="E305" s="1">
        <f>IFERROR(__xludf.DUMMYFUNCTION("IF(D305="""", 0, COUNTA(SPLIT(D305, "" "")))"),2.0)</f>
        <v>2</v>
      </c>
      <c r="F305" s="8" t="s">
        <v>1035</v>
      </c>
      <c r="G305" s="12">
        <v>2550.0</v>
      </c>
      <c r="H305" s="13">
        <f t="shared" si="1"/>
        <v>71.77002053</v>
      </c>
      <c r="I305" s="9">
        <f t="shared" si="2"/>
        <v>9.42642026</v>
      </c>
      <c r="J305" s="14" t="s">
        <v>42</v>
      </c>
      <c r="K305" s="15">
        <v>25321.0</v>
      </c>
      <c r="L305" s="16" t="s">
        <v>132</v>
      </c>
      <c r="M305" s="8" t="s">
        <v>1036</v>
      </c>
      <c r="N305" s="1">
        <v>0.0</v>
      </c>
      <c r="O305" s="1">
        <v>0.0</v>
      </c>
      <c r="P305" s="16">
        <v>0.0</v>
      </c>
      <c r="Q305" s="16" t="s">
        <v>159</v>
      </c>
      <c r="R305" s="1" t="s">
        <v>140</v>
      </c>
    </row>
    <row r="306">
      <c r="A306" s="3">
        <v>28764.0</v>
      </c>
      <c r="B306" s="5" t="s">
        <v>58</v>
      </c>
      <c r="C306" s="2">
        <v>57.0</v>
      </c>
      <c r="D306" s="17" t="s">
        <v>1037</v>
      </c>
      <c r="E306" s="1">
        <f>IFERROR(__xludf.DUMMYFUNCTION("IF(D306="""", 0, COUNTA(SPLIT(D306, "" "")))"),3.0)</f>
        <v>3</v>
      </c>
      <c r="F306" s="8" t="s">
        <v>1038</v>
      </c>
      <c r="G306" s="12">
        <v>3487.0</v>
      </c>
      <c r="H306" s="13">
        <f t="shared" si="1"/>
        <v>69.20465435</v>
      </c>
      <c r="I306" s="9">
        <f t="shared" si="2"/>
        <v>9.42642026</v>
      </c>
      <c r="J306" s="14" t="s">
        <v>42</v>
      </c>
      <c r="K306" s="15">
        <v>25321.0</v>
      </c>
      <c r="L306" s="16" t="s">
        <v>132</v>
      </c>
      <c r="M306" s="8" t="s">
        <v>1039</v>
      </c>
      <c r="N306" s="1">
        <v>0.0</v>
      </c>
      <c r="O306" s="1">
        <v>0.0</v>
      </c>
      <c r="P306" s="16">
        <v>0.0</v>
      </c>
      <c r="Q306" s="16" t="s">
        <v>167</v>
      </c>
      <c r="R306" s="1" t="s">
        <v>140</v>
      </c>
    </row>
    <row r="307">
      <c r="A307" s="3">
        <v>28764.0</v>
      </c>
      <c r="B307" s="5" t="s">
        <v>58</v>
      </c>
      <c r="C307" s="2">
        <v>58.0</v>
      </c>
      <c r="D307" s="8" t="s">
        <v>1040</v>
      </c>
      <c r="E307" s="1">
        <f>IFERROR(__xludf.DUMMYFUNCTION("IF(D307="""", 0, COUNTA(SPLIT(D307, "" "")))"),2.0)</f>
        <v>2</v>
      </c>
      <c r="F307" s="8" t="s">
        <v>1041</v>
      </c>
      <c r="G307" s="12">
        <v>3535.0</v>
      </c>
      <c r="H307" s="13">
        <f t="shared" si="1"/>
        <v>69.07323751</v>
      </c>
      <c r="I307" s="9">
        <f t="shared" si="2"/>
        <v>9.42642026</v>
      </c>
      <c r="J307" s="14" t="s">
        <v>42</v>
      </c>
      <c r="K307" s="15">
        <v>25321.0</v>
      </c>
      <c r="L307" s="16" t="s">
        <v>132</v>
      </c>
      <c r="M307" s="8" t="s">
        <v>1042</v>
      </c>
      <c r="N307" s="1">
        <v>0.0</v>
      </c>
      <c r="O307" s="1">
        <v>0.0</v>
      </c>
      <c r="P307" s="16">
        <v>0.0</v>
      </c>
      <c r="Q307" s="16" t="s">
        <v>155</v>
      </c>
      <c r="R307" s="1" t="s">
        <v>140</v>
      </c>
    </row>
    <row r="308">
      <c r="A308" s="3">
        <v>28764.0</v>
      </c>
      <c r="B308" s="1" t="s">
        <v>1043</v>
      </c>
      <c r="C308" s="19">
        <v>59.0</v>
      </c>
      <c r="D308" s="17" t="s">
        <v>1044</v>
      </c>
      <c r="E308" s="1">
        <f>IFERROR(__xludf.DUMMYFUNCTION("IF(D308="""", 0, COUNTA(SPLIT(D308, "" "")))"),2.0)</f>
        <v>2</v>
      </c>
      <c r="F308" s="8" t="s">
        <v>1045</v>
      </c>
      <c r="G308" s="20">
        <v>4674.0</v>
      </c>
      <c r="H308" s="13">
        <f t="shared" si="1"/>
        <v>65.95482546</v>
      </c>
      <c r="I308" s="9">
        <f t="shared" si="2"/>
        <v>9.42642026</v>
      </c>
      <c r="J308" s="14" t="s">
        <v>42</v>
      </c>
      <c r="K308" s="15">
        <v>25321.0</v>
      </c>
      <c r="L308" s="16" t="s">
        <v>132</v>
      </c>
      <c r="M308" s="8" t="s">
        <v>1046</v>
      </c>
      <c r="N308" s="1">
        <v>0.0</v>
      </c>
      <c r="O308" s="1">
        <v>0.0</v>
      </c>
      <c r="P308" s="16">
        <v>0.0</v>
      </c>
      <c r="Q308" s="16" t="s">
        <v>27</v>
      </c>
      <c r="R308" s="1" t="s">
        <v>28</v>
      </c>
    </row>
    <row r="309">
      <c r="A309" s="3">
        <v>28764.0</v>
      </c>
      <c r="B309" s="5" t="s">
        <v>58</v>
      </c>
      <c r="C309" s="2">
        <v>60.0</v>
      </c>
      <c r="D309" s="8" t="s">
        <v>1047</v>
      </c>
      <c r="E309" s="1">
        <f>IFERROR(__xludf.DUMMYFUNCTION("IF(D309="""", 0, COUNTA(SPLIT(D309, "" "")))"),2.0)</f>
        <v>2</v>
      </c>
      <c r="F309" s="8" t="s">
        <v>1048</v>
      </c>
      <c r="G309" s="12">
        <v>10369.0</v>
      </c>
      <c r="H309" s="13">
        <f t="shared" si="1"/>
        <v>50.36276523</v>
      </c>
      <c r="I309" s="9">
        <f t="shared" si="2"/>
        <v>5.574264203</v>
      </c>
      <c r="J309" s="14" t="s">
        <v>42</v>
      </c>
      <c r="K309" s="15">
        <v>26728.0</v>
      </c>
      <c r="L309" s="16" t="s">
        <v>132</v>
      </c>
      <c r="M309" s="8" t="s">
        <v>1049</v>
      </c>
      <c r="N309" s="1">
        <v>0.0</v>
      </c>
      <c r="O309" s="1">
        <v>0.0</v>
      </c>
      <c r="P309" s="16">
        <v>0.0</v>
      </c>
      <c r="Q309" s="16" t="s">
        <v>218</v>
      </c>
      <c r="R309" s="1" t="s">
        <v>140</v>
      </c>
    </row>
    <row r="310">
      <c r="A310" s="3">
        <v>28764.0</v>
      </c>
      <c r="B310" s="5" t="s">
        <v>58</v>
      </c>
      <c r="C310" s="2">
        <v>61.0</v>
      </c>
      <c r="D310" s="8" t="s">
        <v>1050</v>
      </c>
      <c r="E310" s="1">
        <f>IFERROR(__xludf.DUMMYFUNCTION("IF(D310="""", 0, COUNTA(SPLIT(D310, "" "")))"),3.0)</f>
        <v>3</v>
      </c>
      <c r="F310" s="8" t="s">
        <v>1051</v>
      </c>
      <c r="G310" s="12">
        <v>5175.0</v>
      </c>
      <c r="H310" s="13">
        <f t="shared" si="1"/>
        <v>64.58316222</v>
      </c>
      <c r="I310" s="9">
        <f t="shared" si="2"/>
        <v>5.574264203</v>
      </c>
      <c r="J310" s="14" t="s">
        <v>42</v>
      </c>
      <c r="K310" s="15">
        <v>26728.0</v>
      </c>
      <c r="L310" s="16" t="s">
        <v>132</v>
      </c>
      <c r="M310" s="8" t="s">
        <v>1052</v>
      </c>
      <c r="N310" s="1">
        <v>0.0</v>
      </c>
      <c r="O310" s="1">
        <v>0.0</v>
      </c>
      <c r="P310" s="16">
        <v>0.0</v>
      </c>
      <c r="Q310" s="16" t="s">
        <v>167</v>
      </c>
      <c r="R310" s="1" t="s">
        <v>140</v>
      </c>
    </row>
    <row r="311">
      <c r="A311" s="3">
        <v>28764.0</v>
      </c>
      <c r="B311" s="5" t="s">
        <v>58</v>
      </c>
      <c r="C311" s="2">
        <v>62.0</v>
      </c>
      <c r="D311" s="8" t="s">
        <v>1053</v>
      </c>
      <c r="E311" s="1">
        <f>IFERROR(__xludf.DUMMYFUNCTION("IF(D311="""", 0, COUNTA(SPLIT(D311, "" "")))"),3.0)</f>
        <v>3</v>
      </c>
      <c r="F311" s="8" t="s">
        <v>1054</v>
      </c>
      <c r="G311" s="12">
        <v>4548.0</v>
      </c>
      <c r="H311" s="13">
        <f t="shared" si="1"/>
        <v>66.29979466</v>
      </c>
      <c r="I311" s="9">
        <f t="shared" si="2"/>
        <v>5.574264203</v>
      </c>
      <c r="J311" s="14" t="s">
        <v>42</v>
      </c>
      <c r="K311" s="15">
        <v>26728.0</v>
      </c>
      <c r="L311" s="16" t="s">
        <v>132</v>
      </c>
      <c r="M311" s="8" t="s">
        <v>1055</v>
      </c>
      <c r="N311" s="1">
        <v>0.0</v>
      </c>
      <c r="O311" s="1">
        <v>0.0</v>
      </c>
      <c r="P311" s="16">
        <v>0.0</v>
      </c>
      <c r="Q311" s="16" t="s">
        <v>218</v>
      </c>
      <c r="R311" s="1" t="s">
        <v>140</v>
      </c>
    </row>
    <row r="312">
      <c r="A312" s="3">
        <v>28764.0</v>
      </c>
      <c r="B312" s="5" t="s">
        <v>58</v>
      </c>
      <c r="C312" s="2">
        <v>63.0</v>
      </c>
      <c r="D312" s="8" t="s">
        <v>1056</v>
      </c>
      <c r="E312" s="1">
        <f>IFERROR(__xludf.DUMMYFUNCTION("IF(D312="""", 0, COUNTA(SPLIT(D312, "" "")))"),2.0)</f>
        <v>2</v>
      </c>
      <c r="F312" s="8" t="s">
        <v>1057</v>
      </c>
      <c r="G312" s="12">
        <v>6594.0</v>
      </c>
      <c r="H312" s="13">
        <f t="shared" si="1"/>
        <v>60.69815195</v>
      </c>
      <c r="I312" s="9">
        <f t="shared" si="2"/>
        <v>5.574264203</v>
      </c>
      <c r="J312" s="14" t="s">
        <v>42</v>
      </c>
      <c r="K312" s="15">
        <v>26728.0</v>
      </c>
      <c r="L312" s="16" t="s">
        <v>132</v>
      </c>
      <c r="M312" s="8" t="s">
        <v>1058</v>
      </c>
      <c r="N312" s="1">
        <v>0.0</v>
      </c>
      <c r="O312" s="1">
        <v>0.0</v>
      </c>
      <c r="P312" s="16">
        <v>0.0</v>
      </c>
      <c r="Q312" s="16" t="s">
        <v>1059</v>
      </c>
      <c r="R312" s="1" t="s">
        <v>140</v>
      </c>
    </row>
    <row r="313">
      <c r="A313" s="3">
        <v>28764.0</v>
      </c>
      <c r="B313" s="5" t="s">
        <v>58</v>
      </c>
      <c r="C313" s="2">
        <v>64.0</v>
      </c>
      <c r="D313" s="8" t="s">
        <v>1060</v>
      </c>
      <c r="E313" s="1">
        <f>IFERROR(__xludf.DUMMYFUNCTION("IF(D313="""", 0, COUNTA(SPLIT(D313, "" "")))"),3.0)</f>
        <v>3</v>
      </c>
      <c r="F313" s="8" t="s">
        <v>1061</v>
      </c>
      <c r="G313" s="12">
        <v>3199.0</v>
      </c>
      <c r="H313" s="13">
        <f t="shared" si="1"/>
        <v>69.99315537</v>
      </c>
      <c r="I313" s="9">
        <f t="shared" si="2"/>
        <v>5.574264203</v>
      </c>
      <c r="J313" s="14" t="s">
        <v>42</v>
      </c>
      <c r="K313" s="15">
        <v>26728.0</v>
      </c>
      <c r="L313" s="16" t="s">
        <v>132</v>
      </c>
      <c r="M313" s="8" t="s">
        <v>1062</v>
      </c>
      <c r="N313" s="1">
        <v>0.0</v>
      </c>
      <c r="O313" s="1">
        <v>0.0</v>
      </c>
      <c r="P313" s="16">
        <v>0.0</v>
      </c>
      <c r="Q313" s="16" t="s">
        <v>163</v>
      </c>
      <c r="R313" s="1" t="s">
        <v>140</v>
      </c>
    </row>
    <row r="314">
      <c r="A314" s="3">
        <v>28764.0</v>
      </c>
      <c r="B314" s="5" t="s">
        <v>58</v>
      </c>
      <c r="C314" s="2">
        <v>65.0</v>
      </c>
      <c r="D314" s="8" t="s">
        <v>1063</v>
      </c>
      <c r="E314" s="1">
        <f>IFERROR(__xludf.DUMMYFUNCTION("IF(D314="""", 0, COUNTA(SPLIT(D314, "" "")))"),3.0)</f>
        <v>3</v>
      </c>
      <c r="F314" s="8" t="s">
        <v>1064</v>
      </c>
      <c r="G314" s="12">
        <v>8252.0</v>
      </c>
      <c r="H314" s="13">
        <f t="shared" si="1"/>
        <v>56.15879535</v>
      </c>
      <c r="I314" s="9">
        <f t="shared" si="2"/>
        <v>5.574264203</v>
      </c>
      <c r="J314" s="14" t="s">
        <v>42</v>
      </c>
      <c r="K314" s="15">
        <v>26728.0</v>
      </c>
      <c r="L314" s="16" t="s">
        <v>132</v>
      </c>
      <c r="M314" s="8" t="s">
        <v>1065</v>
      </c>
      <c r="N314" s="1">
        <v>0.0</v>
      </c>
      <c r="O314" s="1">
        <v>0.0</v>
      </c>
      <c r="P314" s="16">
        <v>0.0</v>
      </c>
      <c r="Q314" s="16" t="s">
        <v>163</v>
      </c>
      <c r="R314" s="1" t="s">
        <v>140</v>
      </c>
    </row>
    <row r="315">
      <c r="A315" s="3">
        <v>28764.0</v>
      </c>
      <c r="B315" s="5" t="s">
        <v>58</v>
      </c>
      <c r="C315" s="2">
        <v>66.0</v>
      </c>
      <c r="D315" s="8" t="s">
        <v>1066</v>
      </c>
      <c r="E315" s="1">
        <f>IFERROR(__xludf.DUMMYFUNCTION("IF(D315="""", 0, COUNTA(SPLIT(D315, "" "")))"),3.0)</f>
        <v>3</v>
      </c>
      <c r="F315" s="8" t="s">
        <v>1067</v>
      </c>
      <c r="G315" s="12">
        <v>7044.0</v>
      </c>
      <c r="H315" s="13">
        <f t="shared" si="1"/>
        <v>59.4661191</v>
      </c>
      <c r="I315" s="9">
        <f t="shared" si="2"/>
        <v>5.574264203</v>
      </c>
      <c r="J315" s="14" t="s">
        <v>42</v>
      </c>
      <c r="K315" s="15">
        <v>26728.0</v>
      </c>
      <c r="L315" s="16" t="s">
        <v>132</v>
      </c>
      <c r="M315" s="8" t="s">
        <v>1068</v>
      </c>
      <c r="N315" s="1">
        <v>0.0</v>
      </c>
      <c r="O315" s="1">
        <v>0.0</v>
      </c>
      <c r="P315" s="16">
        <v>0.0</v>
      </c>
      <c r="Q315" s="16" t="s">
        <v>163</v>
      </c>
      <c r="R315" s="1" t="s">
        <v>140</v>
      </c>
    </row>
    <row r="316">
      <c r="A316" s="3">
        <v>28764.0</v>
      </c>
      <c r="B316" s="5" t="s">
        <v>58</v>
      </c>
      <c r="C316" s="2">
        <v>67.0</v>
      </c>
      <c r="D316" s="8" t="s">
        <v>1069</v>
      </c>
      <c r="E316" s="1">
        <f>IFERROR(__xludf.DUMMYFUNCTION("IF(D316="""", 0, COUNTA(SPLIT(D316, "" "")))"),2.0)</f>
        <v>2</v>
      </c>
      <c r="F316" s="8" t="s">
        <v>1070</v>
      </c>
      <c r="G316" s="12">
        <v>6841.0</v>
      </c>
      <c r="H316" s="13">
        <f t="shared" si="1"/>
        <v>60.02190281</v>
      </c>
      <c r="I316" s="9">
        <f t="shared" si="2"/>
        <v>5.574264203</v>
      </c>
      <c r="J316" s="14" t="s">
        <v>42</v>
      </c>
      <c r="K316" s="15">
        <v>26728.0</v>
      </c>
      <c r="L316" s="16" t="s">
        <v>132</v>
      </c>
      <c r="M316" s="8" t="s">
        <v>1071</v>
      </c>
      <c r="N316" s="1">
        <v>0.0</v>
      </c>
      <c r="O316" s="1">
        <v>0.0</v>
      </c>
      <c r="P316" s="16">
        <v>0.0</v>
      </c>
      <c r="Q316" s="16" t="s">
        <v>27</v>
      </c>
      <c r="R316" s="1" t="s">
        <v>140</v>
      </c>
    </row>
    <row r="317">
      <c r="A317" s="3">
        <v>28764.0</v>
      </c>
      <c r="B317" s="5" t="s">
        <v>58</v>
      </c>
      <c r="C317" s="2">
        <v>68.0</v>
      </c>
      <c r="D317" s="8" t="s">
        <v>1072</v>
      </c>
      <c r="E317" s="1">
        <f>IFERROR(__xludf.DUMMYFUNCTION("IF(D317="""", 0, COUNTA(SPLIT(D317, "" "")))"),3.0)</f>
        <v>3</v>
      </c>
      <c r="F317" s="8" t="s">
        <v>1073</v>
      </c>
      <c r="G317" s="12">
        <v>6591.0</v>
      </c>
      <c r="H317" s="13">
        <f t="shared" si="1"/>
        <v>60.7063655</v>
      </c>
      <c r="I317" s="9">
        <f t="shared" si="2"/>
        <v>5.574264203</v>
      </c>
      <c r="J317" s="14" t="s">
        <v>42</v>
      </c>
      <c r="K317" s="15">
        <v>26728.0</v>
      </c>
      <c r="L317" s="16" t="s">
        <v>132</v>
      </c>
      <c r="M317" s="8" t="s">
        <v>1074</v>
      </c>
      <c r="N317" s="1">
        <v>0.0</v>
      </c>
      <c r="O317" s="1">
        <v>0.0</v>
      </c>
      <c r="P317" s="16">
        <v>0.0</v>
      </c>
      <c r="Q317" s="16" t="s">
        <v>163</v>
      </c>
      <c r="R317" s="1" t="s">
        <v>140</v>
      </c>
    </row>
    <row r="318">
      <c r="A318" s="3">
        <v>28764.0</v>
      </c>
      <c r="B318" s="5" t="s">
        <v>58</v>
      </c>
      <c r="C318" s="2">
        <v>69.0</v>
      </c>
      <c r="D318" s="8" t="s">
        <v>1075</v>
      </c>
      <c r="E318" s="1">
        <f>IFERROR(__xludf.DUMMYFUNCTION("IF(D318="""", 0, COUNTA(SPLIT(D318, "" "")))"),2.0)</f>
        <v>2</v>
      </c>
      <c r="F318" s="8" t="s">
        <v>1076</v>
      </c>
      <c r="G318" s="12">
        <v>2015.0</v>
      </c>
      <c r="H318" s="13">
        <f t="shared" si="1"/>
        <v>73.2347707</v>
      </c>
      <c r="I318" s="9">
        <f t="shared" si="2"/>
        <v>5.574264203</v>
      </c>
      <c r="J318" s="14" t="s">
        <v>42</v>
      </c>
      <c r="K318" s="15">
        <v>26728.0</v>
      </c>
      <c r="L318" s="16" t="s">
        <v>132</v>
      </c>
      <c r="M318" s="8" t="s">
        <v>1077</v>
      </c>
      <c r="N318" s="1">
        <v>0.0</v>
      </c>
      <c r="O318" s="1">
        <v>0.0</v>
      </c>
      <c r="P318" s="16">
        <v>0.0</v>
      </c>
      <c r="Q318" s="16" t="s">
        <v>174</v>
      </c>
      <c r="R318" s="1" t="s">
        <v>140</v>
      </c>
    </row>
    <row r="319">
      <c r="A319" s="3">
        <v>28764.0</v>
      </c>
      <c r="B319" s="5" t="s">
        <v>58</v>
      </c>
      <c r="C319" s="2">
        <v>70.0</v>
      </c>
      <c r="D319" s="8" t="s">
        <v>1078</v>
      </c>
      <c r="E319" s="1">
        <f>IFERROR(__xludf.DUMMYFUNCTION("IF(D319="""", 0, COUNTA(SPLIT(D319, "" "")))"),2.0)</f>
        <v>2</v>
      </c>
      <c r="F319" s="8" t="s">
        <v>1079</v>
      </c>
      <c r="G319" s="12">
        <v>5223.0</v>
      </c>
      <c r="H319" s="13">
        <f t="shared" si="1"/>
        <v>64.45174538</v>
      </c>
      <c r="I319" s="9">
        <f t="shared" si="2"/>
        <v>5.574264203</v>
      </c>
      <c r="J319" s="14" t="s">
        <v>42</v>
      </c>
      <c r="K319" s="15">
        <v>26728.0</v>
      </c>
      <c r="L319" s="16" t="s">
        <v>132</v>
      </c>
      <c r="M319" s="8" t="s">
        <v>1080</v>
      </c>
      <c r="N319" s="1">
        <v>0.0</v>
      </c>
      <c r="O319" s="1">
        <v>0.0</v>
      </c>
      <c r="P319" s="16">
        <v>0.0</v>
      </c>
      <c r="Q319" s="16" t="s">
        <v>27</v>
      </c>
      <c r="R319" s="1" t="s">
        <v>140</v>
      </c>
    </row>
    <row r="320">
      <c r="A320" s="3">
        <v>28764.0</v>
      </c>
      <c r="B320" s="5" t="s">
        <v>58</v>
      </c>
      <c r="C320" s="2">
        <v>71.0</v>
      </c>
      <c r="D320" s="8" t="s">
        <v>1081</v>
      </c>
      <c r="E320" s="1">
        <f>IFERROR(__xludf.DUMMYFUNCTION("IF(D320="""", 0, COUNTA(SPLIT(D320, "" "")))"),2.0)</f>
        <v>2</v>
      </c>
      <c r="F320" s="8" t="s">
        <v>1082</v>
      </c>
      <c r="G320" s="12">
        <v>3607.0</v>
      </c>
      <c r="H320" s="13">
        <f t="shared" si="1"/>
        <v>68.87611225</v>
      </c>
      <c r="I320" s="9">
        <f t="shared" si="2"/>
        <v>5.574264203</v>
      </c>
      <c r="J320" s="14" t="s">
        <v>42</v>
      </c>
      <c r="K320" s="15">
        <v>26728.0</v>
      </c>
      <c r="L320" s="16" t="s">
        <v>132</v>
      </c>
      <c r="M320" s="8" t="s">
        <v>1083</v>
      </c>
      <c r="N320" s="1">
        <v>0.0</v>
      </c>
      <c r="O320" s="1">
        <v>0.0</v>
      </c>
      <c r="P320" s="16">
        <v>0.0</v>
      </c>
      <c r="Q320" s="16" t="s">
        <v>167</v>
      </c>
      <c r="R320" s="1" t="s">
        <v>140</v>
      </c>
    </row>
    <row r="321">
      <c r="A321" s="3">
        <v>28764.0</v>
      </c>
      <c r="B321" s="5" t="s">
        <v>58</v>
      </c>
      <c r="C321" s="2">
        <v>72.0</v>
      </c>
      <c r="D321" s="8" t="s">
        <v>1084</v>
      </c>
      <c r="E321" s="1">
        <f>IFERROR(__xludf.DUMMYFUNCTION("IF(D321="""", 0, COUNTA(SPLIT(D321, "" "")))"),3.0)</f>
        <v>3</v>
      </c>
      <c r="F321" s="8" t="s">
        <v>1085</v>
      </c>
      <c r="G321" s="12">
        <v>8402.0</v>
      </c>
      <c r="H321" s="13">
        <f t="shared" si="1"/>
        <v>55.74811773</v>
      </c>
      <c r="I321" s="9">
        <f t="shared" si="2"/>
        <v>5.574264203</v>
      </c>
      <c r="J321" s="14" t="s">
        <v>42</v>
      </c>
      <c r="K321" s="15">
        <v>26728.0</v>
      </c>
      <c r="L321" s="16" t="s">
        <v>132</v>
      </c>
      <c r="M321" s="8" t="s">
        <v>1086</v>
      </c>
      <c r="N321" s="1">
        <v>0.0</v>
      </c>
      <c r="O321" s="1">
        <v>0.0</v>
      </c>
      <c r="P321" s="16">
        <v>0.0</v>
      </c>
      <c r="Q321" s="16" t="s">
        <v>191</v>
      </c>
      <c r="R321" s="1" t="s">
        <v>140</v>
      </c>
    </row>
    <row r="322">
      <c r="A322" s="3">
        <v>28764.0</v>
      </c>
      <c r="B322" s="5" t="s">
        <v>58</v>
      </c>
      <c r="C322" s="2">
        <v>73.0</v>
      </c>
      <c r="D322" s="8" t="s">
        <v>1087</v>
      </c>
      <c r="E322" s="1">
        <f>IFERROR(__xludf.DUMMYFUNCTION("IF(D322="""", 0, COUNTA(SPLIT(D322, "" "")))"),3.0)</f>
        <v>3</v>
      </c>
      <c r="F322" s="8" t="s">
        <v>1088</v>
      </c>
      <c r="G322" s="12">
        <v>3665.0</v>
      </c>
      <c r="H322" s="13">
        <f t="shared" si="1"/>
        <v>68.71731691</v>
      </c>
      <c r="I322" s="9">
        <f t="shared" si="2"/>
        <v>5.574264203</v>
      </c>
      <c r="J322" s="14" t="s">
        <v>42</v>
      </c>
      <c r="K322" s="15">
        <v>26728.0</v>
      </c>
      <c r="L322" s="16" t="s">
        <v>132</v>
      </c>
      <c r="M322" s="8" t="s">
        <v>1089</v>
      </c>
      <c r="N322" s="1">
        <v>0.0</v>
      </c>
      <c r="O322" s="1">
        <v>0.0</v>
      </c>
      <c r="P322" s="16">
        <v>0.0</v>
      </c>
      <c r="Q322" s="16" t="s">
        <v>163</v>
      </c>
      <c r="R322" s="1" t="s">
        <v>140</v>
      </c>
    </row>
    <row r="323">
      <c r="A323" s="3">
        <v>28764.0</v>
      </c>
      <c r="B323" s="5" t="s">
        <v>58</v>
      </c>
      <c r="C323" s="2">
        <v>74.0</v>
      </c>
      <c r="D323" s="8" t="s">
        <v>1090</v>
      </c>
      <c r="E323" s="1">
        <f>IFERROR(__xludf.DUMMYFUNCTION("IF(D323="""", 0, COUNTA(SPLIT(D323, "" "")))"),3.0)</f>
        <v>3</v>
      </c>
      <c r="F323" s="8" t="s">
        <v>1091</v>
      </c>
      <c r="G323" s="12">
        <v>5758.0</v>
      </c>
      <c r="H323" s="13">
        <f t="shared" si="1"/>
        <v>62.98699521</v>
      </c>
      <c r="I323" s="9">
        <f t="shared" si="2"/>
        <v>5.574264203</v>
      </c>
      <c r="J323" s="14" t="s">
        <v>42</v>
      </c>
      <c r="K323" s="15">
        <v>26728.0</v>
      </c>
      <c r="L323" s="16" t="s">
        <v>132</v>
      </c>
      <c r="M323" s="8" t="s">
        <v>1092</v>
      </c>
      <c r="N323" s="1">
        <v>0.0</v>
      </c>
      <c r="O323" s="1">
        <v>0.0</v>
      </c>
      <c r="P323" s="16">
        <v>0.0</v>
      </c>
      <c r="Q323" s="16" t="s">
        <v>218</v>
      </c>
      <c r="R323" s="1" t="s">
        <v>140</v>
      </c>
    </row>
    <row r="324">
      <c r="A324" s="3">
        <v>28764.0</v>
      </c>
      <c r="B324" s="5" t="s">
        <v>58</v>
      </c>
      <c r="C324" s="2">
        <v>75.0</v>
      </c>
      <c r="D324" s="17" t="s">
        <v>1093</v>
      </c>
      <c r="E324" s="1">
        <f>IFERROR(__xludf.DUMMYFUNCTION("IF(D324="""", 0, COUNTA(SPLIT(D324, "" "")))"),3.0)</f>
        <v>3</v>
      </c>
      <c r="F324" s="8" t="s">
        <v>1094</v>
      </c>
      <c r="G324" s="12">
        <v>7928.0</v>
      </c>
      <c r="H324" s="13">
        <f t="shared" si="1"/>
        <v>57.045859</v>
      </c>
      <c r="I324" s="9">
        <f t="shared" si="2"/>
        <v>5.574264203</v>
      </c>
      <c r="J324" s="14" t="s">
        <v>42</v>
      </c>
      <c r="K324" s="15">
        <v>26728.0</v>
      </c>
      <c r="L324" s="16" t="s">
        <v>132</v>
      </c>
      <c r="M324" s="8" t="s">
        <v>1095</v>
      </c>
      <c r="N324" s="1">
        <v>0.0</v>
      </c>
      <c r="O324" s="1">
        <v>0.0</v>
      </c>
      <c r="P324" s="16">
        <v>0.0</v>
      </c>
      <c r="Q324" s="16" t="s">
        <v>218</v>
      </c>
      <c r="R324" s="1" t="s">
        <v>140</v>
      </c>
    </row>
    <row r="325">
      <c r="A325" s="3">
        <v>28764.0</v>
      </c>
      <c r="B325" s="5" t="s">
        <v>58</v>
      </c>
      <c r="C325" s="2">
        <v>76.0</v>
      </c>
      <c r="D325" s="8" t="s">
        <v>1096</v>
      </c>
      <c r="E325" s="1">
        <f>IFERROR(__xludf.DUMMYFUNCTION("IF(D325="""", 0, COUNTA(SPLIT(D325, "" "")))"),3.0)</f>
        <v>3</v>
      </c>
      <c r="F325" s="8" t="s">
        <v>1097</v>
      </c>
      <c r="G325" s="12">
        <v>2870.0</v>
      </c>
      <c r="H325" s="13">
        <f t="shared" si="1"/>
        <v>70.89390828</v>
      </c>
      <c r="I325" s="9">
        <f t="shared" si="2"/>
        <v>5.574264203</v>
      </c>
      <c r="J325" s="14" t="s">
        <v>42</v>
      </c>
      <c r="K325" s="15">
        <v>26728.0</v>
      </c>
      <c r="L325" s="16" t="s">
        <v>132</v>
      </c>
      <c r="M325" s="8" t="s">
        <v>1098</v>
      </c>
      <c r="N325" s="1">
        <v>0.0</v>
      </c>
      <c r="O325" s="1">
        <v>0.0</v>
      </c>
      <c r="P325" s="16">
        <v>0.0</v>
      </c>
      <c r="Q325" s="16" t="s">
        <v>167</v>
      </c>
      <c r="R325" s="1" t="s">
        <v>140</v>
      </c>
    </row>
    <row r="326">
      <c r="A326" s="3">
        <v>28764.0</v>
      </c>
      <c r="B326" s="5" t="s">
        <v>58</v>
      </c>
      <c r="C326" s="2">
        <v>77.0</v>
      </c>
      <c r="D326" s="8" t="s">
        <v>1099</v>
      </c>
      <c r="E326" s="1">
        <f>IFERROR(__xludf.DUMMYFUNCTION("IF(D326="""", 0, COUNTA(SPLIT(D326, "" "")))"),3.0)</f>
        <v>3</v>
      </c>
      <c r="F326" s="8" t="s">
        <v>1100</v>
      </c>
      <c r="G326" s="12">
        <v>4973.0</v>
      </c>
      <c r="H326" s="13">
        <f t="shared" si="1"/>
        <v>65.13620808</v>
      </c>
      <c r="I326" s="9">
        <f t="shared" si="2"/>
        <v>5.574264203</v>
      </c>
      <c r="J326" s="14" t="s">
        <v>42</v>
      </c>
      <c r="K326" s="15">
        <v>26728.0</v>
      </c>
      <c r="L326" s="16" t="s">
        <v>132</v>
      </c>
      <c r="M326" s="8" t="s">
        <v>1101</v>
      </c>
      <c r="N326" s="1">
        <v>0.0</v>
      </c>
      <c r="O326" s="1">
        <v>0.0</v>
      </c>
      <c r="P326" s="16">
        <v>0.0</v>
      </c>
      <c r="Q326" s="16" t="s">
        <v>163</v>
      </c>
      <c r="R326" s="1" t="s">
        <v>140</v>
      </c>
    </row>
    <row r="327">
      <c r="A327" s="3">
        <v>28764.0</v>
      </c>
      <c r="B327" s="5" t="s">
        <v>58</v>
      </c>
      <c r="C327" s="2">
        <v>78.0</v>
      </c>
      <c r="D327" s="8" t="s">
        <v>1102</v>
      </c>
      <c r="E327" s="1">
        <f>IFERROR(__xludf.DUMMYFUNCTION("IF(D327="""", 0, COUNTA(SPLIT(D327, "" "")))"),2.0)</f>
        <v>2</v>
      </c>
      <c r="F327" s="8" t="s">
        <v>1103</v>
      </c>
      <c r="G327" s="12">
        <v>1457.0</v>
      </c>
      <c r="H327" s="13">
        <f t="shared" si="1"/>
        <v>74.76249144</v>
      </c>
      <c r="I327" s="9">
        <f t="shared" si="2"/>
        <v>5.574264203</v>
      </c>
      <c r="J327" s="14" t="s">
        <v>42</v>
      </c>
      <c r="K327" s="15">
        <v>26728.0</v>
      </c>
      <c r="L327" s="16" t="s">
        <v>132</v>
      </c>
      <c r="M327" s="8" t="s">
        <v>1104</v>
      </c>
      <c r="N327" s="1">
        <v>0.0</v>
      </c>
      <c r="O327" s="1">
        <v>0.0</v>
      </c>
      <c r="P327" s="16">
        <v>0.0</v>
      </c>
      <c r="Q327" s="16" t="s">
        <v>159</v>
      </c>
      <c r="R327" s="1" t="s">
        <v>140</v>
      </c>
    </row>
    <row r="328">
      <c r="A328" s="3">
        <v>28764.0</v>
      </c>
      <c r="B328" s="5" t="s">
        <v>58</v>
      </c>
      <c r="C328" s="2">
        <v>79.0</v>
      </c>
      <c r="D328" s="17" t="s">
        <v>1105</v>
      </c>
      <c r="E328" s="1">
        <f>IFERROR(__xludf.DUMMYFUNCTION("IF(D328="""", 0, COUNTA(SPLIT(D328, "" "")))"),2.0)</f>
        <v>2</v>
      </c>
      <c r="F328" s="8" t="s">
        <v>1106</v>
      </c>
      <c r="G328" s="12">
        <v>8743.0</v>
      </c>
      <c r="H328" s="13">
        <f t="shared" si="1"/>
        <v>54.81451061</v>
      </c>
      <c r="I328" s="9">
        <f t="shared" si="2"/>
        <v>2.354551677</v>
      </c>
      <c r="J328" s="14" t="s">
        <v>42</v>
      </c>
      <c r="K328" s="15">
        <v>27904.0</v>
      </c>
      <c r="L328" s="16" t="s">
        <v>132</v>
      </c>
      <c r="M328" s="8" t="s">
        <v>1107</v>
      </c>
      <c r="N328" s="1">
        <v>0.0</v>
      </c>
      <c r="O328" s="1">
        <v>0.0</v>
      </c>
      <c r="P328" s="16">
        <v>0.0</v>
      </c>
      <c r="Q328" s="16" t="s">
        <v>1108</v>
      </c>
      <c r="R328" s="1" t="s">
        <v>140</v>
      </c>
    </row>
    <row r="329">
      <c r="A329" s="3">
        <v>28764.0</v>
      </c>
      <c r="B329" s="5" t="s">
        <v>58</v>
      </c>
      <c r="C329" s="2">
        <v>80.0</v>
      </c>
      <c r="D329" s="8" t="s">
        <v>1109</v>
      </c>
      <c r="E329" s="1">
        <f>IFERROR(__xludf.DUMMYFUNCTION("IF(D329="""", 0, COUNTA(SPLIT(D329, "" "")))"),4.0)</f>
        <v>4</v>
      </c>
      <c r="F329" s="8" t="s">
        <v>1110</v>
      </c>
      <c r="G329" s="12">
        <v>2512.0</v>
      </c>
      <c r="H329" s="13">
        <f t="shared" si="1"/>
        <v>71.87405886</v>
      </c>
      <c r="I329" s="9">
        <f t="shared" si="2"/>
        <v>2.354551677</v>
      </c>
      <c r="J329" s="14" t="s">
        <v>42</v>
      </c>
      <c r="K329" s="15">
        <v>27904.0</v>
      </c>
      <c r="L329" s="16" t="s">
        <v>132</v>
      </c>
      <c r="M329" s="8" t="s">
        <v>1111</v>
      </c>
      <c r="N329" s="1">
        <v>0.0</v>
      </c>
      <c r="O329" s="1">
        <v>0.0</v>
      </c>
      <c r="P329" s="16">
        <v>0.0</v>
      </c>
      <c r="Q329" s="16" t="s">
        <v>163</v>
      </c>
      <c r="R329" s="1" t="s">
        <v>140</v>
      </c>
    </row>
    <row r="330">
      <c r="A330" s="3">
        <v>28764.0</v>
      </c>
      <c r="B330" s="5" t="s">
        <v>58</v>
      </c>
      <c r="C330" s="2">
        <v>81.0</v>
      </c>
      <c r="D330" s="8" t="s">
        <v>1112</v>
      </c>
      <c r="E330" s="1">
        <f>IFERROR(__xludf.DUMMYFUNCTION("IF(D330="""", 0, COUNTA(SPLIT(D330, "" "")))"),3.0)</f>
        <v>3</v>
      </c>
      <c r="F330" s="8" t="s">
        <v>1113</v>
      </c>
      <c r="G330" s="12">
        <v>4425.0</v>
      </c>
      <c r="H330" s="13">
        <f t="shared" si="1"/>
        <v>66.63655031</v>
      </c>
      <c r="I330" s="9">
        <f t="shared" si="2"/>
        <v>2.354551677</v>
      </c>
      <c r="J330" s="14" t="s">
        <v>42</v>
      </c>
      <c r="K330" s="15">
        <v>27904.0</v>
      </c>
      <c r="L330" s="16" t="s">
        <v>132</v>
      </c>
      <c r="M330" s="8" t="s">
        <v>1114</v>
      </c>
      <c r="N330" s="1">
        <v>0.0</v>
      </c>
      <c r="O330" s="1">
        <v>0.0</v>
      </c>
      <c r="P330" s="16">
        <v>0.0</v>
      </c>
      <c r="Q330" s="16" t="s">
        <v>163</v>
      </c>
      <c r="R330" s="1" t="s">
        <v>140</v>
      </c>
    </row>
    <row r="331">
      <c r="A331" s="3">
        <v>28764.0</v>
      </c>
      <c r="B331" s="5" t="s">
        <v>58</v>
      </c>
      <c r="C331" s="2">
        <v>82.0</v>
      </c>
      <c r="D331" s="8" t="s">
        <v>1115</v>
      </c>
      <c r="E331" s="1">
        <f>IFERROR(__xludf.DUMMYFUNCTION("IF(D331="""", 0, COUNTA(SPLIT(D331, "" "")))"),4.0)</f>
        <v>4</v>
      </c>
      <c r="F331" s="8" t="s">
        <v>1116</v>
      </c>
      <c r="G331" s="12" t="s">
        <v>1117</v>
      </c>
      <c r="H331" s="13">
        <f t="shared" si="1"/>
        <v>79.80287474</v>
      </c>
      <c r="I331" s="9">
        <f t="shared" si="2"/>
        <v>2.354551677</v>
      </c>
      <c r="J331" s="14" t="s">
        <v>42</v>
      </c>
      <c r="K331" s="15">
        <v>27904.0</v>
      </c>
      <c r="L331" s="16" t="s">
        <v>132</v>
      </c>
      <c r="M331" s="8" t="s">
        <v>1118</v>
      </c>
      <c r="N331" s="1">
        <v>0.0</v>
      </c>
      <c r="O331" s="1">
        <v>0.0</v>
      </c>
      <c r="P331" s="16">
        <v>0.0</v>
      </c>
      <c r="Q331" s="16" t="s">
        <v>290</v>
      </c>
      <c r="R331" s="1" t="s">
        <v>140</v>
      </c>
    </row>
    <row r="332">
      <c r="A332" s="3">
        <v>28764.0</v>
      </c>
      <c r="B332" s="5" t="s">
        <v>58</v>
      </c>
      <c r="C332" s="2">
        <v>83.0</v>
      </c>
      <c r="D332" s="8" t="s">
        <v>1119</v>
      </c>
      <c r="E332" s="1">
        <f>IFERROR(__xludf.DUMMYFUNCTION("IF(D332="""", 0, COUNTA(SPLIT(D332, "" "")))"),2.0)</f>
        <v>2</v>
      </c>
      <c r="F332" s="8" t="s">
        <v>1120</v>
      </c>
      <c r="G332" s="12">
        <v>7704.0</v>
      </c>
      <c r="H332" s="13">
        <f t="shared" si="1"/>
        <v>57.65913758</v>
      </c>
      <c r="I332" s="9">
        <f t="shared" si="2"/>
        <v>2.354551677</v>
      </c>
      <c r="J332" s="14" t="s">
        <v>42</v>
      </c>
      <c r="K332" s="15">
        <v>27904.0</v>
      </c>
      <c r="L332" s="16" t="s">
        <v>132</v>
      </c>
      <c r="M332" s="8" t="s">
        <v>1121</v>
      </c>
      <c r="N332" s="1">
        <v>0.0</v>
      </c>
      <c r="O332" s="1">
        <v>0.0</v>
      </c>
      <c r="P332" s="16">
        <v>0.0</v>
      </c>
      <c r="Q332" s="16" t="s">
        <v>1122</v>
      </c>
      <c r="R332" s="1" t="s">
        <v>140</v>
      </c>
    </row>
    <row r="333">
      <c r="A333" s="3">
        <v>28764.0</v>
      </c>
      <c r="B333" s="5" t="s">
        <v>58</v>
      </c>
      <c r="C333" s="2">
        <v>84.0</v>
      </c>
      <c r="D333" s="8" t="s">
        <v>1123</v>
      </c>
      <c r="E333" s="1">
        <f>IFERROR(__xludf.DUMMYFUNCTION("IF(D333="""", 0, COUNTA(SPLIT(D333, "" "")))"),2.0)</f>
        <v>2</v>
      </c>
      <c r="F333" s="8" t="s">
        <v>1124</v>
      </c>
      <c r="G333" s="12">
        <v>5429.0</v>
      </c>
      <c r="H333" s="13">
        <f t="shared" si="1"/>
        <v>63.88774812</v>
      </c>
      <c r="I333" s="9">
        <f t="shared" si="2"/>
        <v>2.354551677</v>
      </c>
      <c r="J333" s="14" t="s">
        <v>42</v>
      </c>
      <c r="K333" s="15">
        <v>27904.0</v>
      </c>
      <c r="L333" s="16" t="s">
        <v>132</v>
      </c>
      <c r="M333" s="8" t="s">
        <v>1125</v>
      </c>
      <c r="N333" s="1">
        <v>0.0</v>
      </c>
      <c r="O333" s="1">
        <v>0.0</v>
      </c>
      <c r="P333" s="16">
        <v>0.0</v>
      </c>
      <c r="Q333" s="16" t="s">
        <v>637</v>
      </c>
      <c r="R333" s="1" t="s">
        <v>140</v>
      </c>
    </row>
    <row r="334">
      <c r="A334" s="3">
        <v>28764.0</v>
      </c>
      <c r="B334" s="5" t="s">
        <v>58</v>
      </c>
      <c r="C334" s="2">
        <v>85.0</v>
      </c>
      <c r="D334" s="17" t="s">
        <v>1126</v>
      </c>
      <c r="E334" s="1">
        <f>IFERROR(__xludf.DUMMYFUNCTION("IF(D334="""", 0, COUNTA(SPLIT(D334, "" "")))"),3.0)</f>
        <v>3</v>
      </c>
      <c r="F334" s="8" t="s">
        <v>1127</v>
      </c>
      <c r="G334" s="12">
        <v>6064.0</v>
      </c>
      <c r="H334" s="13">
        <f t="shared" si="1"/>
        <v>62.14921287</v>
      </c>
      <c r="I334" s="9">
        <f t="shared" si="2"/>
        <v>2.354551677</v>
      </c>
      <c r="J334" s="14" t="s">
        <v>42</v>
      </c>
      <c r="K334" s="15">
        <v>27904.0</v>
      </c>
      <c r="L334" s="16" t="s">
        <v>132</v>
      </c>
      <c r="M334" s="8" t="s">
        <v>1128</v>
      </c>
      <c r="N334" s="1">
        <v>0.0</v>
      </c>
      <c r="O334" s="1">
        <v>0.0</v>
      </c>
      <c r="P334" s="16">
        <v>0.0</v>
      </c>
      <c r="Q334" s="16" t="s">
        <v>167</v>
      </c>
      <c r="R334" s="1" t="s">
        <v>140</v>
      </c>
    </row>
    <row r="335">
      <c r="A335" s="3">
        <v>28764.0</v>
      </c>
      <c r="B335" s="5" t="s">
        <v>58</v>
      </c>
      <c r="C335" s="2">
        <v>86.0</v>
      </c>
      <c r="D335" s="8" t="s">
        <v>1129</v>
      </c>
      <c r="E335" s="1">
        <f>IFERROR(__xludf.DUMMYFUNCTION("IF(D335="""", 0, COUNTA(SPLIT(D335, "" "")))"),3.0)</f>
        <v>3</v>
      </c>
      <c r="F335" s="8" t="s">
        <v>1130</v>
      </c>
      <c r="G335" s="12">
        <v>10471.0</v>
      </c>
      <c r="H335" s="13">
        <f t="shared" si="1"/>
        <v>50.08350445</v>
      </c>
      <c r="I335" s="9">
        <f t="shared" si="2"/>
        <v>2.354551677</v>
      </c>
      <c r="J335" s="14" t="s">
        <v>42</v>
      </c>
      <c r="K335" s="15">
        <v>27904.0</v>
      </c>
      <c r="L335" s="16" t="s">
        <v>132</v>
      </c>
      <c r="M335" s="8" t="s">
        <v>1131</v>
      </c>
      <c r="N335" s="1">
        <v>0.0</v>
      </c>
      <c r="O335" s="1">
        <v>0.0</v>
      </c>
      <c r="P335" s="16">
        <v>0.0</v>
      </c>
      <c r="Q335" s="16" t="s">
        <v>419</v>
      </c>
      <c r="R335" s="1" t="s">
        <v>140</v>
      </c>
    </row>
    <row r="336">
      <c r="A336" s="3">
        <v>28764.0</v>
      </c>
      <c r="B336" s="5" t="s">
        <v>58</v>
      </c>
      <c r="C336" s="2">
        <v>87.0</v>
      </c>
      <c r="D336" s="8" t="s">
        <v>1132</v>
      </c>
      <c r="E336" s="1">
        <f>IFERROR(__xludf.DUMMYFUNCTION("IF(D336="""", 0, COUNTA(SPLIT(D336, "" "")))"),3.0)</f>
        <v>3</v>
      </c>
      <c r="F336" s="8" t="s">
        <v>1133</v>
      </c>
      <c r="G336" s="12">
        <v>9822.0</v>
      </c>
      <c r="H336" s="13">
        <f t="shared" si="1"/>
        <v>51.86036961</v>
      </c>
      <c r="I336" s="9">
        <f t="shared" si="2"/>
        <v>2.354551677</v>
      </c>
      <c r="J336" s="14" t="s">
        <v>42</v>
      </c>
      <c r="K336" s="15">
        <v>27904.0</v>
      </c>
      <c r="L336" s="16" t="s">
        <v>132</v>
      </c>
      <c r="M336" s="8" t="s">
        <v>1134</v>
      </c>
      <c r="N336" s="1">
        <v>0.0</v>
      </c>
      <c r="O336" s="1">
        <v>0.0</v>
      </c>
      <c r="P336" s="16">
        <v>0.0</v>
      </c>
      <c r="Q336" s="16" t="s">
        <v>167</v>
      </c>
      <c r="R336" s="1" t="s">
        <v>140</v>
      </c>
    </row>
    <row r="337">
      <c r="A337" s="3">
        <v>28764.0</v>
      </c>
      <c r="B337" s="5" t="s">
        <v>58</v>
      </c>
      <c r="C337" s="2">
        <v>88.0</v>
      </c>
      <c r="D337" s="17" t="s">
        <v>1135</v>
      </c>
      <c r="E337" s="1">
        <f>IFERROR(__xludf.DUMMYFUNCTION("IF(D337="""", 0, COUNTA(SPLIT(D337, "" "")))"),2.0)</f>
        <v>2</v>
      </c>
      <c r="F337" s="8" t="s">
        <v>1136</v>
      </c>
      <c r="G337" s="12">
        <v>9048.0</v>
      </c>
      <c r="H337" s="13">
        <f t="shared" si="1"/>
        <v>53.97946612</v>
      </c>
      <c r="I337" s="9">
        <f t="shared" si="2"/>
        <v>2.354551677</v>
      </c>
      <c r="J337" s="14" t="s">
        <v>42</v>
      </c>
      <c r="K337" s="15">
        <v>27904.0</v>
      </c>
      <c r="L337" s="16" t="s">
        <v>132</v>
      </c>
      <c r="M337" s="8" t="s">
        <v>1137</v>
      </c>
      <c r="N337" s="1">
        <v>0.0</v>
      </c>
      <c r="O337" s="1">
        <v>0.0</v>
      </c>
      <c r="P337" s="16">
        <v>0.0</v>
      </c>
      <c r="Q337" s="16" t="s">
        <v>218</v>
      </c>
      <c r="R337" s="1" t="s">
        <v>140</v>
      </c>
    </row>
    <row r="338">
      <c r="A338" s="3">
        <v>28764.0</v>
      </c>
      <c r="B338" s="5" t="s">
        <v>58</v>
      </c>
      <c r="C338" s="2">
        <v>89.0</v>
      </c>
      <c r="D338" s="8" t="s">
        <v>1138</v>
      </c>
      <c r="E338" s="1">
        <f>IFERROR(__xludf.DUMMYFUNCTION("IF(D338="""", 0, COUNTA(SPLIT(D338, "" "")))"),2.0)</f>
        <v>2</v>
      </c>
      <c r="F338" s="8" t="s">
        <v>1139</v>
      </c>
      <c r="G338" s="12">
        <v>5458.0</v>
      </c>
      <c r="H338" s="13">
        <f t="shared" si="1"/>
        <v>63.80835044</v>
      </c>
      <c r="I338" s="9">
        <f t="shared" si="2"/>
        <v>2.354551677</v>
      </c>
      <c r="J338" s="14" t="s">
        <v>42</v>
      </c>
      <c r="K338" s="15">
        <v>27904.0</v>
      </c>
      <c r="L338" s="16" t="s">
        <v>132</v>
      </c>
      <c r="M338" s="8" t="s">
        <v>1140</v>
      </c>
      <c r="N338" s="1">
        <v>0.0</v>
      </c>
      <c r="O338" s="1">
        <v>0.0</v>
      </c>
      <c r="P338" s="16">
        <v>0.0</v>
      </c>
      <c r="Q338" s="16" t="s">
        <v>167</v>
      </c>
      <c r="R338" s="1" t="s">
        <v>140</v>
      </c>
    </row>
    <row r="339">
      <c r="A339" s="3">
        <v>28764.0</v>
      </c>
      <c r="B339" s="5" t="s">
        <v>58</v>
      </c>
      <c r="C339" s="2">
        <v>90.0</v>
      </c>
      <c r="D339" s="8" t="s">
        <v>1141</v>
      </c>
      <c r="E339" s="1">
        <f>IFERROR(__xludf.DUMMYFUNCTION("IF(D339="""", 0, COUNTA(SPLIT(D339, "" "")))"),2.0)</f>
        <v>2</v>
      </c>
      <c r="F339" s="8" t="s">
        <v>1142</v>
      </c>
      <c r="G339" s="12">
        <v>3724.0</v>
      </c>
      <c r="H339" s="13">
        <f t="shared" si="1"/>
        <v>68.55578371</v>
      </c>
      <c r="I339" s="9">
        <f t="shared" si="2"/>
        <v>2.354551677</v>
      </c>
      <c r="J339" s="14" t="s">
        <v>42</v>
      </c>
      <c r="K339" s="15">
        <v>27904.0</v>
      </c>
      <c r="L339" s="16" t="s">
        <v>132</v>
      </c>
      <c r="M339" s="8" t="s">
        <v>1143</v>
      </c>
      <c r="N339" s="1">
        <v>0.0</v>
      </c>
      <c r="O339" s="1">
        <v>0.0</v>
      </c>
      <c r="P339" s="16">
        <v>0.0</v>
      </c>
      <c r="Q339" s="16" t="s">
        <v>297</v>
      </c>
      <c r="R339" s="1" t="s">
        <v>140</v>
      </c>
    </row>
    <row r="340">
      <c r="A340" s="3">
        <v>28764.0</v>
      </c>
      <c r="B340" s="5" t="s">
        <v>58</v>
      </c>
      <c r="C340" s="2">
        <v>91.0</v>
      </c>
      <c r="D340" s="17" t="s">
        <v>1144</v>
      </c>
      <c r="E340" s="1">
        <f>IFERROR(__xludf.DUMMYFUNCTION("IF(D340="""", 0, COUNTA(SPLIT(D340, "" "")))"),3.0)</f>
        <v>3</v>
      </c>
      <c r="F340" s="8" t="s">
        <v>1145</v>
      </c>
      <c r="G340" s="12">
        <v>8462.0</v>
      </c>
      <c r="H340" s="13">
        <f t="shared" si="1"/>
        <v>55.58384668</v>
      </c>
      <c r="I340" s="9">
        <f t="shared" si="2"/>
        <v>2.354551677</v>
      </c>
      <c r="J340" s="14" t="s">
        <v>42</v>
      </c>
      <c r="K340" s="15">
        <v>27904.0</v>
      </c>
      <c r="L340" s="16" t="s">
        <v>132</v>
      </c>
      <c r="M340" s="8" t="s">
        <v>1146</v>
      </c>
      <c r="N340" s="1">
        <v>0.0</v>
      </c>
      <c r="O340" s="1">
        <v>0.0</v>
      </c>
      <c r="P340" s="16">
        <v>0.0</v>
      </c>
      <c r="Q340" s="16" t="s">
        <v>167</v>
      </c>
      <c r="R340" s="1" t="s">
        <v>140</v>
      </c>
    </row>
    <row r="341">
      <c r="A341" s="3">
        <v>28764.0</v>
      </c>
      <c r="B341" s="5" t="s">
        <v>58</v>
      </c>
      <c r="C341" s="2">
        <v>92.0</v>
      </c>
      <c r="D341" s="17" t="s">
        <v>1147</v>
      </c>
      <c r="E341" s="1">
        <f>IFERROR(__xludf.DUMMYFUNCTION("IF(D341="""", 0, COUNTA(SPLIT(D341, "" "")))"),2.0)</f>
        <v>2</v>
      </c>
      <c r="F341" s="8" t="s">
        <v>1148</v>
      </c>
      <c r="G341" s="12">
        <v>7922.0</v>
      </c>
      <c r="H341" s="13">
        <f t="shared" si="1"/>
        <v>57.06228611</v>
      </c>
      <c r="I341" s="9">
        <f t="shared" si="2"/>
        <v>2.354551677</v>
      </c>
      <c r="J341" s="14" t="s">
        <v>42</v>
      </c>
      <c r="K341" s="15">
        <v>27904.0</v>
      </c>
      <c r="L341" s="16" t="s">
        <v>132</v>
      </c>
      <c r="M341" s="8" t="s">
        <v>1149</v>
      </c>
      <c r="N341" s="1">
        <v>0.0</v>
      </c>
      <c r="O341" s="1">
        <v>0.0</v>
      </c>
      <c r="P341" s="16">
        <v>0.0</v>
      </c>
      <c r="Q341" s="16" t="s">
        <v>656</v>
      </c>
      <c r="R341" s="1" t="s">
        <v>140</v>
      </c>
    </row>
    <row r="342">
      <c r="A342" s="3">
        <v>28764.0</v>
      </c>
      <c r="B342" s="5" t="s">
        <v>58</v>
      </c>
      <c r="C342" s="2">
        <v>93.0</v>
      </c>
      <c r="D342" s="8" t="s">
        <v>1150</v>
      </c>
      <c r="E342" s="1">
        <f>IFERROR(__xludf.DUMMYFUNCTION("IF(D342="""", 0, COUNTA(SPLIT(D342, "" "")))"),2.0)</f>
        <v>2</v>
      </c>
      <c r="F342" s="8" t="s">
        <v>1151</v>
      </c>
      <c r="G342" s="12" t="s">
        <v>1152</v>
      </c>
      <c r="H342" s="13">
        <f t="shared" si="1"/>
        <v>79.25256674</v>
      </c>
      <c r="I342" s="9">
        <f t="shared" si="2"/>
        <v>2.354551677</v>
      </c>
      <c r="J342" s="14" t="s">
        <v>42</v>
      </c>
      <c r="K342" s="15">
        <v>27904.0</v>
      </c>
      <c r="L342" s="16" t="s">
        <v>132</v>
      </c>
      <c r="M342" s="8" t="s">
        <v>1153</v>
      </c>
      <c r="N342" s="1">
        <v>0.0</v>
      </c>
      <c r="O342" s="1">
        <v>0.0</v>
      </c>
      <c r="P342" s="16">
        <v>0.0</v>
      </c>
      <c r="Q342" s="16" t="s">
        <v>390</v>
      </c>
      <c r="R342" s="1" t="s">
        <v>140</v>
      </c>
    </row>
    <row r="343">
      <c r="A343" s="3">
        <v>28764.0</v>
      </c>
      <c r="B343" s="5" t="s">
        <v>58</v>
      </c>
      <c r="C343" s="2">
        <v>94.0</v>
      </c>
      <c r="D343" s="8" t="s">
        <v>1154</v>
      </c>
      <c r="E343" s="1">
        <f>IFERROR(__xludf.DUMMYFUNCTION("IF(D343="""", 0, COUNTA(SPLIT(D343, "" "")))"),3.0)</f>
        <v>3</v>
      </c>
      <c r="F343" s="8" t="s">
        <v>1155</v>
      </c>
      <c r="G343" s="12">
        <v>1917.0</v>
      </c>
      <c r="H343" s="13">
        <f t="shared" si="1"/>
        <v>73.50308008</v>
      </c>
      <c r="I343" s="9">
        <f t="shared" si="2"/>
        <v>1.262149213</v>
      </c>
      <c r="J343" s="14" t="s">
        <v>42</v>
      </c>
      <c r="K343" s="15">
        <v>28303.0</v>
      </c>
      <c r="L343" s="16" t="s">
        <v>132</v>
      </c>
      <c r="M343" s="8" t="s">
        <v>1156</v>
      </c>
      <c r="N343" s="1">
        <v>0.0</v>
      </c>
      <c r="O343" s="1">
        <v>0.0</v>
      </c>
      <c r="P343" s="16">
        <v>0.0</v>
      </c>
      <c r="Q343" s="16" t="s">
        <v>1157</v>
      </c>
      <c r="R343" s="1" t="s">
        <v>140</v>
      </c>
    </row>
    <row r="344">
      <c r="A344" s="3">
        <v>28764.0</v>
      </c>
      <c r="B344" s="5" t="s">
        <v>58</v>
      </c>
      <c r="C344" s="2">
        <v>95.0</v>
      </c>
      <c r="D344" s="8" t="s">
        <v>1158</v>
      </c>
      <c r="E344" s="1">
        <f>IFERROR(__xludf.DUMMYFUNCTION("IF(D344="""", 0, COUNTA(SPLIT(D344, "" "")))"),2.0)</f>
        <v>2</v>
      </c>
      <c r="F344" s="8" t="s">
        <v>1159</v>
      </c>
      <c r="G344" s="12">
        <v>7803.0</v>
      </c>
      <c r="H344" s="13">
        <f t="shared" si="1"/>
        <v>57.38809035</v>
      </c>
      <c r="I344" s="9">
        <f t="shared" si="2"/>
        <v>1.262149213</v>
      </c>
      <c r="J344" s="14" t="s">
        <v>42</v>
      </c>
      <c r="K344" s="15">
        <v>28303.0</v>
      </c>
      <c r="L344" s="16" t="s">
        <v>132</v>
      </c>
      <c r="M344" s="8" t="s">
        <v>1160</v>
      </c>
      <c r="N344" s="1">
        <v>0.0</v>
      </c>
      <c r="O344" s="1">
        <v>0.0</v>
      </c>
      <c r="P344" s="16">
        <v>0.0</v>
      </c>
      <c r="Q344" s="16" t="s">
        <v>27</v>
      </c>
      <c r="R344" s="1" t="s">
        <v>140</v>
      </c>
    </row>
    <row r="345">
      <c r="A345" s="3">
        <v>28764.0</v>
      </c>
      <c r="B345" s="5" t="s">
        <v>58</v>
      </c>
      <c r="C345" s="2">
        <v>96.0</v>
      </c>
      <c r="D345" s="8" t="s">
        <v>1161</v>
      </c>
      <c r="E345" s="1">
        <f>IFERROR(__xludf.DUMMYFUNCTION("IF(D345="""", 0, COUNTA(SPLIT(D345, "" "")))"),2.0)</f>
        <v>2</v>
      </c>
      <c r="F345" s="8" t="s">
        <v>1162</v>
      </c>
      <c r="G345" s="12">
        <v>9968.0</v>
      </c>
      <c r="H345" s="13">
        <f t="shared" si="1"/>
        <v>51.46064339</v>
      </c>
      <c r="I345" s="9">
        <f t="shared" si="2"/>
        <v>11.26625599</v>
      </c>
      <c r="J345" s="14" t="s">
        <v>42</v>
      </c>
      <c r="K345" s="15">
        <v>24649.0</v>
      </c>
      <c r="L345" s="16" t="s">
        <v>132</v>
      </c>
      <c r="M345" s="8" t="s">
        <v>1163</v>
      </c>
      <c r="N345" s="1">
        <v>0.0</v>
      </c>
      <c r="O345" s="1">
        <v>0.0</v>
      </c>
      <c r="P345" s="16">
        <v>0.0</v>
      </c>
      <c r="Q345" s="16" t="s">
        <v>159</v>
      </c>
      <c r="R345" s="1" t="s">
        <v>140</v>
      </c>
    </row>
    <row r="346">
      <c r="A346" s="3">
        <v>28764.0</v>
      </c>
      <c r="B346" s="5" t="s">
        <v>58</v>
      </c>
      <c r="C346" s="2">
        <v>97.0</v>
      </c>
      <c r="D346" s="8" t="s">
        <v>1164</v>
      </c>
      <c r="E346" s="1">
        <f>IFERROR(__xludf.DUMMYFUNCTION("IF(D346="""", 0, COUNTA(SPLIT(D346, "" "")))"),2.0)</f>
        <v>2</v>
      </c>
      <c r="F346" s="8" t="s">
        <v>1165</v>
      </c>
      <c r="G346" s="12">
        <v>4231.0</v>
      </c>
      <c r="H346" s="13">
        <f t="shared" si="1"/>
        <v>67.16769336</v>
      </c>
      <c r="I346" s="9">
        <f t="shared" si="2"/>
        <v>9.42642026</v>
      </c>
      <c r="J346" s="14" t="s">
        <v>422</v>
      </c>
      <c r="K346" s="15">
        <v>25321.0</v>
      </c>
      <c r="L346" s="16" t="s">
        <v>132</v>
      </c>
      <c r="M346" s="8" t="s">
        <v>1166</v>
      </c>
      <c r="N346" s="1">
        <v>0.0</v>
      </c>
      <c r="O346" s="1">
        <v>0.0</v>
      </c>
      <c r="P346" s="16">
        <v>0.0</v>
      </c>
      <c r="Q346" s="16" t="s">
        <v>27</v>
      </c>
      <c r="R346" s="1" t="s">
        <v>140</v>
      </c>
    </row>
    <row r="347">
      <c r="A347" s="3">
        <v>28764.0</v>
      </c>
      <c r="B347" s="5" t="s">
        <v>58</v>
      </c>
      <c r="C347" s="2">
        <v>98.0</v>
      </c>
      <c r="D347" s="8" t="s">
        <v>1167</v>
      </c>
      <c r="E347" s="1">
        <f>IFERROR(__xludf.DUMMYFUNCTION("IF(D347="""", 0, COUNTA(SPLIT(D347, "" "")))"),2.0)</f>
        <v>2</v>
      </c>
      <c r="F347" s="8" t="s">
        <v>1168</v>
      </c>
      <c r="G347" s="12">
        <v>3971.0</v>
      </c>
      <c r="H347" s="13">
        <f t="shared" si="1"/>
        <v>67.87953457</v>
      </c>
      <c r="I347" s="9">
        <f t="shared" si="2"/>
        <v>9.42642026</v>
      </c>
      <c r="J347" s="14" t="s">
        <v>422</v>
      </c>
      <c r="K347" s="15">
        <v>25321.0</v>
      </c>
      <c r="L347" s="16" t="s">
        <v>132</v>
      </c>
      <c r="M347" s="8" t="s">
        <v>1169</v>
      </c>
      <c r="N347" s="1">
        <v>0.0</v>
      </c>
      <c r="O347" s="1">
        <v>0.0</v>
      </c>
      <c r="P347" s="16">
        <v>0.0</v>
      </c>
      <c r="Q347" s="16" t="s">
        <v>27</v>
      </c>
      <c r="R347" s="1" t="s">
        <v>140</v>
      </c>
    </row>
    <row r="348">
      <c r="A348" s="3">
        <v>28764.0</v>
      </c>
      <c r="B348" s="5" t="s">
        <v>58</v>
      </c>
      <c r="C348" s="2">
        <v>99.0</v>
      </c>
      <c r="D348" s="8" t="s">
        <v>1170</v>
      </c>
      <c r="E348" s="1">
        <f>IFERROR(__xludf.DUMMYFUNCTION("IF(D348="""", 0, COUNTA(SPLIT(D348, "" "")))"),2.0)</f>
        <v>2</v>
      </c>
      <c r="F348" s="8" t="s">
        <v>1171</v>
      </c>
      <c r="G348" s="12">
        <v>2613.0</v>
      </c>
      <c r="H348" s="13">
        <f t="shared" si="1"/>
        <v>71.59753593</v>
      </c>
      <c r="I348" s="9">
        <f t="shared" si="2"/>
        <v>9.42642026</v>
      </c>
      <c r="J348" s="14" t="s">
        <v>422</v>
      </c>
      <c r="K348" s="15">
        <v>25321.0</v>
      </c>
      <c r="L348" s="16" t="s">
        <v>132</v>
      </c>
      <c r="M348" s="8" t="s">
        <v>1172</v>
      </c>
      <c r="N348" s="1">
        <v>0.0</v>
      </c>
      <c r="O348" s="1">
        <v>0.0</v>
      </c>
      <c r="P348" s="16">
        <v>0.0</v>
      </c>
      <c r="Q348" s="16" t="s">
        <v>27</v>
      </c>
      <c r="R348" s="1" t="s">
        <v>140</v>
      </c>
    </row>
    <row r="349">
      <c r="A349" s="3">
        <v>28764.0</v>
      </c>
      <c r="B349" s="5" t="s">
        <v>58</v>
      </c>
      <c r="C349" s="2">
        <v>100.0</v>
      </c>
      <c r="D349" s="8" t="s">
        <v>1173</v>
      </c>
      <c r="E349" s="1">
        <f>IFERROR(__xludf.DUMMYFUNCTION("IF(D349="""", 0, COUNTA(SPLIT(D349, "" "")))"),5.0)</f>
        <v>5</v>
      </c>
      <c r="F349" s="8" t="s">
        <v>1174</v>
      </c>
      <c r="G349" s="12">
        <v>1320.0</v>
      </c>
      <c r="H349" s="13">
        <f t="shared" si="1"/>
        <v>75.137577</v>
      </c>
      <c r="I349" s="9">
        <f t="shared" si="2"/>
        <v>9.42642026</v>
      </c>
      <c r="J349" s="14" t="s">
        <v>422</v>
      </c>
      <c r="K349" s="15">
        <v>25321.0</v>
      </c>
      <c r="L349" s="16" t="s">
        <v>132</v>
      </c>
      <c r="M349" s="8" t="s">
        <v>1175</v>
      </c>
      <c r="N349" s="1">
        <v>0.0</v>
      </c>
      <c r="O349" s="1">
        <v>0.0</v>
      </c>
      <c r="P349" s="16">
        <v>0.0</v>
      </c>
      <c r="Q349" s="16" t="s">
        <v>27</v>
      </c>
      <c r="R349" s="1" t="s">
        <v>140</v>
      </c>
    </row>
    <row r="350">
      <c r="A350" s="3">
        <v>28764.0</v>
      </c>
      <c r="B350" s="5" t="s">
        <v>58</v>
      </c>
      <c r="C350" s="2">
        <v>101.0</v>
      </c>
      <c r="D350" s="8" t="s">
        <v>1176</v>
      </c>
      <c r="E350" s="1">
        <f>IFERROR(__xludf.DUMMYFUNCTION("IF(D350="""", 0, COUNTA(SPLIT(D350, "" "")))"),2.0)</f>
        <v>2</v>
      </c>
      <c r="F350" s="8" t="s">
        <v>1177</v>
      </c>
      <c r="G350" s="12">
        <v>2186.0</v>
      </c>
      <c r="H350" s="13">
        <f t="shared" si="1"/>
        <v>72.76659822</v>
      </c>
      <c r="I350" s="9">
        <f t="shared" si="2"/>
        <v>5.574264203</v>
      </c>
      <c r="J350" s="14" t="s">
        <v>422</v>
      </c>
      <c r="K350" s="15">
        <v>26728.0</v>
      </c>
      <c r="L350" s="16" t="s">
        <v>132</v>
      </c>
      <c r="M350" s="8" t="s">
        <v>1178</v>
      </c>
      <c r="N350" s="1">
        <v>0.0</v>
      </c>
      <c r="O350" s="1">
        <v>0.0</v>
      </c>
      <c r="P350" s="16">
        <v>0.0</v>
      </c>
      <c r="Q350" s="16" t="s">
        <v>27</v>
      </c>
      <c r="R350" s="1" t="s">
        <v>140</v>
      </c>
    </row>
    <row r="351">
      <c r="A351" s="3">
        <v>28764.0</v>
      </c>
      <c r="B351" s="5" t="s">
        <v>58</v>
      </c>
      <c r="C351" s="2">
        <v>102.0</v>
      </c>
      <c r="D351" s="8" t="s">
        <v>1179</v>
      </c>
      <c r="E351" s="1">
        <f>IFERROR(__xludf.DUMMYFUNCTION("IF(D351="""", 0, COUNTA(SPLIT(D351, "" "")))"),2.0)</f>
        <v>2</v>
      </c>
      <c r="F351" s="8" t="s">
        <v>1180</v>
      </c>
      <c r="G351" s="12">
        <v>3808.0</v>
      </c>
      <c r="H351" s="13">
        <f t="shared" si="1"/>
        <v>68.32580424</v>
      </c>
      <c r="I351" s="9">
        <f t="shared" si="2"/>
        <v>5.574264203</v>
      </c>
      <c r="J351" s="14" t="s">
        <v>422</v>
      </c>
      <c r="K351" s="15">
        <v>26728.0</v>
      </c>
      <c r="L351" s="16" t="s">
        <v>132</v>
      </c>
      <c r="M351" s="8" t="s">
        <v>1181</v>
      </c>
      <c r="N351" s="1">
        <v>0.0</v>
      </c>
      <c r="O351" s="1">
        <v>0.0</v>
      </c>
      <c r="P351" s="16">
        <v>0.0</v>
      </c>
      <c r="Q351" s="16" t="s">
        <v>27</v>
      </c>
      <c r="R351" s="1" t="s">
        <v>140</v>
      </c>
    </row>
    <row r="352">
      <c r="A352" s="3">
        <v>28764.0</v>
      </c>
      <c r="B352" s="5" t="s">
        <v>58</v>
      </c>
      <c r="C352" s="2">
        <v>103.0</v>
      </c>
      <c r="D352" s="8" t="s">
        <v>1182</v>
      </c>
      <c r="E352" s="1">
        <f>IFERROR(__xludf.DUMMYFUNCTION("IF(D352="""", 0, COUNTA(SPLIT(D352, "" "")))"),2.0)</f>
        <v>2</v>
      </c>
      <c r="F352" s="8" t="s">
        <v>1183</v>
      </c>
      <c r="G352" s="12">
        <v>1642.0</v>
      </c>
      <c r="H352" s="13">
        <f t="shared" si="1"/>
        <v>74.25598905</v>
      </c>
      <c r="I352" s="9">
        <f t="shared" si="2"/>
        <v>5.574264203</v>
      </c>
      <c r="J352" s="14" t="s">
        <v>422</v>
      </c>
      <c r="K352" s="15">
        <v>26728.0</v>
      </c>
      <c r="L352" s="16" t="s">
        <v>132</v>
      </c>
      <c r="M352" s="16" t="s">
        <v>1184</v>
      </c>
      <c r="N352" s="1">
        <v>0.0</v>
      </c>
      <c r="O352" s="1">
        <v>0.0</v>
      </c>
      <c r="P352" s="16">
        <v>0.0</v>
      </c>
      <c r="Q352" s="16" t="s">
        <v>27</v>
      </c>
      <c r="R352" s="1" t="s">
        <v>140</v>
      </c>
    </row>
    <row r="353">
      <c r="A353" s="3">
        <v>28764.0</v>
      </c>
      <c r="B353" s="5" t="s">
        <v>58</v>
      </c>
      <c r="C353" s="2">
        <v>104.0</v>
      </c>
      <c r="D353" s="17" t="s">
        <v>1185</v>
      </c>
      <c r="E353" s="1">
        <f>IFERROR(__xludf.DUMMYFUNCTION("IF(D353="""", 0, COUNTA(SPLIT(D353, "" "")))"),2.0)</f>
        <v>2</v>
      </c>
      <c r="F353" s="8" t="s">
        <v>1186</v>
      </c>
      <c r="G353" s="12">
        <v>1933.0</v>
      </c>
      <c r="H353" s="13">
        <f t="shared" si="1"/>
        <v>73.45927447</v>
      </c>
      <c r="I353" s="9">
        <f t="shared" si="2"/>
        <v>5.574264203</v>
      </c>
      <c r="J353" s="14" t="s">
        <v>422</v>
      </c>
      <c r="K353" s="15">
        <v>26728.0</v>
      </c>
      <c r="L353" s="16" t="s">
        <v>132</v>
      </c>
      <c r="M353" s="8" t="s">
        <v>1187</v>
      </c>
      <c r="N353" s="1">
        <v>0.0</v>
      </c>
      <c r="O353" s="1">
        <v>0.0</v>
      </c>
      <c r="P353" s="16">
        <v>0.0</v>
      </c>
      <c r="Q353" s="16" t="s">
        <v>174</v>
      </c>
      <c r="R353" s="1" t="s">
        <v>140</v>
      </c>
    </row>
    <row r="354">
      <c r="A354" s="3">
        <v>28764.0</v>
      </c>
      <c r="B354" s="5" t="s">
        <v>58</v>
      </c>
      <c r="C354" s="2">
        <v>105.0</v>
      </c>
      <c r="D354" s="8" t="s">
        <v>1188</v>
      </c>
      <c r="E354" s="1">
        <f>IFERROR(__xludf.DUMMYFUNCTION("IF(D354="""", 0, COUNTA(SPLIT(D354, "" "")))"),2.0)</f>
        <v>2</v>
      </c>
      <c r="F354" s="8" t="s">
        <v>1189</v>
      </c>
      <c r="G354" s="12">
        <v>4523.0</v>
      </c>
      <c r="H354" s="13">
        <f t="shared" si="1"/>
        <v>66.36824093</v>
      </c>
      <c r="I354" s="9">
        <f t="shared" si="2"/>
        <v>5.574264203</v>
      </c>
      <c r="J354" s="14" t="s">
        <v>422</v>
      </c>
      <c r="K354" s="15">
        <v>26728.0</v>
      </c>
      <c r="L354" s="16" t="s">
        <v>132</v>
      </c>
      <c r="M354" s="8" t="s">
        <v>1190</v>
      </c>
      <c r="N354" s="1">
        <v>0.0</v>
      </c>
      <c r="O354" s="1">
        <v>0.0</v>
      </c>
      <c r="P354" s="16">
        <v>0.0</v>
      </c>
      <c r="Q354" s="16" t="s">
        <v>27</v>
      </c>
      <c r="R354" s="1" t="s">
        <v>140</v>
      </c>
    </row>
    <row r="355">
      <c r="A355" s="3">
        <v>28764.0</v>
      </c>
      <c r="B355" s="5" t="s">
        <v>58</v>
      </c>
      <c r="C355" s="2">
        <v>106.0</v>
      </c>
      <c r="D355" s="8" t="s">
        <v>1191</v>
      </c>
      <c r="E355" s="1">
        <f>IFERROR(__xludf.DUMMYFUNCTION("IF(D355="""", 0, COUNTA(SPLIT(D355, "" "")))"),2.0)</f>
        <v>2</v>
      </c>
      <c r="F355" s="8" t="s">
        <v>1192</v>
      </c>
      <c r="G355" s="12">
        <v>3787.0</v>
      </c>
      <c r="H355" s="13">
        <f t="shared" si="1"/>
        <v>68.38329911</v>
      </c>
      <c r="I355" s="9">
        <f t="shared" si="2"/>
        <v>2.354551677</v>
      </c>
      <c r="J355" s="14" t="s">
        <v>422</v>
      </c>
      <c r="K355" s="21">
        <v>27904.0</v>
      </c>
      <c r="L355" s="16" t="s">
        <v>132</v>
      </c>
      <c r="M355" s="8" t="s">
        <v>1193</v>
      </c>
      <c r="N355" s="1">
        <v>0.0</v>
      </c>
      <c r="O355" s="1">
        <v>0.0</v>
      </c>
      <c r="P355" s="16">
        <v>0.0</v>
      </c>
      <c r="Q355" s="16" t="s">
        <v>27</v>
      </c>
      <c r="R355" s="1" t="s">
        <v>140</v>
      </c>
    </row>
    <row r="356">
      <c r="A356" s="3">
        <v>28764.0</v>
      </c>
      <c r="B356" s="5" t="s">
        <v>58</v>
      </c>
      <c r="C356" s="2">
        <v>107.0</v>
      </c>
      <c r="D356" s="8" t="s">
        <v>1194</v>
      </c>
      <c r="E356" s="1">
        <f>IFERROR(__xludf.DUMMYFUNCTION("IF(D356="""", 0, COUNTA(SPLIT(D356, "" "")))"),3.0)</f>
        <v>3</v>
      </c>
      <c r="F356" s="8" t="s">
        <v>1195</v>
      </c>
      <c r="G356" s="12">
        <v>2704.0</v>
      </c>
      <c r="H356" s="13">
        <f t="shared" si="1"/>
        <v>71.34839151</v>
      </c>
      <c r="I356" s="9">
        <f t="shared" si="2"/>
        <v>2.354551677</v>
      </c>
      <c r="J356" s="14" t="s">
        <v>422</v>
      </c>
      <c r="K356" s="21">
        <v>27904.0</v>
      </c>
      <c r="L356" s="16" t="s">
        <v>132</v>
      </c>
      <c r="M356" s="8" t="s">
        <v>1196</v>
      </c>
      <c r="N356" s="1">
        <v>0.0</v>
      </c>
      <c r="O356" s="1">
        <v>0.0</v>
      </c>
      <c r="P356" s="16">
        <v>0.0</v>
      </c>
      <c r="Q356" s="16" t="s">
        <v>27</v>
      </c>
      <c r="R356" s="1" t="s">
        <v>140</v>
      </c>
    </row>
    <row r="357">
      <c r="A357" s="3">
        <v>28764.0</v>
      </c>
      <c r="B357" s="5" t="s">
        <v>58</v>
      </c>
      <c r="C357" s="2">
        <v>108.0</v>
      </c>
      <c r="D357" s="8" t="s">
        <v>1197</v>
      </c>
      <c r="E357" s="1">
        <f>IFERROR(__xludf.DUMMYFUNCTION("IF(D357="""", 0, COUNTA(SPLIT(D357, "" "")))"),2.0)</f>
        <v>2</v>
      </c>
      <c r="F357" s="8" t="s">
        <v>1198</v>
      </c>
      <c r="G357" s="12">
        <v>1281.0</v>
      </c>
      <c r="H357" s="13">
        <f t="shared" si="1"/>
        <v>75.24435318</v>
      </c>
      <c r="I357" s="9">
        <f t="shared" si="2"/>
        <v>2.354551677</v>
      </c>
      <c r="J357" s="14" t="s">
        <v>422</v>
      </c>
      <c r="K357" s="21">
        <v>27904.0</v>
      </c>
      <c r="L357" s="16" t="s">
        <v>132</v>
      </c>
      <c r="M357" s="8" t="s">
        <v>1199</v>
      </c>
      <c r="N357" s="1">
        <v>0.0</v>
      </c>
      <c r="O357" s="1">
        <v>0.0</v>
      </c>
      <c r="P357" s="16">
        <v>0.0</v>
      </c>
      <c r="Q357" s="16" t="s">
        <v>27</v>
      </c>
      <c r="R357" s="1" t="s">
        <v>140</v>
      </c>
    </row>
    <row r="358">
      <c r="A358" s="3">
        <v>28764.0</v>
      </c>
      <c r="B358" s="5" t="s">
        <v>58</v>
      </c>
      <c r="C358" s="2">
        <v>109.0</v>
      </c>
      <c r="D358" s="8" t="s">
        <v>1200</v>
      </c>
      <c r="E358" s="1">
        <f>IFERROR(__xludf.DUMMYFUNCTION("IF(D358="""", 0, COUNTA(SPLIT(D358, "" "")))"),2.0)</f>
        <v>2</v>
      </c>
      <c r="F358" s="8" t="s">
        <v>1201</v>
      </c>
      <c r="G358" s="12">
        <v>1147.0</v>
      </c>
      <c r="H358" s="13">
        <f t="shared" si="1"/>
        <v>75.61122519</v>
      </c>
      <c r="I358" s="9">
        <f t="shared" si="2"/>
        <v>2.354551677</v>
      </c>
      <c r="J358" s="14" t="s">
        <v>422</v>
      </c>
      <c r="K358" s="21">
        <v>27904.0</v>
      </c>
      <c r="L358" s="16" t="s">
        <v>132</v>
      </c>
      <c r="M358" s="8" t="s">
        <v>1202</v>
      </c>
      <c r="N358" s="1">
        <v>0.0</v>
      </c>
      <c r="O358" s="1">
        <v>0.0</v>
      </c>
      <c r="P358" s="16">
        <v>0.0</v>
      </c>
      <c r="Q358" s="16" t="s">
        <v>159</v>
      </c>
      <c r="R358" s="1" t="s">
        <v>140</v>
      </c>
    </row>
    <row r="359">
      <c r="A359" s="3">
        <v>28764.0</v>
      </c>
      <c r="B359" s="5" t="s">
        <v>58</v>
      </c>
      <c r="C359" s="2">
        <v>110.0</v>
      </c>
      <c r="D359" s="8" t="s">
        <v>1203</v>
      </c>
      <c r="E359" s="1">
        <f>IFERROR(__xludf.DUMMYFUNCTION("IF(D359="""", 0, COUNTA(SPLIT(D359, "" "")))"),3.0)</f>
        <v>3</v>
      </c>
      <c r="F359" s="8" t="s">
        <v>1204</v>
      </c>
      <c r="G359" s="12">
        <v>7643.0</v>
      </c>
      <c r="H359" s="13">
        <f t="shared" si="1"/>
        <v>57.82614648</v>
      </c>
      <c r="I359" s="9">
        <f t="shared" si="2"/>
        <v>2.354551677</v>
      </c>
      <c r="J359" s="14" t="s">
        <v>422</v>
      </c>
      <c r="K359" s="21">
        <v>27904.0</v>
      </c>
      <c r="L359" s="16" t="s">
        <v>132</v>
      </c>
      <c r="M359" s="8" t="s">
        <v>1205</v>
      </c>
      <c r="N359" s="1">
        <v>0.0</v>
      </c>
      <c r="O359" s="1">
        <v>0.0</v>
      </c>
      <c r="P359" s="16">
        <v>0.0</v>
      </c>
      <c r="Q359" s="16" t="s">
        <v>163</v>
      </c>
      <c r="R359" s="1" t="s">
        <v>140</v>
      </c>
    </row>
    <row r="360">
      <c r="A360" s="3">
        <v>28764.0</v>
      </c>
      <c r="B360" s="5" t="s">
        <v>58</v>
      </c>
      <c r="C360" s="2">
        <v>111.0</v>
      </c>
      <c r="D360" s="8" t="s">
        <v>1206</v>
      </c>
      <c r="E360" s="1">
        <f>IFERROR(__xludf.DUMMYFUNCTION("IF(D360="""", 0, COUNTA(SPLIT(D360, "" "")))"),2.0)</f>
        <v>2</v>
      </c>
      <c r="F360" s="8" t="s">
        <v>1207</v>
      </c>
      <c r="G360" s="12">
        <v>8164.0</v>
      </c>
      <c r="H360" s="13">
        <f t="shared" si="1"/>
        <v>56.39972621</v>
      </c>
      <c r="I360" s="9">
        <f t="shared" si="2"/>
        <v>1.262149213</v>
      </c>
      <c r="J360" s="14" t="s">
        <v>422</v>
      </c>
      <c r="K360" s="21">
        <v>28303.0</v>
      </c>
      <c r="L360" s="16" t="s">
        <v>132</v>
      </c>
      <c r="M360" s="8" t="s">
        <v>1208</v>
      </c>
      <c r="N360" s="1">
        <v>0.0</v>
      </c>
      <c r="O360" s="1">
        <v>0.0</v>
      </c>
      <c r="P360" s="16">
        <v>0.0</v>
      </c>
      <c r="Q360" s="16" t="s">
        <v>174</v>
      </c>
      <c r="R360" s="1" t="s">
        <v>140</v>
      </c>
    </row>
    <row r="361">
      <c r="A361" s="3">
        <v>28764.0</v>
      </c>
      <c r="B361" s="5" t="s">
        <v>58</v>
      </c>
      <c r="C361" s="2">
        <v>112.0</v>
      </c>
      <c r="D361" s="17" t="s">
        <v>1209</v>
      </c>
      <c r="E361" s="1">
        <f>IFERROR(__xludf.DUMMYFUNCTION("IF(D361="""", 0, COUNTA(SPLIT(D361, "" "")))"),3.0)</f>
        <v>3</v>
      </c>
      <c r="F361" s="8" t="s">
        <v>1210</v>
      </c>
      <c r="G361" s="12">
        <v>3567.0</v>
      </c>
      <c r="H361" s="13">
        <f t="shared" si="1"/>
        <v>68.98562628</v>
      </c>
      <c r="I361" s="9">
        <f t="shared" si="2"/>
        <v>1.262149213</v>
      </c>
      <c r="J361" s="14" t="s">
        <v>422</v>
      </c>
      <c r="K361" s="21">
        <v>28303.0</v>
      </c>
      <c r="L361" s="16" t="s">
        <v>132</v>
      </c>
      <c r="M361" s="8" t="s">
        <v>1211</v>
      </c>
      <c r="N361" s="1">
        <v>0.0</v>
      </c>
      <c r="O361" s="1">
        <v>0.0</v>
      </c>
      <c r="P361" s="16">
        <v>0.0</v>
      </c>
      <c r="Q361" s="16" t="s">
        <v>27</v>
      </c>
      <c r="R361" s="1" t="s">
        <v>140</v>
      </c>
    </row>
    <row r="362">
      <c r="A362" s="22"/>
      <c r="C362" s="23"/>
      <c r="G362" s="22"/>
      <c r="H362" s="9"/>
      <c r="I362" s="9"/>
      <c r="J362" s="24"/>
      <c r="K362" s="24"/>
    </row>
    <row r="363">
      <c r="A363" s="22"/>
      <c r="C363" s="23"/>
      <c r="G363" s="22"/>
      <c r="H363" s="9"/>
      <c r="I363" s="9"/>
      <c r="J363" s="24"/>
      <c r="K363" s="24"/>
    </row>
    <row r="364">
      <c r="A364" s="22"/>
      <c r="C364" s="23"/>
      <c r="G364" s="22"/>
      <c r="H364" s="9"/>
      <c r="I364" s="9"/>
      <c r="J364" s="24"/>
      <c r="K364" s="24"/>
    </row>
    <row r="365">
      <c r="A365" s="22"/>
      <c r="C365" s="23"/>
      <c r="G365" s="22"/>
      <c r="H365" s="9"/>
      <c r="I365" s="9"/>
      <c r="J365" s="24"/>
      <c r="K365" s="24"/>
    </row>
    <row r="366">
      <c r="A366" s="22"/>
      <c r="C366" s="23"/>
      <c r="G366" s="22"/>
      <c r="H366" s="9"/>
      <c r="I366" s="9"/>
      <c r="J366" s="24"/>
      <c r="K366" s="24"/>
    </row>
    <row r="367">
      <c r="A367" s="22"/>
      <c r="C367" s="23"/>
      <c r="G367" s="22"/>
      <c r="H367" s="9"/>
      <c r="I367" s="9"/>
      <c r="J367" s="24"/>
      <c r="K367" s="24"/>
    </row>
    <row r="368">
      <c r="A368" s="22"/>
      <c r="C368" s="23"/>
      <c r="G368" s="22"/>
      <c r="H368" s="9"/>
      <c r="I368" s="9"/>
      <c r="J368" s="24"/>
      <c r="K368" s="24"/>
    </row>
    <row r="369">
      <c r="A369" s="22"/>
      <c r="C369" s="23"/>
      <c r="G369" s="22"/>
      <c r="H369" s="9"/>
      <c r="I369" s="9"/>
      <c r="J369" s="24"/>
      <c r="K369" s="24"/>
    </row>
    <row r="370">
      <c r="A370" s="22"/>
      <c r="C370" s="23"/>
      <c r="G370" s="22"/>
      <c r="H370" s="9"/>
      <c r="I370" s="9"/>
      <c r="J370" s="24"/>
      <c r="K370" s="24"/>
    </row>
    <row r="371">
      <c r="A371" s="22"/>
      <c r="C371" s="23"/>
      <c r="G371" s="22"/>
      <c r="H371" s="9"/>
      <c r="I371" s="9"/>
      <c r="J371" s="24"/>
      <c r="K371" s="24"/>
    </row>
    <row r="372">
      <c r="A372" s="22"/>
      <c r="C372" s="23"/>
      <c r="G372" s="22"/>
      <c r="H372" s="9"/>
      <c r="I372" s="9"/>
      <c r="J372" s="24"/>
      <c r="K372" s="24"/>
    </row>
    <row r="373">
      <c r="A373" s="22"/>
      <c r="C373" s="23"/>
      <c r="G373" s="22"/>
      <c r="H373" s="9"/>
      <c r="I373" s="9"/>
      <c r="J373" s="24"/>
      <c r="K373" s="24"/>
    </row>
    <row r="374">
      <c r="A374" s="22"/>
      <c r="C374" s="23"/>
      <c r="G374" s="22"/>
      <c r="H374" s="9"/>
      <c r="I374" s="9"/>
      <c r="J374" s="24"/>
      <c r="K374" s="24"/>
    </row>
    <row r="375">
      <c r="A375" s="22"/>
      <c r="C375" s="23"/>
      <c r="G375" s="22"/>
      <c r="H375" s="9"/>
      <c r="I375" s="9"/>
      <c r="J375" s="24"/>
      <c r="K375" s="24"/>
    </row>
    <row r="376">
      <c r="A376" s="22"/>
      <c r="C376" s="23"/>
      <c r="G376" s="22"/>
      <c r="H376" s="9"/>
      <c r="I376" s="9"/>
      <c r="J376" s="24"/>
      <c r="K376" s="24"/>
    </row>
    <row r="377">
      <c r="A377" s="22"/>
      <c r="C377" s="23"/>
      <c r="G377" s="22"/>
      <c r="H377" s="9"/>
      <c r="I377" s="9"/>
      <c r="J377" s="24"/>
      <c r="K377" s="24"/>
    </row>
    <row r="378">
      <c r="A378" s="22"/>
      <c r="C378" s="23"/>
      <c r="G378" s="22"/>
      <c r="H378" s="9"/>
      <c r="I378" s="9"/>
      <c r="J378" s="24"/>
      <c r="K378" s="24"/>
    </row>
    <row r="379">
      <c r="A379" s="22"/>
      <c r="C379" s="23"/>
      <c r="G379" s="22"/>
      <c r="H379" s="9"/>
      <c r="I379" s="9"/>
      <c r="J379" s="24"/>
      <c r="K379" s="24"/>
    </row>
    <row r="380">
      <c r="A380" s="22"/>
      <c r="C380" s="23"/>
      <c r="G380" s="22"/>
      <c r="H380" s="9"/>
      <c r="I380" s="9"/>
      <c r="J380" s="24"/>
      <c r="K380" s="24"/>
    </row>
    <row r="381">
      <c r="A381" s="22"/>
      <c r="C381" s="23"/>
      <c r="G381" s="22"/>
      <c r="H381" s="9"/>
      <c r="I381" s="9"/>
      <c r="J381" s="24"/>
      <c r="K381" s="24"/>
    </row>
    <row r="382">
      <c r="A382" s="22"/>
      <c r="C382" s="23"/>
      <c r="G382" s="22"/>
      <c r="H382" s="9"/>
      <c r="I382" s="9"/>
      <c r="J382" s="24"/>
      <c r="K382" s="24"/>
    </row>
    <row r="383">
      <c r="A383" s="22"/>
      <c r="C383" s="23"/>
      <c r="G383" s="22"/>
      <c r="H383" s="9"/>
      <c r="I383" s="9"/>
      <c r="J383" s="24"/>
      <c r="K383" s="24"/>
    </row>
    <row r="384">
      <c r="A384" s="22"/>
      <c r="C384" s="23"/>
      <c r="G384" s="22"/>
      <c r="H384" s="9"/>
      <c r="I384" s="9"/>
      <c r="J384" s="24"/>
      <c r="K384" s="24"/>
    </row>
    <row r="385">
      <c r="A385" s="22"/>
      <c r="C385" s="23"/>
      <c r="G385" s="22"/>
      <c r="H385" s="9"/>
      <c r="I385" s="9"/>
      <c r="J385" s="24"/>
      <c r="K385" s="24"/>
    </row>
    <row r="386">
      <c r="A386" s="22"/>
      <c r="C386" s="23"/>
      <c r="G386" s="22"/>
      <c r="H386" s="9"/>
      <c r="I386" s="9"/>
      <c r="J386" s="24"/>
      <c r="K386" s="24"/>
    </row>
    <row r="387">
      <c r="A387" s="22"/>
      <c r="C387" s="23"/>
      <c r="G387" s="22"/>
      <c r="H387" s="9"/>
      <c r="I387" s="9"/>
      <c r="J387" s="24"/>
      <c r="K387" s="24"/>
    </row>
    <row r="388">
      <c r="A388" s="22"/>
      <c r="C388" s="23"/>
      <c r="G388" s="22"/>
      <c r="H388" s="9"/>
      <c r="I388" s="9"/>
      <c r="J388" s="24"/>
      <c r="K388" s="24"/>
    </row>
    <row r="389">
      <c r="A389" s="22"/>
      <c r="C389" s="23"/>
      <c r="G389" s="22"/>
      <c r="H389" s="9"/>
      <c r="I389" s="9"/>
      <c r="J389" s="24"/>
      <c r="K389" s="24"/>
    </row>
    <row r="390">
      <c r="A390" s="22"/>
      <c r="C390" s="23"/>
      <c r="G390" s="22"/>
      <c r="H390" s="9"/>
      <c r="I390" s="9"/>
      <c r="J390" s="24"/>
      <c r="K390" s="24"/>
    </row>
    <row r="391">
      <c r="A391" s="22"/>
      <c r="C391" s="23"/>
      <c r="G391" s="22"/>
      <c r="H391" s="9"/>
      <c r="I391" s="9"/>
      <c r="J391" s="24"/>
      <c r="K391" s="24"/>
    </row>
    <row r="392">
      <c r="A392" s="22"/>
      <c r="C392" s="23"/>
      <c r="G392" s="22"/>
      <c r="H392" s="9"/>
      <c r="I392" s="9"/>
      <c r="J392" s="24"/>
      <c r="K392" s="24"/>
    </row>
    <row r="393">
      <c r="A393" s="22"/>
      <c r="C393" s="23"/>
      <c r="G393" s="22"/>
      <c r="H393" s="9"/>
      <c r="I393" s="9"/>
      <c r="J393" s="24"/>
      <c r="K393" s="24"/>
    </row>
    <row r="394">
      <c r="A394" s="22"/>
      <c r="C394" s="23"/>
      <c r="G394" s="22"/>
      <c r="H394" s="9"/>
      <c r="I394" s="9"/>
      <c r="J394" s="24"/>
      <c r="K394" s="24"/>
    </row>
    <row r="395">
      <c r="A395" s="22"/>
      <c r="C395" s="23"/>
      <c r="G395" s="22"/>
      <c r="H395" s="9"/>
      <c r="I395" s="9"/>
      <c r="J395" s="24"/>
      <c r="K395" s="24"/>
    </row>
    <row r="396">
      <c r="A396" s="22"/>
      <c r="C396" s="23"/>
      <c r="G396" s="22"/>
      <c r="H396" s="9"/>
      <c r="I396" s="9"/>
      <c r="J396" s="24"/>
      <c r="K396" s="24"/>
    </row>
    <row r="397">
      <c r="A397" s="22"/>
      <c r="C397" s="23"/>
      <c r="G397" s="22"/>
      <c r="H397" s="9"/>
      <c r="I397" s="9"/>
      <c r="J397" s="24"/>
      <c r="K397" s="24"/>
    </row>
    <row r="398">
      <c r="A398" s="22"/>
      <c r="C398" s="23"/>
      <c r="G398" s="22"/>
      <c r="H398" s="9"/>
      <c r="I398" s="9"/>
      <c r="J398" s="24"/>
      <c r="K398" s="24"/>
    </row>
    <row r="399">
      <c r="A399" s="22"/>
      <c r="C399" s="23"/>
      <c r="G399" s="22"/>
      <c r="H399" s="9"/>
      <c r="I399" s="9"/>
      <c r="J399" s="24"/>
      <c r="K399" s="24"/>
    </row>
    <row r="400">
      <c r="A400" s="22"/>
      <c r="C400" s="23"/>
      <c r="G400" s="22"/>
      <c r="H400" s="9"/>
      <c r="I400" s="9"/>
      <c r="J400" s="24"/>
      <c r="K400" s="24"/>
    </row>
    <row r="401">
      <c r="A401" s="22"/>
      <c r="C401" s="23"/>
      <c r="G401" s="22"/>
      <c r="H401" s="9"/>
      <c r="I401" s="9"/>
      <c r="J401" s="24"/>
      <c r="K401" s="24"/>
    </row>
    <row r="402">
      <c r="A402" s="22"/>
      <c r="C402" s="23"/>
      <c r="G402" s="22"/>
      <c r="H402" s="9"/>
      <c r="I402" s="9"/>
      <c r="J402" s="24"/>
      <c r="K402" s="24"/>
    </row>
    <row r="403">
      <c r="A403" s="22"/>
      <c r="C403" s="23"/>
      <c r="G403" s="22"/>
      <c r="H403" s="9"/>
      <c r="I403" s="9"/>
      <c r="J403" s="24"/>
      <c r="K403" s="24"/>
    </row>
    <row r="404">
      <c r="A404" s="22"/>
      <c r="C404" s="23"/>
      <c r="G404" s="22"/>
      <c r="H404" s="9"/>
      <c r="I404" s="9"/>
      <c r="J404" s="24"/>
      <c r="K404" s="24"/>
    </row>
    <row r="405">
      <c r="A405" s="22"/>
      <c r="C405" s="23"/>
      <c r="G405" s="22"/>
      <c r="H405" s="9"/>
      <c r="I405" s="9"/>
      <c r="J405" s="24"/>
      <c r="K405" s="24"/>
    </row>
    <row r="406">
      <c r="A406" s="22"/>
      <c r="C406" s="23"/>
      <c r="G406" s="22"/>
      <c r="H406" s="9"/>
      <c r="I406" s="9"/>
      <c r="J406" s="24"/>
      <c r="K406" s="24"/>
    </row>
    <row r="407">
      <c r="A407" s="22"/>
      <c r="C407" s="23"/>
      <c r="G407" s="22"/>
      <c r="H407" s="9"/>
      <c r="I407" s="9"/>
      <c r="J407" s="24"/>
      <c r="K407" s="24"/>
    </row>
    <row r="408">
      <c r="A408" s="22"/>
      <c r="C408" s="23"/>
      <c r="G408" s="22"/>
      <c r="H408" s="9"/>
      <c r="I408" s="9"/>
      <c r="J408" s="24"/>
      <c r="K408" s="24"/>
    </row>
    <row r="409">
      <c r="A409" s="22"/>
      <c r="C409" s="23"/>
      <c r="G409" s="22"/>
      <c r="H409" s="9"/>
      <c r="I409" s="9"/>
      <c r="J409" s="24"/>
      <c r="K409" s="24"/>
    </row>
    <row r="410">
      <c r="A410" s="22"/>
      <c r="C410" s="23"/>
      <c r="G410" s="22"/>
      <c r="H410" s="9"/>
      <c r="I410" s="9"/>
      <c r="J410" s="24"/>
      <c r="K410" s="24"/>
    </row>
    <row r="411">
      <c r="A411" s="22"/>
      <c r="C411" s="23"/>
      <c r="G411" s="22"/>
      <c r="H411" s="9"/>
      <c r="I411" s="9"/>
      <c r="J411" s="24"/>
      <c r="K411" s="24"/>
    </row>
    <row r="412">
      <c r="A412" s="22"/>
      <c r="C412" s="23"/>
      <c r="G412" s="22"/>
      <c r="H412" s="9"/>
      <c r="I412" s="9"/>
      <c r="J412" s="24"/>
      <c r="K412" s="24"/>
    </row>
    <row r="413">
      <c r="A413" s="22"/>
      <c r="C413" s="23"/>
      <c r="G413" s="22"/>
      <c r="H413" s="9"/>
      <c r="I413" s="9"/>
      <c r="J413" s="24"/>
      <c r="K413" s="24"/>
    </row>
    <row r="414">
      <c r="A414" s="22"/>
      <c r="C414" s="23"/>
      <c r="G414" s="22"/>
      <c r="H414" s="9"/>
      <c r="I414" s="9"/>
      <c r="J414" s="24"/>
      <c r="K414" s="24"/>
    </row>
    <row r="415">
      <c r="A415" s="22"/>
      <c r="C415" s="23"/>
      <c r="G415" s="22"/>
      <c r="H415" s="9"/>
      <c r="I415" s="9"/>
      <c r="J415" s="24"/>
      <c r="K415" s="24"/>
    </row>
    <row r="416">
      <c r="A416" s="22"/>
      <c r="C416" s="23"/>
      <c r="G416" s="22"/>
      <c r="H416" s="9"/>
      <c r="I416" s="9"/>
      <c r="J416" s="24"/>
      <c r="K416" s="24"/>
    </row>
    <row r="417">
      <c r="A417" s="22"/>
      <c r="C417" s="23"/>
      <c r="G417" s="22"/>
      <c r="H417" s="9"/>
      <c r="I417" s="9"/>
      <c r="J417" s="24"/>
      <c r="K417" s="24"/>
    </row>
    <row r="418">
      <c r="A418" s="22"/>
      <c r="C418" s="23"/>
      <c r="G418" s="22"/>
      <c r="H418" s="9"/>
      <c r="I418" s="9"/>
      <c r="J418" s="24"/>
      <c r="K418" s="24"/>
    </row>
    <row r="419">
      <c r="A419" s="22"/>
      <c r="C419" s="23"/>
      <c r="G419" s="22"/>
      <c r="H419" s="9"/>
      <c r="I419" s="9"/>
      <c r="J419" s="24"/>
      <c r="K419" s="24"/>
    </row>
    <row r="420">
      <c r="A420" s="22"/>
      <c r="C420" s="23"/>
      <c r="G420" s="22"/>
      <c r="H420" s="9"/>
      <c r="I420" s="9"/>
      <c r="J420" s="24"/>
      <c r="K420" s="24"/>
    </row>
    <row r="421">
      <c r="A421" s="22"/>
      <c r="C421" s="23"/>
      <c r="G421" s="22"/>
      <c r="H421" s="9"/>
      <c r="I421" s="9"/>
      <c r="J421" s="24"/>
      <c r="K421" s="24"/>
    </row>
    <row r="422">
      <c r="A422" s="22"/>
      <c r="C422" s="23"/>
      <c r="G422" s="22"/>
      <c r="H422" s="9"/>
      <c r="I422" s="9"/>
      <c r="J422" s="24"/>
      <c r="K422" s="24"/>
    </row>
    <row r="423">
      <c r="A423" s="22"/>
      <c r="C423" s="23"/>
      <c r="G423" s="22"/>
      <c r="H423" s="9"/>
      <c r="I423" s="9"/>
      <c r="J423" s="24"/>
      <c r="K423" s="24"/>
    </row>
    <row r="424">
      <c r="A424" s="22"/>
      <c r="C424" s="23"/>
      <c r="G424" s="22"/>
      <c r="H424" s="9"/>
      <c r="I424" s="9"/>
      <c r="J424" s="24"/>
      <c r="K424" s="24"/>
    </row>
    <row r="425">
      <c r="A425" s="22"/>
      <c r="C425" s="23"/>
      <c r="G425" s="22"/>
      <c r="H425" s="9"/>
      <c r="I425" s="9"/>
      <c r="J425" s="24"/>
      <c r="K425" s="24"/>
    </row>
    <row r="426">
      <c r="A426" s="22"/>
      <c r="C426" s="23"/>
      <c r="G426" s="22"/>
      <c r="H426" s="9"/>
      <c r="I426" s="9"/>
      <c r="J426" s="24"/>
      <c r="K426" s="24"/>
    </row>
    <row r="427">
      <c r="A427" s="22"/>
      <c r="C427" s="23"/>
      <c r="G427" s="22"/>
      <c r="H427" s="9"/>
      <c r="I427" s="9"/>
      <c r="J427" s="24"/>
      <c r="K427" s="24"/>
    </row>
    <row r="428">
      <c r="A428" s="22"/>
      <c r="C428" s="23"/>
      <c r="G428" s="22"/>
      <c r="H428" s="9"/>
      <c r="I428" s="9"/>
      <c r="J428" s="24"/>
      <c r="K428" s="24"/>
    </row>
    <row r="429">
      <c r="A429" s="22"/>
      <c r="C429" s="23"/>
      <c r="G429" s="22"/>
      <c r="H429" s="9"/>
      <c r="I429" s="9"/>
      <c r="J429" s="24"/>
      <c r="K429" s="24"/>
    </row>
    <row r="430">
      <c r="A430" s="22"/>
      <c r="C430" s="23"/>
      <c r="G430" s="22"/>
      <c r="H430" s="9"/>
      <c r="I430" s="9"/>
      <c r="J430" s="24"/>
      <c r="K430" s="24"/>
    </row>
    <row r="431">
      <c r="A431" s="22"/>
      <c r="C431" s="23"/>
      <c r="G431" s="22"/>
      <c r="H431" s="9"/>
      <c r="I431" s="9"/>
      <c r="J431" s="24"/>
      <c r="K431" s="24"/>
    </row>
    <row r="432">
      <c r="A432" s="22"/>
      <c r="C432" s="23"/>
      <c r="G432" s="22"/>
      <c r="H432" s="9"/>
      <c r="I432" s="9"/>
      <c r="J432" s="24"/>
      <c r="K432" s="24"/>
    </row>
    <row r="433">
      <c r="A433" s="22"/>
      <c r="C433" s="23"/>
      <c r="G433" s="22"/>
      <c r="H433" s="9"/>
      <c r="I433" s="9"/>
      <c r="J433" s="24"/>
      <c r="K433" s="24"/>
    </row>
    <row r="434">
      <c r="A434" s="22"/>
      <c r="C434" s="23"/>
      <c r="G434" s="22"/>
      <c r="H434" s="9"/>
      <c r="I434" s="9"/>
      <c r="J434" s="24"/>
      <c r="K434" s="24"/>
    </row>
    <row r="435">
      <c r="A435" s="22"/>
      <c r="C435" s="23"/>
      <c r="G435" s="22"/>
      <c r="H435" s="9"/>
      <c r="I435" s="9"/>
      <c r="J435" s="24"/>
      <c r="K435" s="24"/>
    </row>
    <row r="436">
      <c r="A436" s="22"/>
      <c r="C436" s="23"/>
      <c r="G436" s="22"/>
      <c r="H436" s="9"/>
      <c r="I436" s="9"/>
      <c r="J436" s="24"/>
      <c r="K436" s="24"/>
    </row>
    <row r="437">
      <c r="A437" s="22"/>
      <c r="C437" s="23"/>
      <c r="G437" s="22"/>
      <c r="H437" s="9"/>
      <c r="I437" s="9"/>
      <c r="J437" s="24"/>
      <c r="K437" s="24"/>
    </row>
    <row r="438">
      <c r="A438" s="22"/>
      <c r="C438" s="23"/>
      <c r="G438" s="22"/>
      <c r="H438" s="9"/>
      <c r="I438" s="9"/>
      <c r="J438" s="24"/>
      <c r="K438" s="24"/>
    </row>
    <row r="439">
      <c r="A439" s="22"/>
      <c r="C439" s="23"/>
      <c r="G439" s="22"/>
      <c r="H439" s="9"/>
      <c r="I439" s="9"/>
      <c r="J439" s="24"/>
      <c r="K439" s="24"/>
    </row>
    <row r="440">
      <c r="A440" s="22"/>
      <c r="C440" s="23"/>
      <c r="G440" s="22"/>
      <c r="H440" s="9"/>
      <c r="I440" s="9"/>
      <c r="J440" s="24"/>
      <c r="K440" s="24"/>
    </row>
    <row r="441">
      <c r="A441" s="22"/>
      <c r="C441" s="23"/>
      <c r="G441" s="22"/>
      <c r="H441" s="9"/>
      <c r="I441" s="9"/>
      <c r="J441" s="24"/>
      <c r="K441" s="24"/>
    </row>
    <row r="442">
      <c r="A442" s="22"/>
      <c r="C442" s="23"/>
      <c r="G442" s="22"/>
      <c r="H442" s="9"/>
      <c r="I442" s="9"/>
      <c r="J442" s="24"/>
      <c r="K442" s="24"/>
    </row>
    <row r="443">
      <c r="A443" s="22"/>
      <c r="C443" s="23"/>
      <c r="G443" s="22"/>
      <c r="H443" s="9"/>
      <c r="I443" s="9"/>
      <c r="J443" s="24"/>
      <c r="K443" s="24"/>
    </row>
    <row r="444">
      <c r="A444" s="22"/>
      <c r="C444" s="23"/>
      <c r="G444" s="22"/>
      <c r="H444" s="9"/>
      <c r="I444" s="9"/>
      <c r="J444" s="24"/>
      <c r="K444" s="24"/>
    </row>
    <row r="445">
      <c r="A445" s="22"/>
      <c r="C445" s="23"/>
      <c r="G445" s="22"/>
      <c r="H445" s="9"/>
      <c r="I445" s="9"/>
      <c r="J445" s="24"/>
      <c r="K445" s="24"/>
    </row>
    <row r="446">
      <c r="A446" s="22"/>
      <c r="C446" s="23"/>
      <c r="G446" s="22"/>
      <c r="H446" s="9"/>
      <c r="I446" s="9"/>
      <c r="J446" s="24"/>
      <c r="K446" s="24"/>
    </row>
    <row r="447">
      <c r="A447" s="22"/>
      <c r="C447" s="23"/>
      <c r="G447" s="22"/>
      <c r="H447" s="9"/>
      <c r="I447" s="9"/>
      <c r="J447" s="24"/>
      <c r="K447" s="24"/>
    </row>
    <row r="448">
      <c r="A448" s="22"/>
      <c r="C448" s="23"/>
      <c r="G448" s="22"/>
      <c r="H448" s="9"/>
      <c r="I448" s="9"/>
      <c r="J448" s="24"/>
      <c r="K448" s="24"/>
    </row>
    <row r="449">
      <c r="A449" s="22"/>
      <c r="C449" s="23"/>
      <c r="G449" s="22"/>
      <c r="H449" s="9"/>
      <c r="I449" s="9"/>
      <c r="J449" s="24"/>
      <c r="K449" s="24"/>
    </row>
    <row r="450">
      <c r="A450" s="22"/>
      <c r="C450" s="23"/>
      <c r="G450" s="22"/>
      <c r="H450" s="9"/>
      <c r="I450" s="9"/>
      <c r="J450" s="24"/>
      <c r="K450" s="24"/>
    </row>
    <row r="451">
      <c r="A451" s="22"/>
      <c r="C451" s="23"/>
      <c r="G451" s="22"/>
      <c r="H451" s="9"/>
      <c r="I451" s="9"/>
      <c r="J451" s="24"/>
      <c r="K451" s="24"/>
    </row>
    <row r="452">
      <c r="A452" s="22"/>
      <c r="C452" s="23"/>
      <c r="G452" s="22"/>
      <c r="H452" s="9"/>
      <c r="I452" s="9"/>
      <c r="J452" s="24"/>
      <c r="K452" s="24"/>
    </row>
    <row r="453">
      <c r="A453" s="22"/>
      <c r="C453" s="23"/>
      <c r="G453" s="22"/>
      <c r="H453" s="9"/>
      <c r="I453" s="9"/>
      <c r="J453" s="24"/>
      <c r="K453" s="24"/>
    </row>
    <row r="454">
      <c r="A454" s="22"/>
      <c r="C454" s="23"/>
      <c r="G454" s="22"/>
      <c r="H454" s="9"/>
      <c r="I454" s="9"/>
      <c r="J454" s="24"/>
      <c r="K454" s="24"/>
    </row>
    <row r="455">
      <c r="A455" s="22"/>
      <c r="C455" s="23"/>
      <c r="G455" s="22"/>
      <c r="H455" s="9"/>
      <c r="I455" s="9"/>
      <c r="J455" s="24"/>
      <c r="K455" s="24"/>
    </row>
    <row r="456">
      <c r="A456" s="22"/>
      <c r="C456" s="23"/>
      <c r="G456" s="22"/>
      <c r="H456" s="9"/>
      <c r="I456" s="9"/>
      <c r="J456" s="24"/>
      <c r="K456" s="24"/>
    </row>
    <row r="457">
      <c r="A457" s="22"/>
      <c r="C457" s="23"/>
      <c r="G457" s="22"/>
      <c r="H457" s="9"/>
      <c r="I457" s="9"/>
      <c r="J457" s="24"/>
      <c r="K457" s="24"/>
    </row>
    <row r="458">
      <c r="A458" s="22"/>
      <c r="C458" s="23"/>
      <c r="G458" s="22"/>
      <c r="H458" s="9"/>
      <c r="I458" s="9"/>
      <c r="J458" s="24"/>
      <c r="K458" s="24"/>
    </row>
    <row r="459">
      <c r="A459" s="22"/>
      <c r="C459" s="23"/>
      <c r="G459" s="22"/>
      <c r="H459" s="9"/>
      <c r="I459" s="9"/>
      <c r="J459" s="24"/>
      <c r="K459" s="24"/>
    </row>
    <row r="460">
      <c r="A460" s="22"/>
      <c r="C460" s="23"/>
      <c r="G460" s="22"/>
      <c r="H460" s="9"/>
      <c r="I460" s="9"/>
      <c r="J460" s="24"/>
      <c r="K460" s="24"/>
    </row>
    <row r="461">
      <c r="A461" s="22"/>
      <c r="C461" s="23"/>
      <c r="G461" s="22"/>
      <c r="H461" s="9"/>
      <c r="I461" s="9"/>
      <c r="J461" s="24"/>
      <c r="K461" s="24"/>
    </row>
    <row r="462">
      <c r="A462" s="22"/>
      <c r="C462" s="23"/>
      <c r="G462" s="22"/>
      <c r="H462" s="9"/>
      <c r="I462" s="9"/>
      <c r="J462" s="24"/>
      <c r="K462" s="24"/>
    </row>
    <row r="463">
      <c r="A463" s="22"/>
      <c r="C463" s="23"/>
      <c r="G463" s="22"/>
      <c r="H463" s="9"/>
      <c r="I463" s="9"/>
      <c r="J463" s="24"/>
      <c r="K463" s="24"/>
    </row>
    <row r="464">
      <c r="A464" s="22"/>
      <c r="C464" s="23"/>
      <c r="G464" s="22"/>
      <c r="H464" s="9"/>
      <c r="I464" s="9"/>
      <c r="J464" s="24"/>
      <c r="K464" s="24"/>
    </row>
    <row r="465">
      <c r="A465" s="22"/>
      <c r="C465" s="23"/>
      <c r="G465" s="22"/>
      <c r="H465" s="9"/>
      <c r="I465" s="9"/>
      <c r="J465" s="24"/>
      <c r="K465" s="24"/>
    </row>
    <row r="466">
      <c r="A466" s="22"/>
      <c r="C466" s="23"/>
      <c r="G466" s="22"/>
      <c r="H466" s="9"/>
      <c r="I466" s="9"/>
      <c r="J466" s="24"/>
      <c r="K466" s="24"/>
    </row>
    <row r="467">
      <c r="A467" s="22"/>
      <c r="C467" s="23"/>
      <c r="G467" s="22"/>
      <c r="H467" s="9"/>
      <c r="I467" s="9"/>
      <c r="J467" s="24"/>
      <c r="K467" s="24"/>
    </row>
    <row r="468">
      <c r="A468" s="22"/>
      <c r="C468" s="23"/>
      <c r="G468" s="22"/>
      <c r="H468" s="9"/>
      <c r="I468" s="9"/>
      <c r="J468" s="24"/>
      <c r="K468" s="24"/>
    </row>
    <row r="469">
      <c r="A469" s="22"/>
      <c r="C469" s="23"/>
      <c r="G469" s="22"/>
      <c r="H469" s="9"/>
      <c r="I469" s="9"/>
      <c r="J469" s="24"/>
      <c r="K469" s="24"/>
    </row>
    <row r="470">
      <c r="A470" s="22"/>
      <c r="C470" s="23"/>
      <c r="G470" s="22"/>
      <c r="H470" s="9"/>
      <c r="I470" s="9"/>
      <c r="J470" s="24"/>
      <c r="K470" s="24"/>
    </row>
    <row r="471">
      <c r="A471" s="22"/>
      <c r="C471" s="23"/>
      <c r="G471" s="22"/>
      <c r="H471" s="9"/>
      <c r="I471" s="9"/>
      <c r="J471" s="24"/>
      <c r="K471" s="24"/>
    </row>
    <row r="472">
      <c r="A472" s="22"/>
      <c r="C472" s="23"/>
      <c r="G472" s="22"/>
      <c r="H472" s="9"/>
      <c r="I472" s="9"/>
      <c r="J472" s="24"/>
      <c r="K472" s="24"/>
    </row>
    <row r="473">
      <c r="A473" s="22"/>
      <c r="C473" s="23"/>
      <c r="G473" s="22"/>
      <c r="H473" s="9"/>
      <c r="I473" s="9"/>
      <c r="J473" s="24"/>
      <c r="K473" s="24"/>
    </row>
    <row r="474">
      <c r="A474" s="22"/>
      <c r="C474" s="23"/>
      <c r="G474" s="22"/>
      <c r="H474" s="9"/>
      <c r="I474" s="9"/>
      <c r="J474" s="24"/>
      <c r="K474" s="24"/>
    </row>
    <row r="475">
      <c r="A475" s="22"/>
      <c r="C475" s="23"/>
      <c r="G475" s="22"/>
      <c r="H475" s="9"/>
      <c r="I475" s="9"/>
      <c r="J475" s="24"/>
      <c r="K475" s="24"/>
    </row>
    <row r="476">
      <c r="A476" s="22"/>
      <c r="C476" s="23"/>
      <c r="G476" s="22"/>
      <c r="H476" s="9"/>
      <c r="I476" s="9"/>
      <c r="J476" s="24"/>
      <c r="K476" s="24"/>
    </row>
    <row r="477">
      <c r="A477" s="22"/>
      <c r="C477" s="23"/>
      <c r="G477" s="22"/>
      <c r="H477" s="9"/>
      <c r="I477" s="9"/>
      <c r="J477" s="24"/>
      <c r="K477" s="24"/>
    </row>
    <row r="478">
      <c r="A478" s="22"/>
      <c r="C478" s="23"/>
      <c r="G478" s="22"/>
      <c r="H478" s="9"/>
      <c r="I478" s="9"/>
      <c r="J478" s="24"/>
      <c r="K478" s="24"/>
    </row>
    <row r="479">
      <c r="A479" s="22"/>
      <c r="C479" s="23"/>
      <c r="G479" s="22"/>
      <c r="H479" s="9"/>
      <c r="I479" s="9"/>
      <c r="J479" s="24"/>
      <c r="K479" s="24"/>
    </row>
    <row r="480">
      <c r="A480" s="22"/>
      <c r="C480" s="23"/>
      <c r="G480" s="22"/>
      <c r="H480" s="9"/>
      <c r="I480" s="9"/>
      <c r="J480" s="24"/>
      <c r="K480" s="24"/>
    </row>
    <row r="481">
      <c r="A481" s="22"/>
      <c r="C481" s="23"/>
      <c r="G481" s="22"/>
      <c r="H481" s="9"/>
      <c r="I481" s="9"/>
      <c r="J481" s="24"/>
      <c r="K481" s="24"/>
    </row>
    <row r="482">
      <c r="A482" s="22"/>
      <c r="C482" s="23"/>
      <c r="G482" s="22"/>
      <c r="H482" s="9"/>
      <c r="I482" s="9"/>
      <c r="J482" s="24"/>
      <c r="K482" s="24"/>
    </row>
    <row r="483">
      <c r="A483" s="22"/>
      <c r="C483" s="23"/>
      <c r="G483" s="22"/>
      <c r="H483" s="9"/>
      <c r="I483" s="9"/>
      <c r="J483" s="24"/>
      <c r="K483" s="24"/>
    </row>
    <row r="484">
      <c r="A484" s="22"/>
      <c r="C484" s="23"/>
      <c r="G484" s="22"/>
      <c r="H484" s="9"/>
      <c r="I484" s="9"/>
      <c r="J484" s="24"/>
      <c r="K484" s="24"/>
    </row>
    <row r="485">
      <c r="A485" s="22"/>
      <c r="C485" s="23"/>
      <c r="G485" s="22"/>
      <c r="H485" s="9"/>
      <c r="I485" s="9"/>
      <c r="J485" s="24"/>
      <c r="K485" s="24"/>
    </row>
    <row r="486">
      <c r="A486" s="22"/>
      <c r="C486" s="23"/>
      <c r="G486" s="22"/>
      <c r="H486" s="9"/>
      <c r="I486" s="9"/>
      <c r="J486" s="24"/>
      <c r="K486" s="24"/>
    </row>
    <row r="487">
      <c r="A487" s="22"/>
      <c r="C487" s="23"/>
      <c r="G487" s="22"/>
      <c r="H487" s="9"/>
      <c r="I487" s="9"/>
      <c r="J487" s="24"/>
      <c r="K487" s="24"/>
    </row>
    <row r="488">
      <c r="A488" s="22"/>
      <c r="C488" s="23"/>
      <c r="G488" s="22"/>
      <c r="H488" s="9"/>
      <c r="I488" s="9"/>
      <c r="J488" s="24"/>
      <c r="K488" s="24"/>
    </row>
    <row r="489">
      <c r="A489" s="22"/>
      <c r="C489" s="23"/>
      <c r="G489" s="22"/>
      <c r="H489" s="9"/>
      <c r="I489" s="9"/>
      <c r="J489" s="24"/>
      <c r="K489" s="24"/>
    </row>
    <row r="490">
      <c r="A490" s="22"/>
      <c r="C490" s="23"/>
      <c r="G490" s="22"/>
      <c r="H490" s="9"/>
      <c r="I490" s="9"/>
      <c r="J490" s="24"/>
      <c r="K490" s="24"/>
    </row>
    <row r="491">
      <c r="A491" s="22"/>
      <c r="C491" s="23"/>
      <c r="G491" s="22"/>
      <c r="H491" s="9"/>
      <c r="I491" s="9"/>
      <c r="J491" s="24"/>
      <c r="K491" s="24"/>
    </row>
    <row r="492">
      <c r="A492" s="22"/>
      <c r="C492" s="23"/>
      <c r="G492" s="22"/>
      <c r="H492" s="9"/>
      <c r="I492" s="9"/>
      <c r="J492" s="24"/>
      <c r="K492" s="24"/>
    </row>
    <row r="493">
      <c r="A493" s="22"/>
      <c r="C493" s="23"/>
      <c r="G493" s="22"/>
      <c r="H493" s="9"/>
      <c r="I493" s="9"/>
      <c r="J493" s="24"/>
      <c r="K493" s="24"/>
    </row>
    <row r="494">
      <c r="A494" s="22"/>
      <c r="C494" s="23"/>
      <c r="G494" s="22"/>
      <c r="H494" s="9"/>
      <c r="I494" s="9"/>
      <c r="J494" s="24"/>
      <c r="K494" s="24"/>
    </row>
    <row r="495">
      <c r="A495" s="22"/>
      <c r="C495" s="23"/>
      <c r="G495" s="22"/>
      <c r="H495" s="9"/>
      <c r="I495" s="9"/>
      <c r="J495" s="24"/>
      <c r="K495" s="24"/>
    </row>
    <row r="496">
      <c r="A496" s="22"/>
      <c r="C496" s="23"/>
      <c r="G496" s="22"/>
      <c r="H496" s="9"/>
      <c r="I496" s="9"/>
      <c r="J496" s="24"/>
      <c r="K496" s="24"/>
    </row>
    <row r="497">
      <c r="A497" s="22"/>
      <c r="C497" s="23"/>
      <c r="G497" s="22"/>
      <c r="H497" s="9"/>
      <c r="I497" s="9"/>
      <c r="J497" s="24"/>
      <c r="K497" s="24"/>
    </row>
    <row r="498">
      <c r="A498" s="22"/>
      <c r="C498" s="23"/>
      <c r="G498" s="22"/>
      <c r="H498" s="9"/>
      <c r="I498" s="9"/>
      <c r="J498" s="24"/>
      <c r="K498" s="24"/>
    </row>
    <row r="499">
      <c r="A499" s="22"/>
      <c r="C499" s="23"/>
      <c r="G499" s="22"/>
      <c r="H499" s="9"/>
      <c r="I499" s="9"/>
      <c r="J499" s="24"/>
      <c r="K499" s="24"/>
    </row>
    <row r="500">
      <c r="A500" s="22"/>
      <c r="C500" s="23"/>
      <c r="G500" s="22"/>
      <c r="H500" s="9"/>
      <c r="I500" s="9"/>
      <c r="J500" s="24"/>
      <c r="K500" s="24"/>
    </row>
    <row r="501">
      <c r="A501" s="22"/>
      <c r="C501" s="23"/>
      <c r="G501" s="22"/>
      <c r="H501" s="9"/>
      <c r="I501" s="9"/>
      <c r="J501" s="24"/>
      <c r="K501" s="24"/>
    </row>
    <row r="502">
      <c r="A502" s="22"/>
      <c r="C502" s="23"/>
      <c r="G502" s="22"/>
      <c r="H502" s="9"/>
      <c r="I502" s="9"/>
      <c r="J502" s="24"/>
      <c r="K502" s="24"/>
    </row>
    <row r="503">
      <c r="A503" s="22"/>
      <c r="C503" s="23"/>
      <c r="G503" s="22"/>
      <c r="H503" s="9"/>
      <c r="I503" s="9"/>
      <c r="J503" s="24"/>
      <c r="K503" s="24"/>
    </row>
    <row r="504">
      <c r="A504" s="22"/>
      <c r="C504" s="23"/>
      <c r="G504" s="22"/>
      <c r="H504" s="9"/>
      <c r="I504" s="9"/>
      <c r="J504" s="24"/>
      <c r="K504" s="24"/>
    </row>
    <row r="505">
      <c r="A505" s="22"/>
      <c r="C505" s="23"/>
      <c r="G505" s="22"/>
      <c r="H505" s="9"/>
      <c r="I505" s="9"/>
      <c r="J505" s="24"/>
      <c r="K505" s="24"/>
    </row>
    <row r="506">
      <c r="A506" s="22"/>
      <c r="C506" s="23"/>
      <c r="G506" s="22"/>
      <c r="H506" s="9"/>
      <c r="I506" s="9"/>
      <c r="J506" s="24"/>
      <c r="K506" s="24"/>
    </row>
    <row r="507">
      <c r="A507" s="22"/>
      <c r="C507" s="23"/>
      <c r="G507" s="22"/>
      <c r="H507" s="9"/>
      <c r="I507" s="9"/>
      <c r="J507" s="24"/>
      <c r="K507" s="24"/>
    </row>
    <row r="508">
      <c r="A508" s="22"/>
      <c r="C508" s="23"/>
      <c r="G508" s="22"/>
      <c r="H508" s="9"/>
      <c r="I508" s="9"/>
      <c r="J508" s="24"/>
      <c r="K508" s="24"/>
    </row>
    <row r="509">
      <c r="A509" s="22"/>
      <c r="C509" s="23"/>
      <c r="G509" s="22"/>
      <c r="H509" s="9"/>
      <c r="I509" s="9"/>
      <c r="J509" s="24"/>
      <c r="K509" s="24"/>
    </row>
    <row r="510">
      <c r="A510" s="22"/>
      <c r="C510" s="23"/>
      <c r="G510" s="22"/>
      <c r="H510" s="9"/>
      <c r="I510" s="9"/>
      <c r="J510" s="24"/>
      <c r="K510" s="24"/>
    </row>
    <row r="511">
      <c r="A511" s="22"/>
      <c r="C511" s="23"/>
      <c r="G511" s="22"/>
      <c r="H511" s="9"/>
      <c r="I511" s="9"/>
      <c r="J511" s="24"/>
      <c r="K511" s="24"/>
    </row>
    <row r="512">
      <c r="A512" s="22"/>
      <c r="C512" s="23"/>
      <c r="G512" s="22"/>
      <c r="H512" s="9"/>
      <c r="I512" s="9"/>
      <c r="J512" s="24"/>
      <c r="K512" s="24"/>
    </row>
    <row r="513">
      <c r="A513" s="22"/>
      <c r="C513" s="23"/>
      <c r="G513" s="22"/>
      <c r="H513" s="9"/>
      <c r="I513" s="9"/>
      <c r="J513" s="24"/>
      <c r="K513" s="24"/>
    </row>
    <row r="514">
      <c r="A514" s="22"/>
      <c r="C514" s="23"/>
      <c r="G514" s="22"/>
      <c r="H514" s="9"/>
      <c r="I514" s="9"/>
      <c r="J514" s="24"/>
      <c r="K514" s="24"/>
    </row>
    <row r="515">
      <c r="A515" s="22"/>
      <c r="C515" s="23"/>
      <c r="G515" s="22"/>
      <c r="H515" s="9"/>
      <c r="I515" s="9"/>
      <c r="J515" s="24"/>
      <c r="K515" s="24"/>
    </row>
    <row r="516">
      <c r="A516" s="22"/>
      <c r="C516" s="23"/>
      <c r="G516" s="22"/>
      <c r="H516" s="9"/>
      <c r="I516" s="9"/>
      <c r="J516" s="24"/>
      <c r="K516" s="24"/>
    </row>
    <row r="517">
      <c r="A517" s="22"/>
      <c r="C517" s="23"/>
      <c r="G517" s="22"/>
      <c r="H517" s="9"/>
      <c r="I517" s="9"/>
      <c r="J517" s="24"/>
      <c r="K517" s="24"/>
    </row>
    <row r="518">
      <c r="A518" s="22"/>
      <c r="C518" s="23"/>
      <c r="G518" s="22"/>
      <c r="H518" s="9"/>
      <c r="I518" s="9"/>
      <c r="J518" s="24"/>
      <c r="K518" s="24"/>
    </row>
    <row r="519">
      <c r="A519" s="22"/>
      <c r="C519" s="23"/>
      <c r="G519" s="22"/>
      <c r="H519" s="9"/>
      <c r="I519" s="9"/>
      <c r="J519" s="24"/>
      <c r="K519" s="24"/>
    </row>
    <row r="520">
      <c r="A520" s="22"/>
      <c r="C520" s="23"/>
      <c r="G520" s="22"/>
      <c r="H520" s="9"/>
      <c r="I520" s="9"/>
      <c r="J520" s="24"/>
      <c r="K520" s="24"/>
    </row>
    <row r="521">
      <c r="A521" s="22"/>
      <c r="C521" s="23"/>
      <c r="G521" s="22"/>
      <c r="H521" s="9"/>
      <c r="I521" s="9"/>
      <c r="J521" s="24"/>
      <c r="K521" s="24"/>
    </row>
    <row r="522">
      <c r="A522" s="22"/>
      <c r="C522" s="23"/>
      <c r="G522" s="22"/>
      <c r="H522" s="9"/>
      <c r="I522" s="9"/>
      <c r="J522" s="24"/>
      <c r="K522" s="24"/>
    </row>
    <row r="523">
      <c r="A523" s="22"/>
      <c r="C523" s="23"/>
      <c r="G523" s="22"/>
      <c r="H523" s="9"/>
      <c r="I523" s="9"/>
      <c r="J523" s="24"/>
      <c r="K523" s="24"/>
    </row>
    <row r="524">
      <c r="A524" s="22"/>
      <c r="C524" s="23"/>
      <c r="G524" s="22"/>
      <c r="H524" s="9"/>
      <c r="I524" s="9"/>
      <c r="J524" s="24"/>
      <c r="K524" s="24"/>
    </row>
    <row r="525">
      <c r="A525" s="22"/>
      <c r="C525" s="23"/>
      <c r="G525" s="22"/>
      <c r="H525" s="9"/>
      <c r="I525" s="9"/>
      <c r="J525" s="24"/>
      <c r="K525" s="24"/>
    </row>
    <row r="526">
      <c r="A526" s="22"/>
      <c r="C526" s="23"/>
      <c r="G526" s="22"/>
      <c r="H526" s="9"/>
      <c r="I526" s="9"/>
      <c r="J526" s="24"/>
      <c r="K526" s="24"/>
    </row>
    <row r="527">
      <c r="A527" s="22"/>
      <c r="C527" s="23"/>
      <c r="G527" s="22"/>
      <c r="H527" s="9"/>
      <c r="I527" s="9"/>
      <c r="J527" s="24"/>
      <c r="K527" s="24"/>
    </row>
    <row r="528">
      <c r="A528" s="22"/>
      <c r="C528" s="23"/>
      <c r="G528" s="22"/>
      <c r="H528" s="9"/>
      <c r="I528" s="9"/>
      <c r="J528" s="24"/>
      <c r="K528" s="24"/>
    </row>
    <row r="529">
      <c r="A529" s="22"/>
      <c r="C529" s="23"/>
      <c r="G529" s="22"/>
      <c r="H529" s="9"/>
      <c r="I529" s="9"/>
      <c r="J529" s="24"/>
      <c r="K529" s="24"/>
    </row>
    <row r="530">
      <c r="A530" s="22"/>
      <c r="C530" s="23"/>
      <c r="G530" s="22"/>
      <c r="H530" s="9"/>
      <c r="I530" s="9"/>
      <c r="J530" s="24"/>
      <c r="K530" s="24"/>
    </row>
    <row r="531">
      <c r="A531" s="22"/>
      <c r="C531" s="23"/>
      <c r="G531" s="22"/>
      <c r="H531" s="9"/>
      <c r="I531" s="9"/>
      <c r="J531" s="24"/>
      <c r="K531" s="24"/>
    </row>
    <row r="532">
      <c r="A532" s="22"/>
      <c r="C532" s="23"/>
      <c r="G532" s="22"/>
      <c r="H532" s="9"/>
      <c r="I532" s="9"/>
      <c r="J532" s="24"/>
      <c r="K532" s="24"/>
    </row>
    <row r="533">
      <c r="A533" s="22"/>
      <c r="C533" s="23"/>
      <c r="G533" s="22"/>
      <c r="H533" s="9"/>
      <c r="I533" s="9"/>
      <c r="J533" s="24"/>
      <c r="K533" s="24"/>
    </row>
    <row r="534">
      <c r="A534" s="22"/>
      <c r="C534" s="23"/>
      <c r="G534" s="22"/>
      <c r="H534" s="9"/>
      <c r="I534" s="9"/>
      <c r="J534" s="24"/>
      <c r="K534" s="24"/>
    </row>
    <row r="535">
      <c r="A535" s="22"/>
      <c r="C535" s="23"/>
      <c r="G535" s="22"/>
      <c r="H535" s="9"/>
      <c r="I535" s="9"/>
      <c r="J535" s="24"/>
      <c r="K535" s="24"/>
    </row>
    <row r="536">
      <c r="A536" s="22"/>
      <c r="C536" s="23"/>
      <c r="G536" s="22"/>
      <c r="H536" s="9"/>
      <c r="I536" s="9"/>
      <c r="J536" s="24"/>
      <c r="K536" s="24"/>
    </row>
    <row r="537">
      <c r="A537" s="22"/>
      <c r="C537" s="23"/>
      <c r="G537" s="22"/>
      <c r="H537" s="9"/>
      <c r="I537" s="9"/>
      <c r="J537" s="24"/>
      <c r="K537" s="24"/>
    </row>
    <row r="538">
      <c r="A538" s="22"/>
      <c r="C538" s="23"/>
      <c r="G538" s="22"/>
      <c r="H538" s="9"/>
      <c r="I538" s="9"/>
      <c r="J538" s="24"/>
      <c r="K538" s="24"/>
    </row>
    <row r="539">
      <c r="A539" s="22"/>
      <c r="C539" s="23"/>
      <c r="G539" s="22"/>
      <c r="H539" s="9"/>
      <c r="I539" s="9"/>
      <c r="J539" s="24"/>
      <c r="K539" s="24"/>
    </row>
    <row r="540">
      <c r="A540" s="22"/>
      <c r="C540" s="23"/>
      <c r="G540" s="22"/>
      <c r="H540" s="9"/>
      <c r="I540" s="9"/>
      <c r="J540" s="24"/>
      <c r="K540" s="24"/>
    </row>
    <row r="541">
      <c r="A541" s="22"/>
      <c r="C541" s="23"/>
      <c r="G541" s="22"/>
      <c r="H541" s="9"/>
      <c r="I541" s="9"/>
      <c r="J541" s="24"/>
      <c r="K541" s="24"/>
    </row>
    <row r="542">
      <c r="A542" s="22"/>
      <c r="C542" s="23"/>
      <c r="G542" s="22"/>
      <c r="H542" s="9"/>
      <c r="I542" s="9"/>
      <c r="J542" s="24"/>
      <c r="K542" s="24"/>
    </row>
    <row r="543">
      <c r="A543" s="22"/>
      <c r="C543" s="23"/>
      <c r="G543" s="22"/>
      <c r="H543" s="9"/>
      <c r="I543" s="9"/>
      <c r="J543" s="24"/>
      <c r="K543" s="24"/>
    </row>
    <row r="544">
      <c r="A544" s="22"/>
      <c r="C544" s="23"/>
      <c r="G544" s="22"/>
      <c r="H544" s="9"/>
      <c r="I544" s="9"/>
      <c r="J544" s="24"/>
      <c r="K544" s="24"/>
    </row>
    <row r="545">
      <c r="A545" s="22"/>
      <c r="C545" s="23"/>
      <c r="G545" s="22"/>
      <c r="H545" s="9"/>
      <c r="I545" s="9"/>
      <c r="J545" s="24"/>
      <c r="K545" s="24"/>
    </row>
    <row r="546">
      <c r="A546" s="22"/>
      <c r="C546" s="23"/>
      <c r="G546" s="22"/>
      <c r="H546" s="9"/>
      <c r="I546" s="9"/>
      <c r="J546" s="24"/>
      <c r="K546" s="24"/>
    </row>
    <row r="547">
      <c r="A547" s="22"/>
      <c r="C547" s="23"/>
      <c r="G547" s="22"/>
      <c r="H547" s="9"/>
      <c r="I547" s="9"/>
      <c r="J547" s="24"/>
      <c r="K547" s="24"/>
    </row>
    <row r="548">
      <c r="A548" s="22"/>
      <c r="C548" s="23"/>
      <c r="G548" s="22"/>
      <c r="H548" s="9"/>
      <c r="I548" s="9"/>
      <c r="J548" s="24"/>
      <c r="K548" s="24"/>
    </row>
    <row r="549">
      <c r="A549" s="22"/>
      <c r="C549" s="23"/>
      <c r="G549" s="22"/>
      <c r="H549" s="9"/>
      <c r="I549" s="9"/>
      <c r="J549" s="24"/>
      <c r="K549" s="24"/>
    </row>
    <row r="550">
      <c r="A550" s="22"/>
      <c r="C550" s="23"/>
      <c r="G550" s="22"/>
      <c r="H550" s="9"/>
      <c r="I550" s="9"/>
      <c r="J550" s="24"/>
      <c r="K550" s="24"/>
    </row>
    <row r="551">
      <c r="A551" s="22"/>
      <c r="C551" s="23"/>
      <c r="G551" s="22"/>
      <c r="H551" s="9"/>
      <c r="I551" s="9"/>
      <c r="J551" s="24"/>
      <c r="K551" s="24"/>
    </row>
    <row r="552">
      <c r="A552" s="22"/>
      <c r="C552" s="23"/>
      <c r="G552" s="22"/>
      <c r="H552" s="9"/>
      <c r="I552" s="9"/>
      <c r="J552" s="24"/>
      <c r="K552" s="24"/>
    </row>
    <row r="553">
      <c r="A553" s="22"/>
      <c r="C553" s="23"/>
      <c r="G553" s="22"/>
      <c r="H553" s="9"/>
      <c r="I553" s="9"/>
      <c r="J553" s="24"/>
      <c r="K553" s="24"/>
    </row>
    <row r="554">
      <c r="A554" s="22"/>
      <c r="C554" s="23"/>
      <c r="G554" s="22"/>
      <c r="H554" s="9"/>
      <c r="I554" s="9"/>
      <c r="J554" s="24"/>
      <c r="K554" s="24"/>
    </row>
    <row r="555">
      <c r="A555" s="22"/>
      <c r="C555" s="23"/>
      <c r="G555" s="22"/>
      <c r="H555" s="9"/>
      <c r="I555" s="9"/>
      <c r="J555" s="24"/>
      <c r="K555" s="24"/>
    </row>
    <row r="556">
      <c r="A556" s="22"/>
      <c r="C556" s="23"/>
      <c r="G556" s="22"/>
      <c r="H556" s="9"/>
      <c r="I556" s="9"/>
      <c r="J556" s="24"/>
      <c r="K556" s="24"/>
    </row>
    <row r="557">
      <c r="A557" s="22"/>
      <c r="C557" s="23"/>
      <c r="G557" s="22"/>
      <c r="H557" s="9"/>
      <c r="I557" s="9"/>
      <c r="J557" s="24"/>
      <c r="K557" s="24"/>
    </row>
    <row r="558">
      <c r="A558" s="22"/>
      <c r="C558" s="23"/>
      <c r="G558" s="22"/>
      <c r="H558" s="9"/>
      <c r="I558" s="9"/>
      <c r="J558" s="24"/>
      <c r="K558" s="24"/>
    </row>
    <row r="559">
      <c r="A559" s="22"/>
      <c r="C559" s="23"/>
      <c r="G559" s="22"/>
      <c r="H559" s="9"/>
      <c r="I559" s="9"/>
      <c r="J559" s="24"/>
      <c r="K559" s="24"/>
    </row>
    <row r="560">
      <c r="A560" s="22"/>
      <c r="C560" s="23"/>
      <c r="G560" s="22"/>
      <c r="H560" s="9"/>
      <c r="I560" s="9"/>
      <c r="J560" s="24"/>
      <c r="K560" s="24"/>
    </row>
    <row r="561">
      <c r="A561" s="22"/>
      <c r="C561" s="23"/>
      <c r="G561" s="22"/>
      <c r="H561" s="9"/>
      <c r="I561" s="9"/>
      <c r="J561" s="24"/>
      <c r="K561" s="24"/>
    </row>
    <row r="562">
      <c r="A562" s="22"/>
      <c r="C562" s="23"/>
      <c r="G562" s="22"/>
      <c r="H562" s="9"/>
      <c r="I562" s="9"/>
      <c r="J562" s="24"/>
      <c r="K562" s="24"/>
    </row>
    <row r="563">
      <c r="A563" s="22"/>
      <c r="C563" s="23"/>
      <c r="G563" s="22"/>
      <c r="H563" s="9"/>
      <c r="I563" s="9"/>
      <c r="J563" s="24"/>
      <c r="K563" s="24"/>
    </row>
    <row r="564">
      <c r="A564" s="22"/>
      <c r="C564" s="23"/>
      <c r="G564" s="22"/>
      <c r="H564" s="9"/>
      <c r="I564" s="9"/>
      <c r="J564" s="24"/>
      <c r="K564" s="24"/>
    </row>
    <row r="565">
      <c r="A565" s="22"/>
      <c r="C565" s="23"/>
      <c r="G565" s="22"/>
      <c r="H565" s="9"/>
      <c r="I565" s="9"/>
      <c r="J565" s="24"/>
      <c r="K565" s="24"/>
    </row>
    <row r="566">
      <c r="A566" s="22"/>
      <c r="C566" s="23"/>
      <c r="G566" s="22"/>
      <c r="H566" s="9"/>
      <c r="I566" s="9"/>
      <c r="J566" s="24"/>
      <c r="K566" s="24"/>
    </row>
    <row r="567">
      <c r="A567" s="22"/>
      <c r="C567" s="23"/>
      <c r="G567" s="22"/>
      <c r="H567" s="9"/>
      <c r="I567" s="9"/>
      <c r="J567" s="24"/>
      <c r="K567" s="24"/>
    </row>
    <row r="568">
      <c r="A568" s="22"/>
      <c r="C568" s="23"/>
      <c r="G568" s="22"/>
      <c r="H568" s="9"/>
      <c r="I568" s="9"/>
      <c r="J568" s="24"/>
      <c r="K568" s="24"/>
    </row>
    <row r="569">
      <c r="A569" s="22"/>
      <c r="C569" s="23"/>
      <c r="G569" s="22"/>
      <c r="H569" s="9"/>
      <c r="I569" s="9"/>
      <c r="J569" s="24"/>
      <c r="K569" s="24"/>
    </row>
    <row r="570">
      <c r="A570" s="22"/>
      <c r="C570" s="23"/>
      <c r="G570" s="22"/>
      <c r="H570" s="9"/>
      <c r="I570" s="9"/>
      <c r="J570" s="24"/>
      <c r="K570" s="24"/>
    </row>
    <row r="571">
      <c r="A571" s="22"/>
      <c r="C571" s="23"/>
      <c r="G571" s="22"/>
      <c r="H571" s="9"/>
      <c r="I571" s="9"/>
      <c r="J571" s="24"/>
      <c r="K571" s="24"/>
    </row>
    <row r="572">
      <c r="A572" s="22"/>
      <c r="C572" s="23"/>
      <c r="G572" s="22"/>
      <c r="H572" s="9"/>
      <c r="I572" s="9"/>
      <c r="J572" s="24"/>
      <c r="K572" s="24"/>
    </row>
    <row r="573">
      <c r="A573" s="22"/>
      <c r="C573" s="23"/>
      <c r="G573" s="22"/>
      <c r="H573" s="9"/>
      <c r="I573" s="9"/>
      <c r="J573" s="24"/>
      <c r="K573" s="24"/>
    </row>
    <row r="574">
      <c r="A574" s="22"/>
      <c r="C574" s="23"/>
      <c r="G574" s="22"/>
      <c r="H574" s="9"/>
      <c r="I574" s="9"/>
      <c r="J574" s="24"/>
      <c r="K574" s="24"/>
    </row>
    <row r="575">
      <c r="A575" s="22"/>
      <c r="C575" s="23"/>
      <c r="G575" s="22"/>
      <c r="H575" s="9"/>
      <c r="I575" s="9"/>
      <c r="J575" s="24"/>
      <c r="K575" s="24"/>
    </row>
    <row r="576">
      <c r="A576" s="22"/>
      <c r="C576" s="23"/>
      <c r="G576" s="22"/>
      <c r="H576" s="9"/>
      <c r="I576" s="9"/>
      <c r="J576" s="24"/>
      <c r="K576" s="24"/>
    </row>
    <row r="577">
      <c r="A577" s="22"/>
      <c r="C577" s="23"/>
      <c r="G577" s="22"/>
      <c r="H577" s="9"/>
      <c r="I577" s="9"/>
      <c r="J577" s="24"/>
      <c r="K577" s="24"/>
    </row>
    <row r="578">
      <c r="A578" s="22"/>
      <c r="C578" s="23"/>
      <c r="G578" s="22"/>
      <c r="H578" s="9"/>
      <c r="I578" s="9"/>
      <c r="J578" s="24"/>
      <c r="K578" s="24"/>
    </row>
    <row r="579">
      <c r="A579" s="22"/>
      <c r="C579" s="23"/>
      <c r="G579" s="22"/>
      <c r="H579" s="9"/>
      <c r="I579" s="9"/>
      <c r="J579" s="24"/>
      <c r="K579" s="24"/>
    </row>
    <row r="580">
      <c r="A580" s="22"/>
      <c r="C580" s="23"/>
      <c r="G580" s="22"/>
      <c r="H580" s="9"/>
      <c r="I580" s="9"/>
      <c r="J580" s="24"/>
      <c r="K580" s="24"/>
    </row>
    <row r="581">
      <c r="A581" s="22"/>
      <c r="C581" s="23"/>
      <c r="G581" s="22"/>
      <c r="H581" s="9"/>
      <c r="I581" s="9"/>
      <c r="J581" s="24"/>
      <c r="K581" s="24"/>
    </row>
    <row r="582">
      <c r="A582" s="22"/>
      <c r="C582" s="23"/>
      <c r="G582" s="22"/>
      <c r="H582" s="9"/>
      <c r="I582" s="9"/>
      <c r="J582" s="24"/>
      <c r="K582" s="24"/>
    </row>
    <row r="583">
      <c r="A583" s="22"/>
      <c r="C583" s="23"/>
      <c r="G583" s="22"/>
      <c r="H583" s="9"/>
      <c r="I583" s="9"/>
      <c r="J583" s="24"/>
      <c r="K583" s="24"/>
    </row>
    <row r="584">
      <c r="A584" s="22"/>
      <c r="C584" s="23"/>
      <c r="G584" s="22"/>
      <c r="H584" s="9"/>
      <c r="I584" s="9"/>
      <c r="J584" s="24"/>
      <c r="K584" s="24"/>
    </row>
    <row r="585">
      <c r="A585" s="22"/>
      <c r="C585" s="23"/>
      <c r="G585" s="22"/>
      <c r="H585" s="9"/>
      <c r="I585" s="9"/>
      <c r="J585" s="24"/>
      <c r="K585" s="24"/>
    </row>
    <row r="586">
      <c r="A586" s="22"/>
      <c r="C586" s="23"/>
      <c r="G586" s="22"/>
      <c r="H586" s="9"/>
      <c r="I586" s="9"/>
      <c r="J586" s="24"/>
      <c r="K586" s="24"/>
    </row>
    <row r="587">
      <c r="A587" s="22"/>
      <c r="C587" s="23"/>
      <c r="G587" s="22"/>
      <c r="H587" s="9"/>
      <c r="I587" s="9"/>
      <c r="J587" s="24"/>
      <c r="K587" s="24"/>
    </row>
    <row r="588">
      <c r="A588" s="22"/>
      <c r="C588" s="23"/>
      <c r="G588" s="22"/>
      <c r="H588" s="9"/>
      <c r="I588" s="9"/>
      <c r="J588" s="24"/>
      <c r="K588" s="24"/>
    </row>
    <row r="589">
      <c r="A589" s="22"/>
      <c r="C589" s="23"/>
      <c r="G589" s="22"/>
      <c r="H589" s="9"/>
      <c r="I589" s="9"/>
      <c r="J589" s="24"/>
      <c r="K589" s="24"/>
    </row>
    <row r="590">
      <c r="A590" s="22"/>
      <c r="C590" s="23"/>
      <c r="G590" s="22"/>
      <c r="H590" s="9"/>
      <c r="I590" s="9"/>
      <c r="J590" s="24"/>
      <c r="K590" s="24"/>
    </row>
    <row r="591">
      <c r="A591" s="22"/>
      <c r="C591" s="23"/>
      <c r="G591" s="22"/>
      <c r="H591" s="9"/>
      <c r="I591" s="9"/>
      <c r="J591" s="24"/>
      <c r="K591" s="24"/>
    </row>
    <row r="592">
      <c r="A592" s="22"/>
      <c r="C592" s="23"/>
      <c r="G592" s="22"/>
      <c r="H592" s="9"/>
      <c r="I592" s="9"/>
      <c r="J592" s="24"/>
      <c r="K592" s="24"/>
    </row>
    <row r="593">
      <c r="A593" s="22"/>
      <c r="C593" s="23"/>
      <c r="G593" s="22"/>
      <c r="H593" s="9"/>
      <c r="I593" s="9"/>
      <c r="J593" s="24"/>
      <c r="K593" s="24"/>
    </row>
    <row r="594">
      <c r="A594" s="22"/>
      <c r="C594" s="23"/>
      <c r="G594" s="22"/>
      <c r="H594" s="9"/>
      <c r="I594" s="9"/>
      <c r="J594" s="24"/>
      <c r="K594" s="24"/>
    </row>
    <row r="595">
      <c r="A595" s="22"/>
      <c r="C595" s="23"/>
      <c r="G595" s="22"/>
      <c r="H595" s="9"/>
      <c r="I595" s="9"/>
      <c r="J595" s="24"/>
      <c r="K595" s="24"/>
    </row>
    <row r="596">
      <c r="A596" s="22"/>
      <c r="C596" s="23"/>
      <c r="G596" s="22"/>
      <c r="H596" s="9"/>
      <c r="I596" s="9"/>
      <c r="J596" s="24"/>
      <c r="K596" s="24"/>
    </row>
    <row r="597">
      <c r="A597" s="22"/>
      <c r="C597" s="23"/>
      <c r="G597" s="22"/>
      <c r="H597" s="9"/>
      <c r="I597" s="9"/>
      <c r="J597" s="24"/>
      <c r="K597" s="24"/>
    </row>
    <row r="598">
      <c r="A598" s="22"/>
      <c r="C598" s="23"/>
      <c r="G598" s="22"/>
      <c r="H598" s="9"/>
      <c r="I598" s="9"/>
      <c r="J598" s="24"/>
      <c r="K598" s="24"/>
    </row>
    <row r="599">
      <c r="A599" s="22"/>
      <c r="C599" s="23"/>
      <c r="G599" s="22"/>
      <c r="H599" s="9"/>
      <c r="I599" s="9"/>
      <c r="J599" s="24"/>
      <c r="K599" s="24"/>
    </row>
    <row r="600">
      <c r="A600" s="22"/>
      <c r="C600" s="23"/>
      <c r="G600" s="22"/>
      <c r="H600" s="9"/>
      <c r="I600" s="9"/>
      <c r="J600" s="24"/>
      <c r="K600" s="24"/>
    </row>
    <row r="601">
      <c r="A601" s="22"/>
      <c r="C601" s="23"/>
      <c r="G601" s="22"/>
      <c r="H601" s="9"/>
      <c r="I601" s="9"/>
      <c r="J601" s="24"/>
      <c r="K601" s="24"/>
    </row>
    <row r="602">
      <c r="A602" s="22"/>
      <c r="C602" s="23"/>
      <c r="G602" s="22"/>
      <c r="H602" s="9"/>
      <c r="I602" s="9"/>
      <c r="J602" s="24"/>
      <c r="K602" s="24"/>
    </row>
    <row r="603">
      <c r="A603" s="22"/>
      <c r="C603" s="23"/>
      <c r="G603" s="22"/>
      <c r="H603" s="9"/>
      <c r="I603" s="9"/>
      <c r="J603" s="24"/>
      <c r="K603" s="24"/>
    </row>
    <row r="604">
      <c r="A604" s="22"/>
      <c r="C604" s="23"/>
      <c r="G604" s="22"/>
      <c r="H604" s="9"/>
      <c r="I604" s="9"/>
      <c r="J604" s="24"/>
      <c r="K604" s="24"/>
    </row>
    <row r="605">
      <c r="A605" s="22"/>
      <c r="C605" s="23"/>
      <c r="G605" s="22"/>
      <c r="H605" s="9"/>
      <c r="I605" s="9"/>
      <c r="J605" s="24"/>
      <c r="K605" s="24"/>
    </row>
    <row r="606">
      <c r="A606" s="22"/>
      <c r="C606" s="23"/>
      <c r="G606" s="22"/>
      <c r="H606" s="9"/>
      <c r="I606" s="9"/>
      <c r="J606" s="24"/>
      <c r="K606" s="24"/>
    </row>
    <row r="607">
      <c r="A607" s="22"/>
      <c r="C607" s="23"/>
      <c r="G607" s="22"/>
      <c r="H607" s="9"/>
      <c r="I607" s="9"/>
      <c r="J607" s="24"/>
      <c r="K607" s="24"/>
    </row>
    <row r="608">
      <c r="A608" s="22"/>
      <c r="C608" s="23"/>
      <c r="G608" s="22"/>
      <c r="H608" s="9"/>
      <c r="I608" s="9"/>
      <c r="J608" s="24"/>
      <c r="K608" s="24"/>
    </row>
    <row r="609">
      <c r="A609" s="22"/>
      <c r="C609" s="23"/>
      <c r="G609" s="22"/>
      <c r="H609" s="9"/>
      <c r="I609" s="9"/>
      <c r="J609" s="24"/>
      <c r="K609" s="24"/>
    </row>
    <row r="610">
      <c r="A610" s="22"/>
      <c r="C610" s="23"/>
      <c r="G610" s="22"/>
      <c r="H610" s="9"/>
      <c r="I610" s="9"/>
      <c r="J610" s="24"/>
      <c r="K610" s="24"/>
    </row>
    <row r="611">
      <c r="A611" s="22"/>
      <c r="C611" s="23"/>
      <c r="G611" s="22"/>
      <c r="H611" s="9"/>
      <c r="I611" s="9"/>
      <c r="J611" s="24"/>
      <c r="K611" s="24"/>
    </row>
    <row r="612">
      <c r="A612" s="22"/>
      <c r="C612" s="23"/>
      <c r="G612" s="22"/>
      <c r="H612" s="9"/>
      <c r="I612" s="9"/>
      <c r="J612" s="24"/>
      <c r="K612" s="24"/>
    </row>
    <row r="613">
      <c r="A613" s="22"/>
      <c r="C613" s="23"/>
      <c r="G613" s="22"/>
      <c r="H613" s="9"/>
      <c r="I613" s="9"/>
      <c r="J613" s="24"/>
      <c r="K613" s="24"/>
    </row>
    <row r="614">
      <c r="A614" s="22"/>
      <c r="C614" s="23"/>
      <c r="G614" s="22"/>
      <c r="H614" s="9"/>
      <c r="I614" s="9"/>
      <c r="J614" s="24"/>
      <c r="K614" s="24"/>
    </row>
    <row r="615">
      <c r="A615" s="22"/>
      <c r="C615" s="23"/>
      <c r="G615" s="22"/>
      <c r="H615" s="9"/>
      <c r="I615" s="9"/>
      <c r="J615" s="24"/>
      <c r="K615" s="24"/>
    </row>
    <row r="616">
      <c r="A616" s="22"/>
      <c r="C616" s="23"/>
      <c r="G616" s="22"/>
      <c r="H616" s="9"/>
      <c r="I616" s="9"/>
      <c r="J616" s="24"/>
      <c r="K616" s="24"/>
    </row>
    <row r="617">
      <c r="A617" s="22"/>
      <c r="C617" s="23"/>
      <c r="G617" s="22"/>
      <c r="H617" s="9"/>
      <c r="I617" s="9"/>
      <c r="J617" s="24"/>
      <c r="K617" s="24"/>
    </row>
    <row r="618">
      <c r="A618" s="22"/>
      <c r="C618" s="23"/>
      <c r="G618" s="22"/>
      <c r="H618" s="9"/>
      <c r="I618" s="9"/>
      <c r="J618" s="24"/>
      <c r="K618" s="24"/>
    </row>
    <row r="619">
      <c r="A619" s="22"/>
      <c r="C619" s="23"/>
      <c r="G619" s="22"/>
      <c r="H619" s="9"/>
      <c r="I619" s="9"/>
      <c r="J619" s="24"/>
      <c r="K619" s="24"/>
    </row>
    <row r="620">
      <c r="A620" s="22"/>
      <c r="C620" s="23"/>
      <c r="G620" s="22"/>
      <c r="H620" s="9"/>
      <c r="I620" s="9"/>
      <c r="J620" s="24"/>
      <c r="K620" s="24"/>
    </row>
    <row r="621">
      <c r="A621" s="22"/>
      <c r="C621" s="23"/>
      <c r="G621" s="22"/>
      <c r="H621" s="9"/>
      <c r="I621" s="9"/>
      <c r="J621" s="24"/>
      <c r="K621" s="24"/>
    </row>
    <row r="622">
      <c r="A622" s="22"/>
      <c r="C622" s="23"/>
      <c r="G622" s="22"/>
      <c r="H622" s="9"/>
      <c r="I622" s="9"/>
      <c r="J622" s="24"/>
      <c r="K622" s="24"/>
    </row>
    <row r="623">
      <c r="A623" s="22"/>
      <c r="C623" s="23"/>
      <c r="G623" s="22"/>
      <c r="H623" s="9"/>
      <c r="I623" s="9"/>
      <c r="J623" s="24"/>
      <c r="K623" s="24"/>
    </row>
    <row r="624">
      <c r="A624" s="22"/>
      <c r="C624" s="23"/>
      <c r="G624" s="22"/>
      <c r="H624" s="9"/>
      <c r="I624" s="9"/>
      <c r="J624" s="24"/>
      <c r="K624" s="24"/>
    </row>
    <row r="625">
      <c r="A625" s="22"/>
      <c r="C625" s="23"/>
      <c r="G625" s="22"/>
      <c r="H625" s="9"/>
      <c r="I625" s="9"/>
      <c r="J625" s="24"/>
      <c r="K625" s="24"/>
    </row>
    <row r="626">
      <c r="A626" s="22"/>
      <c r="C626" s="23"/>
      <c r="G626" s="22"/>
      <c r="H626" s="9"/>
      <c r="I626" s="9"/>
      <c r="J626" s="24"/>
      <c r="K626" s="24"/>
    </row>
    <row r="627">
      <c r="A627" s="22"/>
      <c r="C627" s="23"/>
      <c r="G627" s="22"/>
      <c r="H627" s="9"/>
      <c r="I627" s="9"/>
      <c r="J627" s="24"/>
      <c r="K627" s="24"/>
    </row>
    <row r="628">
      <c r="A628" s="22"/>
      <c r="C628" s="23"/>
      <c r="G628" s="22"/>
      <c r="H628" s="9"/>
      <c r="I628" s="9"/>
      <c r="J628" s="24"/>
      <c r="K628" s="24"/>
    </row>
    <row r="629">
      <c r="A629" s="22"/>
      <c r="C629" s="23"/>
      <c r="G629" s="22"/>
      <c r="H629" s="9"/>
      <c r="I629" s="9"/>
      <c r="J629" s="24"/>
      <c r="K629" s="24"/>
    </row>
    <row r="630">
      <c r="A630" s="22"/>
      <c r="C630" s="23"/>
      <c r="G630" s="22"/>
      <c r="H630" s="9"/>
      <c r="I630" s="9"/>
      <c r="J630" s="24"/>
      <c r="K630" s="24"/>
    </row>
    <row r="631">
      <c r="A631" s="22"/>
      <c r="C631" s="23"/>
      <c r="G631" s="22"/>
      <c r="H631" s="9"/>
      <c r="I631" s="9"/>
      <c r="J631" s="24"/>
      <c r="K631" s="24"/>
    </row>
    <row r="632">
      <c r="A632" s="22"/>
      <c r="C632" s="23"/>
      <c r="G632" s="22"/>
      <c r="H632" s="9"/>
      <c r="I632" s="9"/>
      <c r="J632" s="24"/>
      <c r="K632" s="24"/>
    </row>
    <row r="633">
      <c r="A633" s="22"/>
      <c r="C633" s="23"/>
      <c r="G633" s="22"/>
      <c r="H633" s="9"/>
      <c r="I633" s="9"/>
      <c r="J633" s="24"/>
      <c r="K633" s="24"/>
    </row>
    <row r="634">
      <c r="A634" s="22"/>
      <c r="C634" s="23"/>
      <c r="G634" s="22"/>
      <c r="H634" s="9"/>
      <c r="I634" s="9"/>
      <c r="J634" s="24"/>
      <c r="K634" s="24"/>
    </row>
    <row r="635">
      <c r="A635" s="22"/>
      <c r="C635" s="23"/>
      <c r="G635" s="22"/>
      <c r="H635" s="9"/>
      <c r="I635" s="9"/>
      <c r="J635" s="24"/>
      <c r="K635" s="24"/>
    </row>
    <row r="636">
      <c r="A636" s="22"/>
      <c r="C636" s="23"/>
      <c r="G636" s="22"/>
      <c r="H636" s="9"/>
      <c r="I636" s="9"/>
      <c r="J636" s="24"/>
      <c r="K636" s="24"/>
    </row>
    <row r="637">
      <c r="A637" s="22"/>
      <c r="C637" s="23"/>
      <c r="G637" s="22"/>
      <c r="H637" s="9"/>
      <c r="I637" s="9"/>
      <c r="J637" s="24"/>
      <c r="K637" s="24"/>
    </row>
    <row r="638">
      <c r="A638" s="22"/>
      <c r="C638" s="23"/>
      <c r="G638" s="22"/>
      <c r="H638" s="9"/>
      <c r="I638" s="9"/>
      <c r="J638" s="24"/>
      <c r="K638" s="24"/>
    </row>
    <row r="639">
      <c r="A639" s="22"/>
      <c r="C639" s="23"/>
      <c r="G639" s="22"/>
      <c r="H639" s="9"/>
      <c r="I639" s="9"/>
      <c r="J639" s="24"/>
      <c r="K639" s="24"/>
    </row>
    <row r="640">
      <c r="A640" s="22"/>
      <c r="C640" s="23"/>
      <c r="G640" s="22"/>
      <c r="H640" s="9"/>
      <c r="I640" s="9"/>
      <c r="J640" s="24"/>
      <c r="K640" s="24"/>
    </row>
    <row r="641">
      <c r="A641" s="22"/>
      <c r="C641" s="23"/>
      <c r="G641" s="22"/>
      <c r="H641" s="9"/>
      <c r="I641" s="9"/>
      <c r="J641" s="24"/>
      <c r="K641" s="24"/>
    </row>
    <row r="642">
      <c r="A642" s="22"/>
      <c r="C642" s="23"/>
      <c r="G642" s="22"/>
      <c r="H642" s="9"/>
      <c r="I642" s="9"/>
      <c r="J642" s="24"/>
      <c r="K642" s="24"/>
    </row>
    <row r="643">
      <c r="A643" s="22"/>
      <c r="C643" s="23"/>
      <c r="G643" s="22"/>
      <c r="H643" s="9"/>
      <c r="I643" s="9"/>
      <c r="J643" s="24"/>
      <c r="K643" s="24"/>
    </row>
    <row r="644">
      <c r="A644" s="22"/>
      <c r="C644" s="23"/>
      <c r="G644" s="22"/>
      <c r="H644" s="9"/>
      <c r="I644" s="9"/>
      <c r="J644" s="24"/>
      <c r="K644" s="24"/>
    </row>
    <row r="645">
      <c r="A645" s="22"/>
      <c r="C645" s="23"/>
      <c r="G645" s="22"/>
      <c r="H645" s="9"/>
      <c r="I645" s="9"/>
      <c r="J645" s="24"/>
      <c r="K645" s="24"/>
    </row>
    <row r="646">
      <c r="A646" s="22"/>
      <c r="C646" s="23"/>
      <c r="G646" s="22"/>
      <c r="H646" s="9"/>
      <c r="I646" s="9"/>
      <c r="J646" s="24"/>
      <c r="K646" s="24"/>
    </row>
    <row r="647">
      <c r="A647" s="22"/>
      <c r="C647" s="23"/>
      <c r="G647" s="22"/>
      <c r="H647" s="9"/>
      <c r="I647" s="9"/>
      <c r="J647" s="24"/>
      <c r="K647" s="24"/>
    </row>
    <row r="648">
      <c r="A648" s="22"/>
      <c r="C648" s="23"/>
      <c r="G648" s="22"/>
      <c r="H648" s="9"/>
      <c r="I648" s="9"/>
      <c r="J648" s="24"/>
      <c r="K648" s="24"/>
    </row>
    <row r="649">
      <c r="A649" s="22"/>
      <c r="C649" s="23"/>
      <c r="G649" s="22"/>
      <c r="H649" s="9"/>
      <c r="I649" s="9"/>
      <c r="J649" s="24"/>
      <c r="K649" s="24"/>
    </row>
    <row r="650">
      <c r="A650" s="22"/>
      <c r="C650" s="23"/>
      <c r="G650" s="22"/>
      <c r="H650" s="9"/>
      <c r="I650" s="9"/>
      <c r="J650" s="24"/>
      <c r="K650" s="24"/>
    </row>
    <row r="651">
      <c r="A651" s="22"/>
      <c r="C651" s="23"/>
      <c r="G651" s="22"/>
      <c r="H651" s="9"/>
      <c r="I651" s="9"/>
      <c r="J651" s="24"/>
      <c r="K651" s="24"/>
    </row>
    <row r="652">
      <c r="A652" s="22"/>
      <c r="C652" s="23"/>
      <c r="G652" s="22"/>
      <c r="H652" s="9"/>
      <c r="I652" s="9"/>
      <c r="J652" s="24"/>
      <c r="K652" s="24"/>
    </row>
    <row r="653">
      <c r="A653" s="22"/>
      <c r="C653" s="23"/>
      <c r="G653" s="22"/>
      <c r="H653" s="9"/>
      <c r="I653" s="9"/>
      <c r="J653" s="24"/>
      <c r="K653" s="24"/>
    </row>
    <row r="654">
      <c r="A654" s="22"/>
      <c r="C654" s="23"/>
      <c r="G654" s="22"/>
      <c r="H654" s="9"/>
      <c r="I654" s="9"/>
      <c r="J654" s="24"/>
      <c r="K654" s="24"/>
    </row>
    <row r="655">
      <c r="A655" s="22"/>
      <c r="C655" s="23"/>
      <c r="G655" s="22"/>
      <c r="H655" s="9"/>
      <c r="I655" s="9"/>
      <c r="J655" s="24"/>
      <c r="K655" s="24"/>
    </row>
    <row r="656">
      <c r="A656" s="22"/>
      <c r="C656" s="23"/>
      <c r="G656" s="22"/>
      <c r="H656" s="9"/>
      <c r="I656" s="9"/>
      <c r="J656" s="24"/>
      <c r="K656" s="24"/>
    </row>
    <row r="657">
      <c r="A657" s="22"/>
      <c r="C657" s="23"/>
      <c r="G657" s="22"/>
      <c r="H657" s="9"/>
      <c r="I657" s="9"/>
      <c r="J657" s="24"/>
      <c r="K657" s="24"/>
    </row>
    <row r="658">
      <c r="A658" s="22"/>
      <c r="C658" s="23"/>
      <c r="G658" s="22"/>
      <c r="H658" s="9"/>
      <c r="I658" s="9"/>
      <c r="J658" s="24"/>
      <c r="K658" s="24"/>
    </row>
    <row r="659">
      <c r="A659" s="22"/>
      <c r="C659" s="23"/>
      <c r="G659" s="22"/>
      <c r="H659" s="9"/>
      <c r="I659" s="9"/>
      <c r="J659" s="24"/>
      <c r="K659" s="24"/>
    </row>
    <row r="660">
      <c r="A660" s="22"/>
      <c r="C660" s="23"/>
      <c r="G660" s="22"/>
      <c r="H660" s="9"/>
      <c r="I660" s="9"/>
      <c r="J660" s="24"/>
      <c r="K660" s="24"/>
    </row>
    <row r="661">
      <c r="A661" s="22"/>
      <c r="C661" s="23"/>
      <c r="G661" s="22"/>
      <c r="H661" s="9"/>
      <c r="I661" s="9"/>
      <c r="J661" s="24"/>
      <c r="K661" s="24"/>
    </row>
    <row r="662">
      <c r="A662" s="22"/>
      <c r="C662" s="23"/>
      <c r="G662" s="22"/>
      <c r="H662" s="9"/>
      <c r="I662" s="9"/>
      <c r="J662" s="24"/>
      <c r="K662" s="24"/>
    </row>
    <row r="663">
      <c r="A663" s="22"/>
      <c r="C663" s="23"/>
      <c r="G663" s="22"/>
      <c r="H663" s="9"/>
      <c r="I663" s="9"/>
      <c r="J663" s="24"/>
      <c r="K663" s="24"/>
    </row>
    <row r="664">
      <c r="A664" s="22"/>
      <c r="C664" s="23"/>
      <c r="G664" s="22"/>
      <c r="H664" s="9"/>
      <c r="I664" s="9"/>
      <c r="J664" s="24"/>
      <c r="K664" s="24"/>
    </row>
    <row r="665">
      <c r="A665" s="22"/>
      <c r="C665" s="23"/>
      <c r="G665" s="22"/>
      <c r="H665" s="9"/>
      <c r="I665" s="9"/>
      <c r="J665" s="24"/>
      <c r="K665" s="24"/>
    </row>
    <row r="666">
      <c r="A666" s="22"/>
      <c r="C666" s="23"/>
      <c r="G666" s="22"/>
      <c r="H666" s="9"/>
      <c r="I666" s="9"/>
      <c r="J666" s="24"/>
      <c r="K666" s="24"/>
    </row>
    <row r="667">
      <c r="A667" s="22"/>
      <c r="C667" s="23"/>
      <c r="G667" s="22"/>
      <c r="H667" s="9"/>
      <c r="I667" s="9"/>
      <c r="J667" s="24"/>
      <c r="K667" s="24"/>
    </row>
    <row r="668">
      <c r="A668" s="22"/>
      <c r="C668" s="23"/>
      <c r="G668" s="22"/>
      <c r="H668" s="9"/>
      <c r="I668" s="9"/>
      <c r="J668" s="24"/>
      <c r="K668" s="24"/>
    </row>
    <row r="669">
      <c r="A669" s="22"/>
      <c r="C669" s="23"/>
      <c r="G669" s="22"/>
      <c r="H669" s="9"/>
      <c r="I669" s="9"/>
      <c r="J669" s="24"/>
      <c r="K669" s="24"/>
    </row>
    <row r="670">
      <c r="A670" s="22"/>
      <c r="C670" s="23"/>
      <c r="G670" s="22"/>
      <c r="H670" s="9"/>
      <c r="I670" s="9"/>
      <c r="J670" s="24"/>
      <c r="K670" s="24"/>
    </row>
    <row r="671">
      <c r="A671" s="22"/>
      <c r="C671" s="23"/>
      <c r="G671" s="22"/>
      <c r="H671" s="9"/>
      <c r="I671" s="9"/>
      <c r="J671" s="24"/>
      <c r="K671" s="24"/>
    </row>
    <row r="672">
      <c r="A672" s="22"/>
      <c r="C672" s="23"/>
      <c r="G672" s="22"/>
      <c r="H672" s="9"/>
      <c r="I672" s="9"/>
      <c r="J672" s="24"/>
      <c r="K672" s="24"/>
    </row>
    <row r="673">
      <c r="A673" s="22"/>
      <c r="C673" s="23"/>
      <c r="G673" s="22"/>
      <c r="H673" s="9"/>
      <c r="I673" s="9"/>
      <c r="J673" s="24"/>
      <c r="K673" s="24"/>
    </row>
    <row r="674">
      <c r="A674" s="22"/>
      <c r="C674" s="23"/>
      <c r="G674" s="22"/>
      <c r="H674" s="9"/>
      <c r="I674" s="9"/>
      <c r="J674" s="24"/>
      <c r="K674" s="24"/>
    </row>
    <row r="675">
      <c r="A675" s="22"/>
      <c r="C675" s="23"/>
      <c r="G675" s="22"/>
      <c r="H675" s="9"/>
      <c r="I675" s="9"/>
      <c r="J675" s="24"/>
      <c r="K675" s="24"/>
    </row>
    <row r="676">
      <c r="A676" s="22"/>
      <c r="C676" s="23"/>
      <c r="G676" s="22"/>
      <c r="H676" s="9"/>
      <c r="I676" s="9"/>
      <c r="J676" s="24"/>
      <c r="K676" s="24"/>
    </row>
    <row r="677">
      <c r="A677" s="22"/>
      <c r="C677" s="23"/>
      <c r="G677" s="22"/>
      <c r="H677" s="9"/>
      <c r="I677" s="9"/>
      <c r="J677" s="24"/>
      <c r="K677" s="24"/>
    </row>
    <row r="678">
      <c r="A678" s="22"/>
      <c r="C678" s="23"/>
      <c r="G678" s="22"/>
      <c r="H678" s="9"/>
      <c r="I678" s="9"/>
      <c r="J678" s="24"/>
      <c r="K678" s="24"/>
    </row>
    <row r="679">
      <c r="A679" s="22"/>
      <c r="C679" s="23"/>
      <c r="G679" s="22"/>
      <c r="H679" s="9"/>
      <c r="I679" s="9"/>
      <c r="J679" s="24"/>
      <c r="K679" s="24"/>
    </row>
    <row r="680">
      <c r="A680" s="22"/>
      <c r="C680" s="23"/>
      <c r="G680" s="22"/>
      <c r="H680" s="9"/>
      <c r="I680" s="9"/>
      <c r="J680" s="24"/>
      <c r="K680" s="24"/>
    </row>
    <row r="681">
      <c r="A681" s="22"/>
      <c r="C681" s="23"/>
      <c r="G681" s="22"/>
      <c r="H681" s="9"/>
      <c r="I681" s="9"/>
      <c r="J681" s="24"/>
      <c r="K681" s="24"/>
    </row>
    <row r="682">
      <c r="A682" s="22"/>
      <c r="C682" s="23"/>
      <c r="G682" s="22"/>
      <c r="H682" s="9"/>
      <c r="I682" s="9"/>
      <c r="J682" s="24"/>
      <c r="K682" s="24"/>
    </row>
    <row r="683">
      <c r="A683" s="22"/>
      <c r="C683" s="23"/>
      <c r="G683" s="22"/>
      <c r="H683" s="9"/>
      <c r="I683" s="9"/>
      <c r="J683" s="24"/>
      <c r="K683" s="24"/>
    </row>
    <row r="684">
      <c r="A684" s="22"/>
      <c r="C684" s="23"/>
      <c r="G684" s="22"/>
      <c r="H684" s="9"/>
      <c r="I684" s="9"/>
      <c r="J684" s="24"/>
      <c r="K684" s="24"/>
    </row>
    <row r="685">
      <c r="A685" s="22"/>
      <c r="C685" s="23"/>
      <c r="G685" s="22"/>
      <c r="H685" s="9"/>
      <c r="I685" s="9"/>
      <c r="J685" s="24"/>
      <c r="K685" s="24"/>
    </row>
    <row r="686">
      <c r="A686" s="22"/>
      <c r="C686" s="23"/>
      <c r="G686" s="22"/>
      <c r="H686" s="9"/>
      <c r="I686" s="9"/>
      <c r="J686" s="24"/>
      <c r="K686" s="24"/>
    </row>
    <row r="687">
      <c r="A687" s="22"/>
      <c r="C687" s="23"/>
      <c r="G687" s="22"/>
      <c r="H687" s="9"/>
      <c r="I687" s="9"/>
      <c r="J687" s="24"/>
      <c r="K687" s="24"/>
    </row>
    <row r="688">
      <c r="A688" s="22"/>
      <c r="C688" s="23"/>
      <c r="G688" s="22"/>
      <c r="H688" s="9"/>
      <c r="I688" s="9"/>
      <c r="J688" s="24"/>
      <c r="K688" s="24"/>
    </row>
    <row r="689">
      <c r="A689" s="22"/>
      <c r="C689" s="23"/>
      <c r="G689" s="22"/>
      <c r="H689" s="9"/>
      <c r="I689" s="9"/>
      <c r="J689" s="24"/>
      <c r="K689" s="24"/>
    </row>
    <row r="690">
      <c r="A690" s="22"/>
      <c r="C690" s="23"/>
      <c r="G690" s="22"/>
      <c r="H690" s="9"/>
      <c r="I690" s="9"/>
      <c r="J690" s="24"/>
      <c r="K690" s="24"/>
    </row>
    <row r="691">
      <c r="A691" s="22"/>
      <c r="C691" s="23"/>
      <c r="G691" s="22"/>
      <c r="H691" s="9"/>
      <c r="I691" s="9"/>
      <c r="J691" s="24"/>
      <c r="K691" s="24"/>
    </row>
    <row r="692">
      <c r="A692" s="22"/>
      <c r="C692" s="23"/>
      <c r="G692" s="22"/>
      <c r="H692" s="9"/>
      <c r="I692" s="9"/>
      <c r="J692" s="24"/>
      <c r="K692" s="24"/>
    </row>
    <row r="693">
      <c r="A693" s="22"/>
      <c r="C693" s="23"/>
      <c r="G693" s="22"/>
      <c r="H693" s="9"/>
      <c r="I693" s="9"/>
      <c r="J693" s="24"/>
      <c r="K693" s="24"/>
    </row>
    <row r="694">
      <c r="A694" s="22"/>
      <c r="C694" s="23"/>
      <c r="G694" s="22"/>
      <c r="H694" s="9"/>
      <c r="I694" s="9"/>
      <c r="J694" s="24"/>
      <c r="K694" s="24"/>
    </row>
    <row r="695">
      <c r="A695" s="22"/>
      <c r="C695" s="23"/>
      <c r="G695" s="22"/>
      <c r="H695" s="9"/>
      <c r="I695" s="9"/>
      <c r="J695" s="24"/>
      <c r="K695" s="24"/>
    </row>
    <row r="696">
      <c r="A696" s="22"/>
      <c r="C696" s="23"/>
      <c r="G696" s="22"/>
      <c r="H696" s="9"/>
      <c r="I696" s="9"/>
      <c r="J696" s="24"/>
      <c r="K696" s="24"/>
    </row>
    <row r="697">
      <c r="A697" s="22"/>
      <c r="C697" s="23"/>
      <c r="G697" s="22"/>
      <c r="H697" s="9"/>
      <c r="I697" s="9"/>
      <c r="J697" s="24"/>
      <c r="K697" s="24"/>
    </row>
    <row r="698">
      <c r="A698" s="22"/>
      <c r="C698" s="23"/>
      <c r="G698" s="22"/>
      <c r="H698" s="9"/>
      <c r="I698" s="9"/>
      <c r="J698" s="24"/>
      <c r="K698" s="24"/>
    </row>
    <row r="699">
      <c r="A699" s="22"/>
      <c r="C699" s="23"/>
      <c r="G699" s="22"/>
      <c r="H699" s="9"/>
      <c r="I699" s="9"/>
      <c r="J699" s="24"/>
      <c r="K699" s="24"/>
    </row>
    <row r="700">
      <c r="A700" s="22"/>
      <c r="C700" s="23"/>
      <c r="G700" s="22"/>
      <c r="H700" s="9"/>
      <c r="I700" s="9"/>
      <c r="J700" s="24"/>
      <c r="K700" s="24"/>
    </row>
    <row r="701">
      <c r="A701" s="22"/>
      <c r="C701" s="23"/>
      <c r="G701" s="22"/>
      <c r="H701" s="9"/>
      <c r="I701" s="9"/>
      <c r="J701" s="24"/>
      <c r="K701" s="24"/>
    </row>
    <row r="702">
      <c r="A702" s="22"/>
      <c r="C702" s="23"/>
      <c r="G702" s="22"/>
      <c r="H702" s="9"/>
      <c r="I702" s="9"/>
      <c r="J702" s="24"/>
      <c r="K702" s="24"/>
    </row>
    <row r="703">
      <c r="A703" s="22"/>
      <c r="C703" s="23"/>
      <c r="G703" s="22"/>
      <c r="H703" s="9"/>
      <c r="I703" s="9"/>
      <c r="J703" s="24"/>
      <c r="K703" s="24"/>
    </row>
    <row r="704">
      <c r="A704" s="22"/>
      <c r="C704" s="23"/>
      <c r="G704" s="22"/>
      <c r="H704" s="9"/>
      <c r="I704" s="9"/>
      <c r="J704" s="24"/>
      <c r="K704" s="24"/>
    </row>
    <row r="705">
      <c r="A705" s="22"/>
      <c r="C705" s="23"/>
      <c r="G705" s="22"/>
      <c r="H705" s="9"/>
      <c r="I705" s="9"/>
      <c r="J705" s="24"/>
      <c r="K705" s="24"/>
    </row>
    <row r="706">
      <c r="A706" s="22"/>
      <c r="C706" s="23"/>
      <c r="G706" s="22"/>
      <c r="H706" s="9"/>
      <c r="I706" s="9"/>
      <c r="J706" s="24"/>
      <c r="K706" s="24"/>
    </row>
    <row r="707">
      <c r="A707" s="22"/>
      <c r="C707" s="23"/>
      <c r="G707" s="22"/>
      <c r="H707" s="9"/>
      <c r="I707" s="9"/>
      <c r="J707" s="24"/>
      <c r="K707" s="24"/>
    </row>
    <row r="708">
      <c r="A708" s="22"/>
      <c r="C708" s="23"/>
      <c r="G708" s="22"/>
      <c r="H708" s="9"/>
      <c r="I708" s="9"/>
      <c r="J708" s="24"/>
      <c r="K708" s="24"/>
    </row>
    <row r="709">
      <c r="A709" s="22"/>
      <c r="C709" s="23"/>
      <c r="G709" s="22"/>
      <c r="H709" s="9"/>
      <c r="I709" s="9"/>
      <c r="J709" s="24"/>
      <c r="K709" s="24"/>
    </row>
    <row r="710">
      <c r="A710" s="22"/>
      <c r="C710" s="23"/>
      <c r="G710" s="22"/>
      <c r="H710" s="9"/>
      <c r="I710" s="9"/>
      <c r="J710" s="24"/>
      <c r="K710" s="24"/>
    </row>
    <row r="711">
      <c r="A711" s="22"/>
      <c r="C711" s="23"/>
      <c r="G711" s="22"/>
      <c r="H711" s="9"/>
      <c r="I711" s="9"/>
      <c r="J711" s="24"/>
      <c r="K711" s="24"/>
    </row>
    <row r="712">
      <c r="A712" s="22"/>
      <c r="C712" s="23"/>
      <c r="G712" s="22"/>
      <c r="H712" s="9"/>
      <c r="I712" s="9"/>
      <c r="J712" s="24"/>
      <c r="K712" s="24"/>
    </row>
    <row r="713">
      <c r="A713" s="22"/>
      <c r="C713" s="23"/>
      <c r="G713" s="22"/>
      <c r="H713" s="9"/>
      <c r="I713" s="9"/>
      <c r="J713" s="24"/>
      <c r="K713" s="24"/>
    </row>
    <row r="714">
      <c r="A714" s="22"/>
      <c r="C714" s="23"/>
      <c r="G714" s="22"/>
      <c r="H714" s="9"/>
      <c r="I714" s="9"/>
      <c r="J714" s="24"/>
      <c r="K714" s="24"/>
    </row>
    <row r="715">
      <c r="A715" s="22"/>
      <c r="C715" s="23"/>
      <c r="G715" s="22"/>
      <c r="H715" s="9"/>
      <c r="I715" s="9"/>
      <c r="J715" s="24"/>
      <c r="K715" s="24"/>
    </row>
    <row r="716">
      <c r="A716" s="22"/>
      <c r="C716" s="23"/>
      <c r="G716" s="22"/>
      <c r="H716" s="9"/>
      <c r="I716" s="9"/>
      <c r="J716" s="24"/>
      <c r="K716" s="24"/>
    </row>
    <row r="717">
      <c r="A717" s="22"/>
      <c r="C717" s="23"/>
      <c r="G717" s="22"/>
      <c r="H717" s="9"/>
      <c r="I717" s="9"/>
      <c r="J717" s="24"/>
      <c r="K717" s="24"/>
    </row>
    <row r="718">
      <c r="A718" s="22"/>
      <c r="C718" s="23"/>
      <c r="G718" s="22"/>
      <c r="H718" s="9"/>
      <c r="I718" s="9"/>
      <c r="J718" s="24"/>
      <c r="K718" s="24"/>
    </row>
    <row r="719">
      <c r="A719" s="22"/>
      <c r="C719" s="23"/>
      <c r="G719" s="22"/>
      <c r="H719" s="9"/>
      <c r="I719" s="9"/>
      <c r="J719" s="24"/>
      <c r="K719" s="24"/>
    </row>
    <row r="720">
      <c r="A720" s="22"/>
      <c r="C720" s="23"/>
      <c r="G720" s="22"/>
      <c r="H720" s="9"/>
      <c r="I720" s="9"/>
      <c r="J720" s="24"/>
      <c r="K720" s="24"/>
    </row>
    <row r="721">
      <c r="A721" s="22"/>
      <c r="C721" s="23"/>
      <c r="G721" s="22"/>
      <c r="H721" s="9"/>
      <c r="I721" s="9"/>
      <c r="J721" s="24"/>
      <c r="K721" s="24"/>
    </row>
    <row r="722">
      <c r="A722" s="22"/>
      <c r="C722" s="23"/>
      <c r="G722" s="22"/>
      <c r="H722" s="9"/>
      <c r="I722" s="9"/>
      <c r="J722" s="24"/>
      <c r="K722" s="24"/>
    </row>
    <row r="723">
      <c r="A723" s="22"/>
      <c r="C723" s="23"/>
      <c r="G723" s="22"/>
      <c r="H723" s="9"/>
      <c r="I723" s="9"/>
      <c r="J723" s="24"/>
      <c r="K723" s="24"/>
    </row>
    <row r="724">
      <c r="A724" s="22"/>
      <c r="C724" s="23"/>
      <c r="G724" s="22"/>
      <c r="H724" s="9"/>
      <c r="I724" s="9"/>
      <c r="J724" s="24"/>
      <c r="K724" s="24"/>
    </row>
    <row r="725">
      <c r="A725" s="22"/>
      <c r="C725" s="23"/>
      <c r="G725" s="22"/>
      <c r="H725" s="9"/>
      <c r="I725" s="9"/>
      <c r="J725" s="24"/>
      <c r="K725" s="24"/>
    </row>
    <row r="726">
      <c r="A726" s="22"/>
      <c r="C726" s="23"/>
      <c r="G726" s="22"/>
      <c r="H726" s="9"/>
      <c r="I726" s="9"/>
      <c r="J726" s="24"/>
      <c r="K726" s="24"/>
    </row>
    <row r="727">
      <c r="A727" s="22"/>
      <c r="C727" s="23"/>
      <c r="G727" s="22"/>
      <c r="H727" s="9"/>
      <c r="I727" s="9"/>
      <c r="J727" s="24"/>
      <c r="K727" s="24"/>
    </row>
    <row r="728">
      <c r="A728" s="22"/>
      <c r="C728" s="23"/>
      <c r="G728" s="22"/>
      <c r="H728" s="9"/>
      <c r="I728" s="9"/>
      <c r="J728" s="24"/>
      <c r="K728" s="24"/>
    </row>
    <row r="729">
      <c r="A729" s="22"/>
      <c r="C729" s="23"/>
      <c r="G729" s="22"/>
      <c r="H729" s="9"/>
      <c r="I729" s="9"/>
      <c r="J729" s="24"/>
      <c r="K729" s="24"/>
    </row>
    <row r="730">
      <c r="A730" s="22"/>
      <c r="C730" s="23"/>
      <c r="G730" s="22"/>
      <c r="H730" s="9"/>
      <c r="I730" s="9"/>
      <c r="J730" s="24"/>
      <c r="K730" s="24"/>
    </row>
    <row r="731">
      <c r="A731" s="22"/>
      <c r="C731" s="23"/>
      <c r="G731" s="22"/>
      <c r="H731" s="9"/>
      <c r="I731" s="9"/>
      <c r="J731" s="24"/>
      <c r="K731" s="24"/>
    </row>
    <row r="732">
      <c r="A732" s="22"/>
      <c r="C732" s="23"/>
      <c r="G732" s="22"/>
      <c r="H732" s="9"/>
      <c r="I732" s="9"/>
      <c r="J732" s="24"/>
      <c r="K732" s="24"/>
    </row>
    <row r="733">
      <c r="A733" s="22"/>
      <c r="C733" s="23"/>
      <c r="G733" s="22"/>
      <c r="H733" s="9"/>
      <c r="I733" s="9"/>
      <c r="J733" s="24"/>
      <c r="K733" s="24"/>
    </row>
    <row r="734">
      <c r="A734" s="22"/>
      <c r="C734" s="23"/>
      <c r="G734" s="22"/>
      <c r="H734" s="9"/>
      <c r="I734" s="9"/>
      <c r="J734" s="24"/>
      <c r="K734" s="24"/>
    </row>
    <row r="735">
      <c r="A735" s="22"/>
      <c r="C735" s="23"/>
      <c r="G735" s="22"/>
      <c r="H735" s="9"/>
      <c r="I735" s="9"/>
      <c r="J735" s="24"/>
      <c r="K735" s="24"/>
    </row>
    <row r="736">
      <c r="A736" s="22"/>
      <c r="C736" s="23"/>
      <c r="G736" s="22"/>
      <c r="H736" s="9"/>
      <c r="I736" s="9"/>
      <c r="J736" s="24"/>
      <c r="K736" s="24"/>
    </row>
    <row r="737">
      <c r="A737" s="22"/>
      <c r="C737" s="23"/>
      <c r="G737" s="22"/>
      <c r="H737" s="9"/>
      <c r="I737" s="9"/>
      <c r="J737" s="24"/>
      <c r="K737" s="24"/>
    </row>
    <row r="738">
      <c r="A738" s="22"/>
      <c r="C738" s="23"/>
      <c r="G738" s="22"/>
      <c r="H738" s="9"/>
      <c r="I738" s="9"/>
      <c r="J738" s="24"/>
      <c r="K738" s="24"/>
    </row>
    <row r="739">
      <c r="A739" s="22"/>
      <c r="C739" s="23"/>
      <c r="G739" s="22"/>
      <c r="H739" s="9"/>
      <c r="I739" s="9"/>
      <c r="J739" s="24"/>
      <c r="K739" s="24"/>
    </row>
    <row r="740">
      <c r="A740" s="22"/>
      <c r="C740" s="23"/>
      <c r="G740" s="22"/>
      <c r="H740" s="9"/>
      <c r="I740" s="9"/>
      <c r="J740" s="24"/>
      <c r="K740" s="24"/>
    </row>
    <row r="741">
      <c r="A741" s="22"/>
      <c r="C741" s="23"/>
      <c r="G741" s="22"/>
      <c r="H741" s="9"/>
      <c r="I741" s="9"/>
      <c r="J741" s="24"/>
      <c r="K741" s="24"/>
    </row>
    <row r="742">
      <c r="A742" s="22"/>
      <c r="C742" s="23"/>
      <c r="G742" s="22"/>
      <c r="H742" s="9"/>
      <c r="I742" s="9"/>
      <c r="J742" s="24"/>
      <c r="K742" s="24"/>
    </row>
    <row r="743">
      <c r="A743" s="22"/>
      <c r="C743" s="23"/>
      <c r="G743" s="22"/>
      <c r="H743" s="9"/>
      <c r="I743" s="9"/>
      <c r="J743" s="24"/>
      <c r="K743" s="24"/>
    </row>
    <row r="744">
      <c r="A744" s="22"/>
      <c r="C744" s="23"/>
      <c r="G744" s="22"/>
      <c r="H744" s="9"/>
      <c r="I744" s="9"/>
      <c r="J744" s="24"/>
      <c r="K744" s="24"/>
    </row>
    <row r="745">
      <c r="A745" s="22"/>
      <c r="C745" s="23"/>
      <c r="G745" s="22"/>
      <c r="H745" s="9"/>
      <c r="I745" s="9"/>
      <c r="J745" s="24"/>
      <c r="K745" s="24"/>
    </row>
    <row r="746">
      <c r="A746" s="22"/>
      <c r="C746" s="23"/>
      <c r="G746" s="22"/>
      <c r="H746" s="9"/>
      <c r="I746" s="9"/>
      <c r="J746" s="24"/>
      <c r="K746" s="24"/>
    </row>
    <row r="747">
      <c r="A747" s="22"/>
      <c r="C747" s="23"/>
      <c r="G747" s="22"/>
      <c r="H747" s="9"/>
      <c r="I747" s="9"/>
      <c r="J747" s="24"/>
      <c r="K747" s="24"/>
    </row>
    <row r="748">
      <c r="A748" s="22"/>
      <c r="C748" s="23"/>
      <c r="G748" s="22"/>
      <c r="H748" s="9"/>
      <c r="I748" s="9"/>
      <c r="J748" s="24"/>
      <c r="K748" s="24"/>
    </row>
    <row r="749">
      <c r="A749" s="22"/>
      <c r="C749" s="23"/>
      <c r="G749" s="22"/>
      <c r="H749" s="9"/>
      <c r="I749" s="9"/>
      <c r="J749" s="24"/>
      <c r="K749" s="24"/>
    </row>
    <row r="750">
      <c r="A750" s="22"/>
      <c r="C750" s="23"/>
      <c r="G750" s="22"/>
      <c r="H750" s="9"/>
      <c r="I750" s="9"/>
      <c r="J750" s="24"/>
      <c r="K750" s="24"/>
    </row>
    <row r="751">
      <c r="A751" s="22"/>
      <c r="C751" s="23"/>
      <c r="G751" s="22"/>
      <c r="H751" s="9"/>
      <c r="I751" s="9"/>
      <c r="J751" s="24"/>
      <c r="K751" s="24"/>
    </row>
    <row r="752">
      <c r="A752" s="22"/>
      <c r="C752" s="23"/>
      <c r="G752" s="22"/>
      <c r="H752" s="9"/>
      <c r="I752" s="9"/>
      <c r="J752" s="24"/>
      <c r="K752" s="24"/>
    </row>
    <row r="753">
      <c r="A753" s="22"/>
      <c r="C753" s="23"/>
      <c r="G753" s="22"/>
      <c r="H753" s="9"/>
      <c r="I753" s="9"/>
      <c r="J753" s="24"/>
      <c r="K753" s="24"/>
    </row>
    <row r="754">
      <c r="A754" s="22"/>
      <c r="C754" s="23"/>
      <c r="G754" s="22"/>
      <c r="H754" s="9"/>
      <c r="I754" s="9"/>
      <c r="J754" s="24"/>
      <c r="K754" s="24"/>
    </row>
    <row r="755">
      <c r="A755" s="22"/>
      <c r="C755" s="23"/>
      <c r="G755" s="22"/>
      <c r="H755" s="9"/>
      <c r="I755" s="9"/>
      <c r="J755" s="24"/>
      <c r="K755" s="24"/>
    </row>
    <row r="756">
      <c r="A756" s="22"/>
      <c r="C756" s="23"/>
      <c r="G756" s="22"/>
      <c r="H756" s="9"/>
      <c r="I756" s="9"/>
      <c r="J756" s="24"/>
      <c r="K756" s="24"/>
    </row>
    <row r="757">
      <c r="A757" s="22"/>
      <c r="C757" s="23"/>
      <c r="G757" s="22"/>
      <c r="H757" s="9"/>
      <c r="I757" s="9"/>
      <c r="J757" s="24"/>
      <c r="K757" s="24"/>
    </row>
    <row r="758">
      <c r="A758" s="22"/>
      <c r="C758" s="23"/>
      <c r="G758" s="22"/>
      <c r="H758" s="9"/>
      <c r="I758" s="9"/>
      <c r="J758" s="24"/>
      <c r="K758" s="24"/>
    </row>
    <row r="759">
      <c r="A759" s="22"/>
      <c r="C759" s="23"/>
      <c r="G759" s="22"/>
      <c r="H759" s="9"/>
      <c r="I759" s="9"/>
      <c r="J759" s="24"/>
      <c r="K759" s="24"/>
    </row>
    <row r="760">
      <c r="A760" s="22"/>
      <c r="C760" s="23"/>
      <c r="G760" s="22"/>
      <c r="H760" s="9"/>
      <c r="I760" s="9"/>
      <c r="J760" s="24"/>
      <c r="K760" s="24"/>
    </row>
    <row r="761">
      <c r="A761" s="22"/>
      <c r="C761" s="23"/>
      <c r="G761" s="22"/>
      <c r="H761" s="9"/>
      <c r="I761" s="9"/>
      <c r="J761" s="24"/>
      <c r="K761" s="24"/>
    </row>
    <row r="762">
      <c r="A762" s="22"/>
      <c r="C762" s="23"/>
      <c r="G762" s="22"/>
      <c r="H762" s="9"/>
      <c r="I762" s="9"/>
      <c r="J762" s="24"/>
      <c r="K762" s="24"/>
    </row>
    <row r="763">
      <c r="A763" s="22"/>
      <c r="C763" s="23"/>
      <c r="G763" s="22"/>
      <c r="H763" s="9"/>
      <c r="I763" s="9"/>
      <c r="J763" s="24"/>
      <c r="K763" s="24"/>
    </row>
    <row r="764">
      <c r="A764" s="22"/>
      <c r="C764" s="23"/>
      <c r="G764" s="22"/>
      <c r="H764" s="9"/>
      <c r="I764" s="9"/>
      <c r="J764" s="24"/>
      <c r="K764" s="24"/>
    </row>
    <row r="765">
      <c r="A765" s="22"/>
      <c r="C765" s="23"/>
      <c r="G765" s="22"/>
      <c r="H765" s="9"/>
      <c r="I765" s="9"/>
      <c r="J765" s="24"/>
      <c r="K765" s="24"/>
    </row>
    <row r="766">
      <c r="A766" s="22"/>
      <c r="C766" s="23"/>
      <c r="G766" s="22"/>
      <c r="H766" s="9"/>
      <c r="I766" s="9"/>
      <c r="J766" s="24"/>
      <c r="K766" s="24"/>
    </row>
    <row r="767">
      <c r="A767" s="22"/>
      <c r="C767" s="23"/>
      <c r="G767" s="22"/>
      <c r="H767" s="9"/>
      <c r="I767" s="9"/>
      <c r="J767" s="24"/>
      <c r="K767" s="24"/>
    </row>
    <row r="768">
      <c r="A768" s="22"/>
      <c r="C768" s="23"/>
      <c r="G768" s="22"/>
      <c r="H768" s="9"/>
      <c r="I768" s="9"/>
      <c r="J768" s="24"/>
      <c r="K768" s="24"/>
    </row>
    <row r="769">
      <c r="A769" s="22"/>
      <c r="C769" s="23"/>
      <c r="G769" s="22"/>
      <c r="H769" s="9"/>
      <c r="I769" s="9"/>
      <c r="J769" s="24"/>
      <c r="K769" s="24"/>
    </row>
    <row r="770">
      <c r="A770" s="22"/>
      <c r="C770" s="23"/>
      <c r="G770" s="22"/>
      <c r="H770" s="9"/>
      <c r="I770" s="9"/>
      <c r="J770" s="24"/>
      <c r="K770" s="24"/>
    </row>
    <row r="771">
      <c r="A771" s="22"/>
      <c r="C771" s="23"/>
      <c r="G771" s="22"/>
      <c r="H771" s="9"/>
      <c r="I771" s="9"/>
      <c r="J771" s="24"/>
      <c r="K771" s="24"/>
    </row>
    <row r="772">
      <c r="A772" s="22"/>
      <c r="C772" s="23"/>
      <c r="G772" s="22"/>
      <c r="H772" s="9"/>
      <c r="I772" s="9"/>
      <c r="J772" s="24"/>
      <c r="K772" s="24"/>
    </row>
    <row r="773">
      <c r="A773" s="22"/>
      <c r="C773" s="23"/>
      <c r="G773" s="22"/>
      <c r="H773" s="9"/>
      <c r="I773" s="9"/>
      <c r="J773" s="24"/>
      <c r="K773" s="24"/>
    </row>
    <row r="774">
      <c r="A774" s="22"/>
      <c r="C774" s="23"/>
      <c r="G774" s="22"/>
      <c r="H774" s="9"/>
      <c r="I774" s="9"/>
      <c r="J774" s="24"/>
      <c r="K774" s="24"/>
    </row>
    <row r="775">
      <c r="A775" s="22"/>
      <c r="C775" s="23"/>
      <c r="G775" s="22"/>
      <c r="H775" s="9"/>
      <c r="I775" s="9"/>
      <c r="J775" s="24"/>
      <c r="K775" s="24"/>
    </row>
    <row r="776">
      <c r="A776" s="22"/>
      <c r="C776" s="23"/>
      <c r="G776" s="22"/>
      <c r="H776" s="9"/>
      <c r="I776" s="9"/>
      <c r="J776" s="24"/>
      <c r="K776" s="24"/>
    </row>
    <row r="777">
      <c r="A777" s="22"/>
      <c r="C777" s="23"/>
      <c r="G777" s="22"/>
      <c r="H777" s="9"/>
      <c r="I777" s="9"/>
      <c r="J777" s="24"/>
      <c r="K777" s="24"/>
    </row>
    <row r="778">
      <c r="A778" s="22"/>
      <c r="C778" s="23"/>
      <c r="G778" s="22"/>
      <c r="H778" s="9"/>
      <c r="I778" s="9"/>
      <c r="J778" s="24"/>
      <c r="K778" s="24"/>
    </row>
    <row r="779">
      <c r="A779" s="22"/>
      <c r="C779" s="23"/>
      <c r="G779" s="22"/>
      <c r="H779" s="9"/>
      <c r="I779" s="9"/>
      <c r="J779" s="24"/>
      <c r="K779" s="24"/>
    </row>
    <row r="780">
      <c r="A780" s="22"/>
      <c r="C780" s="23"/>
      <c r="G780" s="22"/>
      <c r="H780" s="9"/>
      <c r="I780" s="9"/>
      <c r="J780" s="24"/>
      <c r="K780" s="24"/>
    </row>
    <row r="781">
      <c r="A781" s="22"/>
      <c r="C781" s="23"/>
      <c r="G781" s="22"/>
      <c r="H781" s="9"/>
      <c r="I781" s="9"/>
      <c r="J781" s="24"/>
      <c r="K781" s="24"/>
    </row>
    <row r="782">
      <c r="A782" s="22"/>
      <c r="C782" s="23"/>
      <c r="G782" s="22"/>
      <c r="H782" s="9"/>
      <c r="I782" s="9"/>
      <c r="J782" s="24"/>
      <c r="K782" s="24"/>
    </row>
    <row r="783">
      <c r="A783" s="22"/>
      <c r="C783" s="23"/>
      <c r="G783" s="22"/>
      <c r="H783" s="9"/>
      <c r="I783" s="9"/>
      <c r="J783" s="24"/>
      <c r="K783" s="24"/>
    </row>
    <row r="784">
      <c r="A784" s="22"/>
      <c r="C784" s="23"/>
      <c r="G784" s="22"/>
      <c r="H784" s="9"/>
      <c r="I784" s="9"/>
      <c r="J784" s="24"/>
      <c r="K784" s="24"/>
    </row>
    <row r="785">
      <c r="A785" s="22"/>
      <c r="C785" s="23"/>
      <c r="G785" s="22"/>
      <c r="H785" s="9"/>
      <c r="I785" s="9"/>
      <c r="J785" s="24"/>
      <c r="K785" s="24"/>
    </row>
    <row r="786">
      <c r="A786" s="22"/>
      <c r="C786" s="23"/>
      <c r="G786" s="22"/>
      <c r="H786" s="9"/>
      <c r="I786" s="9"/>
      <c r="J786" s="24"/>
      <c r="K786" s="24"/>
    </row>
    <row r="787">
      <c r="A787" s="22"/>
      <c r="C787" s="23"/>
      <c r="G787" s="22"/>
      <c r="H787" s="9"/>
      <c r="I787" s="9"/>
      <c r="J787" s="24"/>
      <c r="K787" s="24"/>
    </row>
    <row r="788">
      <c r="A788" s="22"/>
      <c r="C788" s="23"/>
      <c r="G788" s="22"/>
      <c r="H788" s="9"/>
      <c r="I788" s="9"/>
      <c r="J788" s="24"/>
      <c r="K788" s="24"/>
    </row>
    <row r="789">
      <c r="A789" s="22"/>
      <c r="C789" s="23"/>
      <c r="G789" s="22"/>
      <c r="H789" s="9"/>
      <c r="I789" s="9"/>
      <c r="J789" s="24"/>
      <c r="K789" s="24"/>
    </row>
    <row r="790">
      <c r="A790" s="22"/>
      <c r="C790" s="23"/>
      <c r="G790" s="22"/>
      <c r="H790" s="9"/>
      <c r="I790" s="9"/>
      <c r="J790" s="24"/>
      <c r="K790" s="24"/>
    </row>
    <row r="791">
      <c r="A791" s="22"/>
      <c r="C791" s="23"/>
      <c r="G791" s="22"/>
      <c r="H791" s="9"/>
      <c r="I791" s="9"/>
      <c r="J791" s="24"/>
      <c r="K791" s="24"/>
    </row>
    <row r="792">
      <c r="A792" s="22"/>
      <c r="C792" s="23"/>
      <c r="G792" s="22"/>
      <c r="H792" s="9"/>
      <c r="I792" s="9"/>
      <c r="J792" s="24"/>
      <c r="K792" s="24"/>
    </row>
    <row r="793">
      <c r="A793" s="22"/>
      <c r="C793" s="23"/>
      <c r="G793" s="22"/>
      <c r="H793" s="9"/>
      <c r="I793" s="9"/>
      <c r="J793" s="24"/>
      <c r="K793" s="24"/>
    </row>
    <row r="794">
      <c r="A794" s="22"/>
      <c r="C794" s="23"/>
      <c r="G794" s="22"/>
      <c r="H794" s="9"/>
      <c r="I794" s="9"/>
      <c r="J794" s="24"/>
      <c r="K794" s="24"/>
    </row>
    <row r="795">
      <c r="A795" s="22"/>
      <c r="C795" s="23"/>
      <c r="G795" s="22"/>
      <c r="H795" s="9"/>
      <c r="I795" s="9"/>
      <c r="J795" s="24"/>
      <c r="K795" s="24"/>
    </row>
    <row r="796">
      <c r="A796" s="22"/>
      <c r="C796" s="23"/>
      <c r="G796" s="22"/>
      <c r="H796" s="9"/>
      <c r="I796" s="9"/>
      <c r="J796" s="24"/>
      <c r="K796" s="24"/>
    </row>
    <row r="797">
      <c r="A797" s="22"/>
      <c r="C797" s="23"/>
      <c r="G797" s="22"/>
      <c r="H797" s="9"/>
      <c r="I797" s="9"/>
      <c r="J797" s="24"/>
      <c r="K797" s="24"/>
    </row>
    <row r="798">
      <c r="A798" s="22"/>
      <c r="C798" s="23"/>
      <c r="G798" s="22"/>
      <c r="H798" s="9"/>
      <c r="I798" s="9"/>
      <c r="J798" s="24"/>
      <c r="K798" s="24"/>
    </row>
    <row r="799">
      <c r="A799" s="22"/>
      <c r="C799" s="23"/>
      <c r="G799" s="22"/>
      <c r="H799" s="9"/>
      <c r="I799" s="9"/>
      <c r="J799" s="24"/>
      <c r="K799" s="24"/>
    </row>
    <row r="800">
      <c r="A800" s="22"/>
      <c r="C800" s="23"/>
      <c r="G800" s="22"/>
      <c r="H800" s="9"/>
      <c r="I800" s="9"/>
      <c r="J800" s="24"/>
      <c r="K800" s="24"/>
    </row>
    <row r="801">
      <c r="A801" s="22"/>
      <c r="C801" s="23"/>
      <c r="G801" s="22"/>
      <c r="H801" s="9"/>
      <c r="I801" s="9"/>
      <c r="J801" s="24"/>
      <c r="K801" s="24"/>
    </row>
    <row r="802">
      <c r="A802" s="22"/>
      <c r="C802" s="23"/>
      <c r="G802" s="22"/>
      <c r="H802" s="9"/>
      <c r="I802" s="9"/>
      <c r="J802" s="24"/>
      <c r="K802" s="24"/>
    </row>
    <row r="803">
      <c r="A803" s="22"/>
      <c r="C803" s="23"/>
      <c r="G803" s="22"/>
      <c r="H803" s="9"/>
      <c r="I803" s="9"/>
      <c r="J803" s="24"/>
      <c r="K803" s="24"/>
    </row>
    <row r="804">
      <c r="A804" s="22"/>
      <c r="C804" s="23"/>
      <c r="G804" s="22"/>
      <c r="H804" s="9"/>
      <c r="I804" s="9"/>
      <c r="J804" s="24"/>
      <c r="K804" s="24"/>
    </row>
    <row r="805">
      <c r="A805" s="22"/>
      <c r="C805" s="23"/>
      <c r="G805" s="22"/>
      <c r="H805" s="9"/>
      <c r="I805" s="9"/>
      <c r="J805" s="24"/>
      <c r="K805" s="24"/>
    </row>
    <row r="806">
      <c r="A806" s="22"/>
      <c r="C806" s="23"/>
      <c r="G806" s="22"/>
      <c r="H806" s="9"/>
      <c r="I806" s="9"/>
      <c r="J806" s="24"/>
      <c r="K806" s="24"/>
    </row>
    <row r="807">
      <c r="A807" s="22"/>
      <c r="C807" s="23"/>
      <c r="G807" s="22"/>
      <c r="H807" s="9"/>
      <c r="I807" s="9"/>
      <c r="J807" s="24"/>
      <c r="K807" s="24"/>
    </row>
    <row r="808">
      <c r="A808" s="22"/>
      <c r="C808" s="23"/>
      <c r="G808" s="22"/>
      <c r="H808" s="9"/>
      <c r="I808" s="9"/>
      <c r="J808" s="24"/>
      <c r="K808" s="24"/>
    </row>
    <row r="809">
      <c r="A809" s="22"/>
      <c r="C809" s="23"/>
      <c r="G809" s="22"/>
      <c r="H809" s="9"/>
      <c r="I809" s="9"/>
      <c r="J809" s="24"/>
      <c r="K809" s="24"/>
    </row>
    <row r="810">
      <c r="A810" s="22"/>
      <c r="C810" s="23"/>
      <c r="G810" s="22"/>
      <c r="H810" s="9"/>
      <c r="I810" s="9"/>
      <c r="J810" s="24"/>
      <c r="K810" s="24"/>
    </row>
    <row r="811">
      <c r="A811" s="22"/>
      <c r="C811" s="23"/>
      <c r="G811" s="22"/>
      <c r="H811" s="9"/>
      <c r="I811" s="9"/>
      <c r="J811" s="24"/>
      <c r="K811" s="24"/>
    </row>
    <row r="812">
      <c r="A812" s="22"/>
      <c r="C812" s="23"/>
      <c r="G812" s="22"/>
      <c r="H812" s="9"/>
      <c r="I812" s="9"/>
      <c r="J812" s="24"/>
      <c r="K812" s="24"/>
    </row>
    <row r="813">
      <c r="A813" s="22"/>
      <c r="C813" s="23"/>
      <c r="G813" s="22"/>
      <c r="H813" s="9"/>
      <c r="I813" s="9"/>
      <c r="J813" s="24"/>
      <c r="K813" s="24"/>
    </row>
    <row r="814">
      <c r="A814" s="22"/>
      <c r="C814" s="23"/>
      <c r="G814" s="22"/>
      <c r="H814" s="9"/>
      <c r="I814" s="9"/>
      <c r="J814" s="24"/>
      <c r="K814" s="24"/>
    </row>
    <row r="815">
      <c r="A815" s="22"/>
      <c r="C815" s="23"/>
      <c r="G815" s="22"/>
      <c r="H815" s="9"/>
      <c r="I815" s="9"/>
      <c r="J815" s="24"/>
      <c r="K815" s="24"/>
    </row>
    <row r="816">
      <c r="A816" s="22"/>
      <c r="C816" s="23"/>
      <c r="G816" s="22"/>
      <c r="H816" s="9"/>
      <c r="I816" s="9"/>
      <c r="J816" s="24"/>
      <c r="K816" s="24"/>
    </row>
    <row r="817">
      <c r="A817" s="22"/>
      <c r="C817" s="23"/>
      <c r="G817" s="22"/>
      <c r="H817" s="9"/>
      <c r="I817" s="9"/>
      <c r="J817" s="24"/>
      <c r="K817" s="24"/>
    </row>
    <row r="818">
      <c r="A818" s="22"/>
      <c r="C818" s="23"/>
      <c r="G818" s="22"/>
      <c r="H818" s="9"/>
      <c r="I818" s="9"/>
      <c r="J818" s="24"/>
      <c r="K818" s="24"/>
    </row>
    <row r="819">
      <c r="A819" s="22"/>
      <c r="C819" s="23"/>
      <c r="G819" s="22"/>
      <c r="H819" s="9"/>
      <c r="I819" s="9"/>
      <c r="J819" s="24"/>
      <c r="K819" s="24"/>
    </row>
    <row r="820">
      <c r="A820" s="22"/>
      <c r="C820" s="23"/>
      <c r="G820" s="22"/>
      <c r="H820" s="9"/>
      <c r="I820" s="9"/>
      <c r="J820" s="24"/>
      <c r="K820" s="24"/>
    </row>
    <row r="821">
      <c r="A821" s="22"/>
      <c r="C821" s="23"/>
      <c r="G821" s="22"/>
      <c r="H821" s="9"/>
      <c r="I821" s="9"/>
      <c r="J821" s="24"/>
      <c r="K821" s="24"/>
    </row>
    <row r="822">
      <c r="A822" s="22"/>
      <c r="C822" s="23"/>
      <c r="G822" s="22"/>
      <c r="H822" s="9"/>
      <c r="I822" s="9"/>
      <c r="J822" s="24"/>
      <c r="K822" s="24"/>
    </row>
    <row r="823">
      <c r="A823" s="22"/>
      <c r="C823" s="23"/>
      <c r="G823" s="22"/>
      <c r="H823" s="9"/>
      <c r="I823" s="9"/>
      <c r="J823" s="24"/>
      <c r="K823" s="24"/>
    </row>
    <row r="824">
      <c r="A824" s="22"/>
      <c r="C824" s="23"/>
      <c r="G824" s="22"/>
      <c r="H824" s="9"/>
      <c r="I824" s="9"/>
      <c r="J824" s="24"/>
      <c r="K824" s="24"/>
    </row>
    <row r="825">
      <c r="A825" s="22"/>
      <c r="C825" s="23"/>
      <c r="G825" s="22"/>
      <c r="H825" s="9"/>
      <c r="I825" s="9"/>
      <c r="J825" s="24"/>
      <c r="K825" s="24"/>
    </row>
    <row r="826">
      <c r="A826" s="22"/>
      <c r="C826" s="23"/>
      <c r="G826" s="22"/>
      <c r="H826" s="9"/>
      <c r="I826" s="9"/>
      <c r="J826" s="24"/>
      <c r="K826" s="24"/>
    </row>
    <row r="827">
      <c r="A827" s="22"/>
      <c r="C827" s="23"/>
      <c r="G827" s="22"/>
      <c r="H827" s="9"/>
      <c r="I827" s="9"/>
      <c r="J827" s="24"/>
      <c r="K827" s="24"/>
    </row>
    <row r="828">
      <c r="A828" s="22"/>
      <c r="C828" s="23"/>
      <c r="G828" s="22"/>
      <c r="H828" s="9"/>
      <c r="I828" s="9"/>
      <c r="J828" s="24"/>
      <c r="K828" s="24"/>
    </row>
    <row r="829">
      <c r="A829" s="22"/>
      <c r="C829" s="23"/>
      <c r="G829" s="22"/>
      <c r="H829" s="9"/>
      <c r="I829" s="9"/>
      <c r="J829" s="24"/>
      <c r="K829" s="24"/>
    </row>
    <row r="830">
      <c r="A830" s="22"/>
      <c r="C830" s="23"/>
      <c r="G830" s="22"/>
      <c r="H830" s="9"/>
      <c r="I830" s="9"/>
      <c r="J830" s="24"/>
      <c r="K830" s="24"/>
    </row>
    <row r="831">
      <c r="A831" s="22"/>
      <c r="C831" s="23"/>
      <c r="G831" s="22"/>
      <c r="H831" s="9"/>
      <c r="I831" s="9"/>
      <c r="J831" s="24"/>
      <c r="K831" s="24"/>
    </row>
    <row r="832">
      <c r="A832" s="22"/>
      <c r="C832" s="23"/>
      <c r="G832" s="22"/>
      <c r="H832" s="9"/>
      <c r="I832" s="9"/>
      <c r="J832" s="24"/>
      <c r="K832" s="24"/>
    </row>
    <row r="833">
      <c r="A833" s="22"/>
      <c r="C833" s="23"/>
      <c r="G833" s="22"/>
      <c r="H833" s="9"/>
      <c r="I833" s="9"/>
      <c r="J833" s="24"/>
      <c r="K833" s="24"/>
    </row>
    <row r="834">
      <c r="A834" s="22"/>
      <c r="C834" s="23"/>
      <c r="G834" s="22"/>
      <c r="H834" s="9"/>
      <c r="I834" s="9"/>
      <c r="J834" s="24"/>
      <c r="K834" s="24"/>
    </row>
    <row r="835">
      <c r="A835" s="22"/>
      <c r="C835" s="23"/>
      <c r="G835" s="22"/>
      <c r="H835" s="9"/>
      <c r="I835" s="9"/>
      <c r="J835" s="24"/>
      <c r="K835" s="24"/>
    </row>
    <row r="836">
      <c r="A836" s="22"/>
      <c r="C836" s="23"/>
      <c r="G836" s="22"/>
      <c r="H836" s="9"/>
      <c r="I836" s="9"/>
      <c r="J836" s="24"/>
      <c r="K836" s="24"/>
    </row>
    <row r="837">
      <c r="A837" s="22"/>
      <c r="C837" s="23"/>
      <c r="G837" s="22"/>
      <c r="H837" s="9"/>
      <c r="I837" s="9"/>
      <c r="J837" s="24"/>
      <c r="K837" s="24"/>
    </row>
    <row r="838">
      <c r="A838" s="22"/>
      <c r="C838" s="23"/>
      <c r="G838" s="22"/>
      <c r="H838" s="9"/>
      <c r="I838" s="9"/>
      <c r="J838" s="24"/>
      <c r="K838" s="24"/>
    </row>
    <row r="839">
      <c r="A839" s="22"/>
      <c r="C839" s="23"/>
      <c r="G839" s="22"/>
      <c r="H839" s="9"/>
      <c r="I839" s="9"/>
      <c r="J839" s="24"/>
      <c r="K839" s="24"/>
    </row>
    <row r="840">
      <c r="A840" s="22"/>
      <c r="C840" s="23"/>
      <c r="G840" s="22"/>
      <c r="H840" s="9"/>
      <c r="I840" s="9"/>
      <c r="J840" s="24"/>
      <c r="K840" s="24"/>
    </row>
    <row r="841">
      <c r="A841" s="22"/>
      <c r="C841" s="23"/>
      <c r="G841" s="22"/>
      <c r="H841" s="9"/>
      <c r="I841" s="9"/>
      <c r="J841" s="24"/>
      <c r="K841" s="24"/>
    </row>
    <row r="842">
      <c r="A842" s="22"/>
      <c r="C842" s="23"/>
      <c r="G842" s="22"/>
      <c r="H842" s="9"/>
      <c r="I842" s="9"/>
      <c r="J842" s="24"/>
      <c r="K842" s="24"/>
    </row>
    <row r="843">
      <c r="A843" s="22"/>
      <c r="C843" s="23"/>
      <c r="G843" s="22"/>
      <c r="H843" s="9"/>
      <c r="I843" s="9"/>
      <c r="J843" s="24"/>
      <c r="K843" s="24"/>
    </row>
    <row r="844">
      <c r="A844" s="22"/>
      <c r="C844" s="23"/>
      <c r="G844" s="22"/>
      <c r="H844" s="9"/>
      <c r="I844" s="9"/>
      <c r="J844" s="24"/>
      <c r="K844" s="24"/>
    </row>
    <row r="845">
      <c r="A845" s="22"/>
      <c r="C845" s="23"/>
      <c r="G845" s="22"/>
      <c r="H845" s="9"/>
      <c r="I845" s="9"/>
      <c r="J845" s="24"/>
      <c r="K845" s="24"/>
    </row>
    <row r="846">
      <c r="A846" s="22"/>
      <c r="C846" s="23"/>
      <c r="G846" s="22"/>
      <c r="H846" s="9"/>
      <c r="I846" s="9"/>
      <c r="J846" s="24"/>
      <c r="K846" s="24"/>
    </row>
    <row r="847">
      <c r="A847" s="22"/>
      <c r="C847" s="23"/>
      <c r="G847" s="22"/>
      <c r="H847" s="9"/>
      <c r="I847" s="9"/>
      <c r="J847" s="24"/>
      <c r="K847" s="24"/>
    </row>
    <row r="848">
      <c r="A848" s="22"/>
      <c r="C848" s="23"/>
      <c r="G848" s="22"/>
      <c r="H848" s="9"/>
      <c r="I848" s="9"/>
      <c r="J848" s="24"/>
      <c r="K848" s="24"/>
    </row>
    <row r="849">
      <c r="A849" s="22"/>
      <c r="C849" s="23"/>
      <c r="G849" s="22"/>
      <c r="H849" s="9"/>
      <c r="I849" s="9"/>
      <c r="J849" s="24"/>
      <c r="K849" s="24"/>
    </row>
    <row r="850">
      <c r="A850" s="22"/>
      <c r="C850" s="23"/>
      <c r="G850" s="22"/>
      <c r="H850" s="9"/>
      <c r="I850" s="9"/>
      <c r="J850" s="24"/>
      <c r="K850" s="24"/>
    </row>
    <row r="851">
      <c r="A851" s="22"/>
      <c r="C851" s="23"/>
      <c r="G851" s="22"/>
      <c r="H851" s="9"/>
      <c r="I851" s="9"/>
      <c r="J851" s="24"/>
      <c r="K851" s="24"/>
    </row>
    <row r="852">
      <c r="A852" s="22"/>
      <c r="C852" s="23"/>
      <c r="G852" s="22"/>
      <c r="H852" s="9"/>
      <c r="I852" s="9"/>
      <c r="J852" s="24"/>
      <c r="K852" s="24"/>
    </row>
    <row r="853">
      <c r="A853" s="22"/>
      <c r="C853" s="23"/>
      <c r="G853" s="22"/>
      <c r="H853" s="9"/>
      <c r="I853" s="9"/>
      <c r="J853" s="24"/>
      <c r="K853" s="24"/>
    </row>
    <row r="854">
      <c r="A854" s="22"/>
      <c r="C854" s="23"/>
      <c r="G854" s="22"/>
      <c r="H854" s="9"/>
      <c r="I854" s="9"/>
      <c r="J854" s="24"/>
      <c r="K854" s="24"/>
    </row>
    <row r="855">
      <c r="A855" s="22"/>
      <c r="C855" s="23"/>
      <c r="G855" s="22"/>
      <c r="H855" s="9"/>
      <c r="I855" s="9"/>
      <c r="J855" s="24"/>
      <c r="K855" s="24"/>
    </row>
    <row r="856">
      <c r="A856" s="22"/>
      <c r="C856" s="23"/>
      <c r="G856" s="22"/>
      <c r="H856" s="9"/>
      <c r="I856" s="9"/>
      <c r="J856" s="24"/>
      <c r="K856" s="24"/>
    </row>
    <row r="857">
      <c r="A857" s="22"/>
      <c r="C857" s="23"/>
      <c r="G857" s="22"/>
      <c r="H857" s="9"/>
      <c r="I857" s="9"/>
      <c r="J857" s="24"/>
      <c r="K857" s="24"/>
    </row>
    <row r="858">
      <c r="A858" s="22"/>
      <c r="C858" s="23"/>
      <c r="G858" s="22"/>
      <c r="H858" s="9"/>
      <c r="I858" s="9"/>
      <c r="J858" s="24"/>
      <c r="K858" s="24"/>
    </row>
    <row r="859">
      <c r="A859" s="22"/>
      <c r="C859" s="23"/>
      <c r="G859" s="22"/>
      <c r="H859" s="9"/>
      <c r="I859" s="9"/>
      <c r="J859" s="24"/>
      <c r="K859" s="24"/>
    </row>
    <row r="860">
      <c r="A860" s="22"/>
      <c r="C860" s="23"/>
      <c r="G860" s="22"/>
      <c r="H860" s="9"/>
      <c r="I860" s="9"/>
      <c r="J860" s="24"/>
      <c r="K860" s="24"/>
    </row>
    <row r="861">
      <c r="A861" s="22"/>
      <c r="C861" s="23"/>
      <c r="G861" s="22"/>
      <c r="H861" s="9"/>
      <c r="I861" s="9"/>
      <c r="J861" s="24"/>
      <c r="K861" s="24"/>
    </row>
    <row r="862">
      <c r="A862" s="22"/>
      <c r="C862" s="23"/>
      <c r="G862" s="22"/>
      <c r="H862" s="9"/>
      <c r="I862" s="9"/>
      <c r="J862" s="24"/>
      <c r="K862" s="24"/>
    </row>
    <row r="863">
      <c r="A863" s="22"/>
      <c r="C863" s="23"/>
      <c r="G863" s="22"/>
      <c r="H863" s="9"/>
      <c r="I863" s="9"/>
      <c r="J863" s="24"/>
      <c r="K863" s="24"/>
    </row>
    <row r="864">
      <c r="A864" s="22"/>
      <c r="C864" s="23"/>
      <c r="G864" s="22"/>
      <c r="H864" s="9"/>
      <c r="I864" s="9"/>
      <c r="J864" s="24"/>
      <c r="K864" s="24"/>
    </row>
    <row r="865">
      <c r="A865" s="22"/>
      <c r="C865" s="23"/>
      <c r="G865" s="22"/>
      <c r="H865" s="9"/>
      <c r="I865" s="9"/>
      <c r="J865" s="24"/>
      <c r="K865" s="24"/>
    </row>
    <row r="866">
      <c r="A866" s="22"/>
      <c r="C866" s="23"/>
      <c r="G866" s="22"/>
      <c r="H866" s="9"/>
      <c r="I866" s="9"/>
      <c r="J866" s="24"/>
      <c r="K866" s="24"/>
    </row>
    <row r="867">
      <c r="A867" s="22"/>
      <c r="C867" s="23"/>
      <c r="G867" s="22"/>
      <c r="H867" s="9"/>
      <c r="I867" s="9"/>
      <c r="J867" s="24"/>
      <c r="K867" s="24"/>
    </row>
    <row r="868">
      <c r="A868" s="22"/>
      <c r="C868" s="23"/>
      <c r="G868" s="22"/>
      <c r="H868" s="9"/>
      <c r="I868" s="9"/>
      <c r="J868" s="24"/>
      <c r="K868" s="24"/>
    </row>
    <row r="869">
      <c r="A869" s="22"/>
      <c r="C869" s="23"/>
      <c r="G869" s="22"/>
      <c r="H869" s="9"/>
      <c r="I869" s="9"/>
      <c r="J869" s="24"/>
      <c r="K869" s="24"/>
    </row>
    <row r="870">
      <c r="A870" s="22"/>
      <c r="C870" s="23"/>
      <c r="G870" s="22"/>
      <c r="H870" s="9"/>
      <c r="I870" s="9"/>
      <c r="J870" s="24"/>
      <c r="K870" s="24"/>
    </row>
    <row r="871">
      <c r="A871" s="22"/>
      <c r="C871" s="23"/>
      <c r="G871" s="22"/>
      <c r="H871" s="9"/>
      <c r="I871" s="9"/>
      <c r="J871" s="24"/>
      <c r="K871" s="24"/>
    </row>
    <row r="872">
      <c r="A872" s="22"/>
      <c r="C872" s="23"/>
      <c r="G872" s="22"/>
      <c r="H872" s="9"/>
      <c r="I872" s="9"/>
      <c r="J872" s="24"/>
      <c r="K872" s="24"/>
    </row>
    <row r="873">
      <c r="A873" s="22"/>
      <c r="C873" s="23"/>
      <c r="G873" s="22"/>
      <c r="H873" s="9"/>
      <c r="I873" s="9"/>
      <c r="J873" s="24"/>
      <c r="K873" s="24"/>
    </row>
    <row r="874">
      <c r="A874" s="22"/>
      <c r="C874" s="23"/>
      <c r="G874" s="22"/>
      <c r="H874" s="9"/>
      <c r="I874" s="9"/>
      <c r="J874" s="24"/>
      <c r="K874" s="24"/>
    </row>
    <row r="875">
      <c r="A875" s="22"/>
      <c r="C875" s="23"/>
      <c r="G875" s="22"/>
      <c r="H875" s="9"/>
      <c r="I875" s="9"/>
      <c r="J875" s="24"/>
      <c r="K875" s="24"/>
    </row>
    <row r="876">
      <c r="A876" s="22"/>
      <c r="C876" s="23"/>
      <c r="G876" s="22"/>
      <c r="H876" s="9"/>
      <c r="I876" s="9"/>
      <c r="J876" s="24"/>
      <c r="K876" s="24"/>
    </row>
    <row r="877">
      <c r="A877" s="22"/>
      <c r="C877" s="23"/>
      <c r="G877" s="22"/>
      <c r="H877" s="9"/>
      <c r="I877" s="9"/>
      <c r="J877" s="24"/>
      <c r="K877" s="24"/>
    </row>
    <row r="878">
      <c r="A878" s="22"/>
      <c r="C878" s="23"/>
      <c r="G878" s="22"/>
      <c r="H878" s="9"/>
      <c r="I878" s="9"/>
      <c r="J878" s="24"/>
      <c r="K878" s="24"/>
    </row>
    <row r="879">
      <c r="A879" s="22"/>
      <c r="C879" s="23"/>
      <c r="G879" s="22"/>
      <c r="H879" s="9"/>
      <c r="I879" s="9"/>
      <c r="J879" s="24"/>
      <c r="K879" s="24"/>
    </row>
    <row r="880">
      <c r="A880" s="22"/>
      <c r="C880" s="23"/>
      <c r="G880" s="22"/>
      <c r="H880" s="9"/>
      <c r="I880" s="9"/>
      <c r="J880" s="24"/>
      <c r="K880" s="24"/>
    </row>
    <row r="881">
      <c r="A881" s="22"/>
      <c r="C881" s="23"/>
      <c r="G881" s="22"/>
      <c r="H881" s="9"/>
      <c r="I881" s="9"/>
      <c r="J881" s="24"/>
      <c r="K881" s="24"/>
    </row>
    <row r="882">
      <c r="A882" s="22"/>
      <c r="C882" s="23"/>
      <c r="G882" s="22"/>
      <c r="H882" s="9"/>
      <c r="I882" s="9"/>
      <c r="J882" s="24"/>
      <c r="K882" s="24"/>
    </row>
    <row r="883">
      <c r="A883" s="22"/>
      <c r="C883" s="23"/>
      <c r="G883" s="22"/>
      <c r="H883" s="9"/>
      <c r="I883" s="9"/>
      <c r="J883" s="24"/>
      <c r="K883" s="24"/>
    </row>
    <row r="884">
      <c r="A884" s="22"/>
      <c r="C884" s="23"/>
      <c r="G884" s="22"/>
      <c r="H884" s="9"/>
      <c r="I884" s="9"/>
      <c r="J884" s="24"/>
      <c r="K884" s="24"/>
    </row>
    <row r="885">
      <c r="A885" s="22"/>
      <c r="C885" s="23"/>
      <c r="G885" s="22"/>
      <c r="H885" s="9"/>
      <c r="I885" s="9"/>
      <c r="J885" s="24"/>
      <c r="K885" s="24"/>
    </row>
    <row r="886">
      <c r="A886" s="22"/>
      <c r="C886" s="23"/>
      <c r="G886" s="22"/>
      <c r="H886" s="9"/>
      <c r="I886" s="9"/>
      <c r="J886" s="24"/>
      <c r="K886" s="24"/>
    </row>
    <row r="887">
      <c r="A887" s="22"/>
      <c r="C887" s="23"/>
      <c r="G887" s="22"/>
      <c r="H887" s="9"/>
      <c r="I887" s="9"/>
      <c r="J887" s="24"/>
      <c r="K887" s="24"/>
    </row>
    <row r="888">
      <c r="A888" s="22"/>
      <c r="C888" s="23"/>
      <c r="G888" s="22"/>
      <c r="H888" s="9"/>
      <c r="I888" s="9"/>
      <c r="J888" s="24"/>
      <c r="K888" s="24"/>
    </row>
    <row r="889">
      <c r="A889" s="22"/>
      <c r="C889" s="23"/>
      <c r="G889" s="22"/>
      <c r="H889" s="9"/>
      <c r="I889" s="9"/>
      <c r="J889" s="24"/>
      <c r="K889" s="24"/>
    </row>
    <row r="890">
      <c r="A890" s="22"/>
      <c r="C890" s="23"/>
      <c r="G890" s="22"/>
      <c r="H890" s="9"/>
      <c r="I890" s="9"/>
      <c r="J890" s="24"/>
      <c r="K890" s="24"/>
    </row>
    <row r="891">
      <c r="A891" s="22"/>
      <c r="C891" s="23"/>
      <c r="G891" s="22"/>
      <c r="H891" s="9"/>
      <c r="I891" s="9"/>
      <c r="J891" s="24"/>
      <c r="K891" s="24"/>
    </row>
    <row r="892">
      <c r="A892" s="22"/>
      <c r="C892" s="23"/>
      <c r="G892" s="22"/>
      <c r="H892" s="9"/>
      <c r="I892" s="9"/>
      <c r="J892" s="24"/>
      <c r="K892" s="24"/>
    </row>
    <row r="893">
      <c r="A893" s="22"/>
      <c r="C893" s="23"/>
      <c r="G893" s="22"/>
      <c r="H893" s="9"/>
      <c r="I893" s="9"/>
      <c r="J893" s="24"/>
      <c r="K893" s="24"/>
    </row>
    <row r="894">
      <c r="A894" s="22"/>
      <c r="C894" s="23"/>
      <c r="G894" s="22"/>
      <c r="H894" s="9"/>
      <c r="I894" s="9"/>
      <c r="J894" s="24"/>
      <c r="K894" s="24"/>
    </row>
    <row r="895">
      <c r="A895" s="22"/>
      <c r="C895" s="23"/>
      <c r="G895" s="22"/>
      <c r="H895" s="9"/>
      <c r="I895" s="9"/>
      <c r="J895" s="24"/>
      <c r="K895" s="24"/>
    </row>
    <row r="896">
      <c r="A896" s="22"/>
      <c r="C896" s="23"/>
      <c r="G896" s="22"/>
      <c r="H896" s="9"/>
      <c r="I896" s="9"/>
      <c r="J896" s="24"/>
      <c r="K896" s="24"/>
    </row>
    <row r="897">
      <c r="A897" s="22"/>
      <c r="C897" s="23"/>
      <c r="G897" s="22"/>
      <c r="H897" s="9"/>
      <c r="I897" s="9"/>
      <c r="J897" s="24"/>
      <c r="K897" s="24"/>
    </row>
    <row r="898">
      <c r="A898" s="22"/>
      <c r="C898" s="23"/>
      <c r="G898" s="22"/>
      <c r="H898" s="9"/>
      <c r="I898" s="9"/>
      <c r="J898" s="24"/>
      <c r="K898" s="24"/>
    </row>
    <row r="899">
      <c r="A899" s="22"/>
      <c r="C899" s="23"/>
      <c r="G899" s="22"/>
      <c r="H899" s="9"/>
      <c r="I899" s="9"/>
      <c r="J899" s="24"/>
      <c r="K899" s="24"/>
    </row>
    <row r="900">
      <c r="A900" s="22"/>
      <c r="C900" s="23"/>
      <c r="G900" s="22"/>
      <c r="H900" s="9"/>
      <c r="I900" s="9"/>
      <c r="J900" s="24"/>
      <c r="K900" s="24"/>
    </row>
    <row r="901">
      <c r="A901" s="22"/>
      <c r="C901" s="23"/>
      <c r="G901" s="22"/>
      <c r="H901" s="9"/>
      <c r="I901" s="9"/>
      <c r="J901" s="24"/>
      <c r="K901" s="24"/>
    </row>
    <row r="902">
      <c r="A902" s="22"/>
      <c r="C902" s="23"/>
      <c r="G902" s="22"/>
      <c r="H902" s="9"/>
      <c r="I902" s="9"/>
      <c r="J902" s="24"/>
      <c r="K902" s="24"/>
    </row>
    <row r="903">
      <c r="A903" s="22"/>
      <c r="C903" s="23"/>
      <c r="G903" s="22"/>
      <c r="H903" s="9"/>
      <c r="I903" s="9"/>
      <c r="J903" s="24"/>
      <c r="K903" s="24"/>
    </row>
    <row r="904">
      <c r="A904" s="22"/>
      <c r="C904" s="23"/>
      <c r="G904" s="22"/>
      <c r="H904" s="9"/>
      <c r="I904" s="9"/>
      <c r="J904" s="24"/>
      <c r="K904" s="24"/>
    </row>
    <row r="905">
      <c r="A905" s="22"/>
      <c r="C905" s="23"/>
      <c r="G905" s="22"/>
      <c r="H905" s="9"/>
      <c r="I905" s="9"/>
      <c r="J905" s="24"/>
      <c r="K905" s="24"/>
    </row>
    <row r="906">
      <c r="A906" s="22"/>
      <c r="C906" s="23"/>
      <c r="G906" s="22"/>
      <c r="H906" s="9"/>
      <c r="I906" s="9"/>
      <c r="J906" s="24"/>
      <c r="K906" s="24"/>
    </row>
    <row r="907">
      <c r="A907" s="22"/>
      <c r="C907" s="23"/>
      <c r="G907" s="22"/>
      <c r="H907" s="9"/>
      <c r="I907" s="9"/>
      <c r="J907" s="24"/>
      <c r="K907" s="24"/>
    </row>
    <row r="908">
      <c r="A908" s="22"/>
      <c r="C908" s="23"/>
      <c r="G908" s="22"/>
      <c r="H908" s="9"/>
      <c r="I908" s="9"/>
      <c r="J908" s="24"/>
      <c r="K908" s="24"/>
    </row>
    <row r="909">
      <c r="A909" s="22"/>
      <c r="C909" s="23"/>
      <c r="G909" s="22"/>
      <c r="H909" s="9"/>
      <c r="I909" s="9"/>
      <c r="J909" s="24"/>
      <c r="K909" s="24"/>
    </row>
    <row r="910">
      <c r="A910" s="22"/>
      <c r="C910" s="23"/>
      <c r="G910" s="22"/>
      <c r="H910" s="9"/>
      <c r="I910" s="9"/>
      <c r="J910" s="24"/>
      <c r="K910" s="24"/>
    </row>
    <row r="911">
      <c r="A911" s="22"/>
      <c r="C911" s="23"/>
      <c r="G911" s="22"/>
      <c r="H911" s="9"/>
      <c r="I911" s="9"/>
      <c r="J911" s="24"/>
      <c r="K911" s="24"/>
    </row>
    <row r="912">
      <c r="A912" s="22"/>
      <c r="C912" s="23"/>
      <c r="G912" s="22"/>
      <c r="H912" s="9"/>
      <c r="I912" s="9"/>
      <c r="J912" s="24"/>
      <c r="K912" s="24"/>
    </row>
    <row r="913">
      <c r="A913" s="22"/>
      <c r="C913" s="23"/>
      <c r="G913" s="22"/>
      <c r="H913" s="9"/>
      <c r="I913" s="9"/>
      <c r="J913" s="24"/>
      <c r="K913" s="24"/>
    </row>
    <row r="914">
      <c r="A914" s="22"/>
      <c r="C914" s="23"/>
      <c r="G914" s="22"/>
      <c r="H914" s="9"/>
      <c r="I914" s="9"/>
      <c r="J914" s="24"/>
      <c r="K914" s="24"/>
    </row>
    <row r="915">
      <c r="A915" s="22"/>
      <c r="C915" s="23"/>
      <c r="G915" s="22"/>
      <c r="H915" s="9"/>
      <c r="I915" s="9"/>
      <c r="J915" s="24"/>
      <c r="K915" s="24"/>
    </row>
    <row r="916">
      <c r="A916" s="22"/>
      <c r="C916" s="23"/>
      <c r="G916" s="22"/>
      <c r="H916" s="9"/>
      <c r="I916" s="9"/>
      <c r="J916" s="24"/>
      <c r="K916" s="24"/>
    </row>
    <row r="917">
      <c r="A917" s="22"/>
      <c r="C917" s="23"/>
      <c r="G917" s="22"/>
      <c r="H917" s="9"/>
      <c r="I917" s="9"/>
      <c r="J917" s="24"/>
      <c r="K917" s="24"/>
    </row>
    <row r="918">
      <c r="A918" s="22"/>
      <c r="C918" s="23"/>
      <c r="G918" s="22"/>
      <c r="H918" s="9"/>
      <c r="I918" s="9"/>
      <c r="J918" s="24"/>
      <c r="K918" s="24"/>
    </row>
    <row r="919">
      <c r="A919" s="22"/>
      <c r="C919" s="23"/>
      <c r="G919" s="22"/>
      <c r="H919" s="9"/>
      <c r="I919" s="9"/>
      <c r="J919" s="24"/>
      <c r="K919" s="24"/>
    </row>
    <row r="920">
      <c r="A920" s="22"/>
      <c r="C920" s="23"/>
      <c r="G920" s="22"/>
      <c r="H920" s="9"/>
      <c r="I920" s="9"/>
      <c r="J920" s="24"/>
      <c r="K920" s="24"/>
    </row>
    <row r="921">
      <c r="A921" s="22"/>
      <c r="C921" s="23"/>
      <c r="G921" s="22"/>
      <c r="H921" s="9"/>
      <c r="I921" s="9"/>
      <c r="J921" s="24"/>
      <c r="K921" s="24"/>
    </row>
    <row r="922">
      <c r="A922" s="22"/>
      <c r="C922" s="23"/>
      <c r="G922" s="22"/>
      <c r="H922" s="9"/>
      <c r="I922" s="9"/>
      <c r="J922" s="24"/>
      <c r="K922" s="24"/>
    </row>
    <row r="923">
      <c r="A923" s="22"/>
      <c r="C923" s="23"/>
      <c r="G923" s="22"/>
      <c r="H923" s="9"/>
      <c r="I923" s="9"/>
      <c r="J923" s="24"/>
      <c r="K923" s="24"/>
    </row>
    <row r="924">
      <c r="A924" s="22"/>
      <c r="C924" s="23"/>
      <c r="G924" s="22"/>
      <c r="H924" s="9"/>
      <c r="I924" s="9"/>
      <c r="J924" s="24"/>
      <c r="K924" s="24"/>
    </row>
    <row r="925">
      <c r="A925" s="22"/>
      <c r="C925" s="23"/>
      <c r="G925" s="22"/>
      <c r="H925" s="9"/>
      <c r="I925" s="9"/>
      <c r="J925" s="24"/>
      <c r="K925" s="24"/>
    </row>
    <row r="926">
      <c r="A926" s="22"/>
      <c r="C926" s="23"/>
      <c r="G926" s="22"/>
      <c r="H926" s="9"/>
      <c r="I926" s="9"/>
      <c r="J926" s="24"/>
      <c r="K926" s="24"/>
    </row>
    <row r="927">
      <c r="A927" s="22"/>
      <c r="C927" s="23"/>
      <c r="G927" s="22"/>
      <c r="H927" s="9"/>
      <c r="I927" s="9"/>
      <c r="J927" s="24"/>
      <c r="K927" s="24"/>
    </row>
    <row r="928">
      <c r="A928" s="22"/>
      <c r="C928" s="23"/>
      <c r="G928" s="22"/>
      <c r="H928" s="9"/>
      <c r="I928" s="9"/>
      <c r="J928" s="24"/>
      <c r="K928" s="24"/>
    </row>
    <row r="929">
      <c r="A929" s="22"/>
      <c r="C929" s="23"/>
      <c r="G929" s="22"/>
      <c r="H929" s="9"/>
      <c r="I929" s="9"/>
      <c r="J929" s="24"/>
      <c r="K929" s="24"/>
    </row>
    <row r="930">
      <c r="A930" s="22"/>
      <c r="C930" s="23"/>
      <c r="G930" s="22"/>
      <c r="H930" s="9"/>
      <c r="I930" s="9"/>
      <c r="J930" s="24"/>
      <c r="K930" s="24"/>
    </row>
    <row r="931">
      <c r="A931" s="22"/>
      <c r="C931" s="23"/>
      <c r="G931" s="22"/>
      <c r="H931" s="9"/>
      <c r="I931" s="9"/>
      <c r="J931" s="24"/>
      <c r="K931" s="24"/>
    </row>
    <row r="932">
      <c r="A932" s="22"/>
      <c r="C932" s="23"/>
      <c r="G932" s="22"/>
      <c r="H932" s="9"/>
      <c r="I932" s="9"/>
      <c r="J932" s="24"/>
      <c r="K932" s="24"/>
    </row>
    <row r="933">
      <c r="A933" s="22"/>
      <c r="C933" s="23"/>
      <c r="G933" s="22"/>
      <c r="H933" s="9"/>
      <c r="I933" s="9"/>
      <c r="J933" s="24"/>
      <c r="K933" s="24"/>
    </row>
    <row r="934">
      <c r="A934" s="22"/>
      <c r="C934" s="23"/>
      <c r="G934" s="22"/>
      <c r="H934" s="9"/>
      <c r="I934" s="9"/>
      <c r="J934" s="24"/>
      <c r="K934" s="24"/>
    </row>
    <row r="935">
      <c r="A935" s="22"/>
      <c r="C935" s="23"/>
      <c r="G935" s="22"/>
      <c r="H935" s="9"/>
      <c r="I935" s="9"/>
      <c r="J935" s="24"/>
      <c r="K935" s="24"/>
    </row>
    <row r="936">
      <c r="A936" s="22"/>
      <c r="C936" s="23"/>
      <c r="G936" s="22"/>
      <c r="H936" s="9"/>
      <c r="I936" s="9"/>
      <c r="J936" s="24"/>
      <c r="K936" s="24"/>
    </row>
    <row r="937">
      <c r="A937" s="22"/>
      <c r="C937" s="23"/>
      <c r="G937" s="22"/>
      <c r="H937" s="9"/>
      <c r="I937" s="9"/>
      <c r="J937" s="24"/>
      <c r="K937" s="24"/>
    </row>
    <row r="938">
      <c r="A938" s="22"/>
      <c r="C938" s="23"/>
      <c r="G938" s="22"/>
      <c r="H938" s="9"/>
      <c r="I938" s="9"/>
      <c r="J938" s="24"/>
      <c r="K938" s="24"/>
    </row>
    <row r="939">
      <c r="A939" s="22"/>
      <c r="C939" s="23"/>
      <c r="G939" s="22"/>
      <c r="H939" s="9"/>
      <c r="I939" s="9"/>
      <c r="J939" s="24"/>
      <c r="K939" s="24"/>
    </row>
    <row r="940">
      <c r="A940" s="22"/>
      <c r="C940" s="23"/>
      <c r="G940" s="22"/>
      <c r="H940" s="9"/>
      <c r="I940" s="9"/>
      <c r="J940" s="24"/>
      <c r="K940" s="24"/>
    </row>
    <row r="941">
      <c r="A941" s="22"/>
      <c r="C941" s="23"/>
      <c r="G941" s="22"/>
      <c r="H941" s="9"/>
      <c r="I941" s="9"/>
      <c r="J941" s="24"/>
      <c r="K941" s="24"/>
    </row>
    <row r="942">
      <c r="A942" s="22"/>
      <c r="C942" s="23"/>
      <c r="G942" s="22"/>
      <c r="H942" s="9"/>
      <c r="I942" s="9"/>
      <c r="J942" s="24"/>
      <c r="K942" s="24"/>
    </row>
    <row r="943">
      <c r="A943" s="22"/>
      <c r="C943" s="23"/>
      <c r="G943" s="22"/>
      <c r="H943" s="9"/>
      <c r="I943" s="9"/>
      <c r="J943" s="24"/>
      <c r="K943" s="24"/>
    </row>
    <row r="944">
      <c r="A944" s="22"/>
      <c r="C944" s="23"/>
      <c r="G944" s="22"/>
      <c r="H944" s="9"/>
      <c r="I944" s="9"/>
      <c r="J944" s="24"/>
      <c r="K944" s="24"/>
    </row>
    <row r="945">
      <c r="A945" s="22"/>
      <c r="C945" s="23"/>
      <c r="G945" s="22"/>
      <c r="H945" s="9"/>
      <c r="I945" s="9"/>
      <c r="J945" s="24"/>
      <c r="K945" s="24"/>
    </row>
    <row r="946">
      <c r="A946" s="22"/>
      <c r="C946" s="23"/>
      <c r="G946" s="22"/>
      <c r="H946" s="9"/>
      <c r="I946" s="9"/>
      <c r="J946" s="24"/>
      <c r="K946" s="24"/>
    </row>
    <row r="947">
      <c r="A947" s="22"/>
      <c r="C947" s="23"/>
      <c r="G947" s="22"/>
      <c r="H947" s="9"/>
      <c r="I947" s="9"/>
      <c r="J947" s="24"/>
      <c r="K947" s="24"/>
    </row>
    <row r="948">
      <c r="A948" s="22"/>
      <c r="C948" s="23"/>
      <c r="G948" s="22"/>
      <c r="H948" s="9"/>
      <c r="I948" s="9"/>
      <c r="J948" s="24"/>
      <c r="K948" s="24"/>
    </row>
    <row r="949">
      <c r="A949" s="22"/>
      <c r="C949" s="23"/>
      <c r="G949" s="22"/>
      <c r="H949" s="9"/>
      <c r="I949" s="9"/>
      <c r="J949" s="24"/>
      <c r="K949" s="24"/>
    </row>
    <row r="950">
      <c r="A950" s="22"/>
      <c r="C950" s="23"/>
      <c r="G950" s="22"/>
      <c r="H950" s="9"/>
      <c r="I950" s="9"/>
      <c r="J950" s="24"/>
      <c r="K950" s="24"/>
    </row>
    <row r="951">
      <c r="A951" s="22"/>
      <c r="C951" s="23"/>
      <c r="G951" s="22"/>
      <c r="H951" s="9"/>
      <c r="I951" s="9"/>
      <c r="J951" s="24"/>
      <c r="K951" s="24"/>
    </row>
    <row r="952">
      <c r="A952" s="22"/>
      <c r="C952" s="23"/>
      <c r="G952" s="22"/>
      <c r="H952" s="9"/>
      <c r="I952" s="9"/>
      <c r="J952" s="24"/>
      <c r="K952" s="24"/>
    </row>
    <row r="953">
      <c r="A953" s="22"/>
      <c r="C953" s="23"/>
      <c r="G953" s="22"/>
      <c r="H953" s="9"/>
      <c r="I953" s="9"/>
      <c r="J953" s="24"/>
      <c r="K953" s="24"/>
    </row>
    <row r="954">
      <c r="A954" s="22"/>
      <c r="C954" s="23"/>
      <c r="G954" s="22"/>
      <c r="H954" s="9"/>
      <c r="I954" s="9"/>
      <c r="J954" s="24"/>
      <c r="K954" s="24"/>
    </row>
    <row r="955">
      <c r="A955" s="22"/>
      <c r="C955" s="23"/>
      <c r="G955" s="22"/>
      <c r="H955" s="9"/>
      <c r="I955" s="9"/>
      <c r="J955" s="24"/>
      <c r="K955" s="24"/>
    </row>
    <row r="956">
      <c r="A956" s="22"/>
      <c r="C956" s="23"/>
      <c r="G956" s="22"/>
      <c r="H956" s="9"/>
      <c r="I956" s="9"/>
      <c r="J956" s="24"/>
      <c r="K956" s="24"/>
    </row>
    <row r="957">
      <c r="A957" s="22"/>
      <c r="C957" s="23"/>
      <c r="G957" s="22"/>
      <c r="H957" s="9"/>
      <c r="I957" s="9"/>
      <c r="J957" s="24"/>
      <c r="K957" s="24"/>
    </row>
    <row r="958">
      <c r="A958" s="22"/>
      <c r="C958" s="23"/>
      <c r="G958" s="22"/>
      <c r="H958" s="9"/>
      <c r="I958" s="9"/>
      <c r="J958" s="24"/>
      <c r="K958" s="24"/>
    </row>
    <row r="959">
      <c r="A959" s="22"/>
      <c r="C959" s="23"/>
      <c r="G959" s="22"/>
      <c r="H959" s="9"/>
      <c r="I959" s="9"/>
      <c r="J959" s="24"/>
      <c r="K959" s="24"/>
    </row>
    <row r="960">
      <c r="A960" s="22"/>
      <c r="C960" s="23"/>
      <c r="G960" s="22"/>
      <c r="H960" s="9"/>
      <c r="I960" s="9"/>
      <c r="J960" s="24"/>
      <c r="K960" s="24"/>
    </row>
    <row r="961">
      <c r="A961" s="22"/>
      <c r="C961" s="23"/>
      <c r="G961" s="22"/>
      <c r="H961" s="9"/>
      <c r="I961" s="9"/>
      <c r="J961" s="24"/>
      <c r="K961" s="24"/>
    </row>
    <row r="962">
      <c r="A962" s="22"/>
      <c r="C962" s="23"/>
      <c r="G962" s="22"/>
      <c r="H962" s="9"/>
      <c r="I962" s="9"/>
      <c r="J962" s="24"/>
      <c r="K962" s="24"/>
    </row>
    <row r="963">
      <c r="A963" s="22"/>
      <c r="C963" s="23"/>
      <c r="G963" s="22"/>
      <c r="H963" s="9"/>
      <c r="I963" s="9"/>
      <c r="J963" s="24"/>
      <c r="K963" s="24"/>
    </row>
    <row r="964">
      <c r="A964" s="22"/>
      <c r="C964" s="23"/>
      <c r="G964" s="22"/>
      <c r="H964" s="9"/>
      <c r="I964" s="9"/>
      <c r="J964" s="24"/>
      <c r="K964" s="24"/>
    </row>
    <row r="965">
      <c r="A965" s="22"/>
      <c r="C965" s="23"/>
      <c r="G965" s="22"/>
      <c r="H965" s="9"/>
      <c r="I965" s="9"/>
      <c r="J965" s="24"/>
      <c r="K965" s="24"/>
    </row>
    <row r="966">
      <c r="A966" s="22"/>
      <c r="C966" s="23"/>
      <c r="G966" s="22"/>
      <c r="H966" s="9"/>
      <c r="I966" s="9"/>
      <c r="J966" s="24"/>
      <c r="K966" s="24"/>
    </row>
    <row r="967">
      <c r="A967" s="22"/>
      <c r="C967" s="23"/>
      <c r="G967" s="22"/>
      <c r="H967" s="9"/>
      <c r="I967" s="9"/>
      <c r="J967" s="24"/>
      <c r="K967" s="24"/>
    </row>
    <row r="968">
      <c r="A968" s="22"/>
      <c r="C968" s="23"/>
      <c r="G968" s="22"/>
      <c r="H968" s="9"/>
      <c r="I968" s="9"/>
      <c r="J968" s="24"/>
      <c r="K968" s="24"/>
    </row>
    <row r="969">
      <c r="A969" s="22"/>
      <c r="C969" s="23"/>
      <c r="G969" s="22"/>
      <c r="H969" s="9"/>
      <c r="I969" s="9"/>
      <c r="J969" s="24"/>
      <c r="K969" s="24"/>
    </row>
    <row r="970">
      <c r="A970" s="22"/>
      <c r="C970" s="23"/>
      <c r="G970" s="22"/>
      <c r="H970" s="9"/>
      <c r="I970" s="9"/>
      <c r="J970" s="24"/>
      <c r="K970" s="24"/>
    </row>
    <row r="971">
      <c r="A971" s="22"/>
      <c r="C971" s="23"/>
      <c r="G971" s="22"/>
      <c r="H971" s="9"/>
      <c r="I971" s="9"/>
      <c r="J971" s="24"/>
      <c r="K971" s="24"/>
    </row>
    <row r="972">
      <c r="A972" s="22"/>
      <c r="C972" s="23"/>
      <c r="G972" s="22"/>
      <c r="H972" s="9"/>
      <c r="I972" s="9"/>
      <c r="J972" s="24"/>
      <c r="K972" s="24"/>
    </row>
    <row r="973">
      <c r="A973" s="22"/>
      <c r="C973" s="23"/>
      <c r="G973" s="22"/>
      <c r="H973" s="9"/>
      <c r="I973" s="9"/>
      <c r="J973" s="24"/>
      <c r="K973" s="24"/>
    </row>
    <row r="974">
      <c r="A974" s="22"/>
      <c r="C974" s="23"/>
      <c r="G974" s="22"/>
      <c r="H974" s="9"/>
      <c r="I974" s="9"/>
      <c r="J974" s="24"/>
      <c r="K974" s="24"/>
    </row>
    <row r="975">
      <c r="A975" s="22"/>
      <c r="C975" s="23"/>
      <c r="G975" s="22"/>
      <c r="H975" s="9"/>
      <c r="I975" s="9"/>
      <c r="J975" s="24"/>
      <c r="K975" s="24"/>
    </row>
    <row r="976">
      <c r="A976" s="22"/>
      <c r="C976" s="23"/>
      <c r="G976" s="22"/>
      <c r="H976" s="9"/>
      <c r="I976" s="9"/>
      <c r="J976" s="24"/>
      <c r="K976" s="24"/>
    </row>
    <row r="977">
      <c r="A977" s="22"/>
      <c r="C977" s="23"/>
      <c r="G977" s="22"/>
      <c r="H977" s="9"/>
      <c r="I977" s="9"/>
      <c r="J977" s="24"/>
      <c r="K977" s="24"/>
    </row>
    <row r="978">
      <c r="A978" s="22"/>
      <c r="C978" s="23"/>
      <c r="G978" s="22"/>
      <c r="H978" s="9"/>
      <c r="I978" s="9"/>
      <c r="J978" s="24"/>
      <c r="K978" s="24"/>
    </row>
    <row r="979">
      <c r="A979" s="22"/>
      <c r="C979" s="23"/>
      <c r="G979" s="22"/>
      <c r="H979" s="9"/>
      <c r="I979" s="9"/>
      <c r="J979" s="24"/>
      <c r="K979" s="24"/>
    </row>
    <row r="980">
      <c r="A980" s="22"/>
      <c r="C980" s="23"/>
      <c r="G980" s="22"/>
      <c r="H980" s="9"/>
      <c r="I980" s="9"/>
      <c r="J980" s="24"/>
      <c r="K980" s="24"/>
    </row>
    <row r="981">
      <c r="A981" s="22"/>
      <c r="C981" s="23"/>
      <c r="G981" s="22"/>
      <c r="H981" s="9"/>
      <c r="I981" s="9"/>
      <c r="J981" s="24"/>
      <c r="K981" s="24"/>
    </row>
    <row r="982">
      <c r="A982" s="22"/>
      <c r="C982" s="23"/>
      <c r="G982" s="22"/>
      <c r="H982" s="9"/>
      <c r="I982" s="9"/>
      <c r="J982" s="24"/>
      <c r="K982" s="24"/>
    </row>
    <row r="983">
      <c r="A983" s="22"/>
      <c r="C983" s="23"/>
      <c r="G983" s="22"/>
      <c r="H983" s="9"/>
      <c r="I983" s="9"/>
      <c r="J983" s="24"/>
      <c r="K983" s="24"/>
    </row>
    <row r="984">
      <c r="A984" s="22"/>
      <c r="C984" s="23"/>
      <c r="G984" s="22"/>
      <c r="H984" s="9"/>
      <c r="I984" s="9"/>
      <c r="J984" s="24"/>
      <c r="K984" s="24"/>
    </row>
    <row r="985">
      <c r="A985" s="22"/>
      <c r="C985" s="23"/>
      <c r="G985" s="22"/>
      <c r="H985" s="9"/>
      <c r="I985" s="9"/>
      <c r="J985" s="24"/>
      <c r="K985" s="24"/>
    </row>
    <row r="986">
      <c r="A986" s="22"/>
      <c r="C986" s="23"/>
      <c r="G986" s="22"/>
      <c r="H986" s="9"/>
      <c r="I986" s="9"/>
      <c r="J986" s="24"/>
      <c r="K986" s="24"/>
    </row>
    <row r="987">
      <c r="A987" s="22"/>
      <c r="C987" s="23"/>
      <c r="G987" s="22"/>
      <c r="H987" s="9"/>
      <c r="I987" s="9"/>
      <c r="J987" s="24"/>
      <c r="K987" s="24"/>
    </row>
    <row r="988">
      <c r="A988" s="22"/>
      <c r="C988" s="23"/>
      <c r="G988" s="22"/>
      <c r="H988" s="9"/>
      <c r="I988" s="9"/>
      <c r="J988" s="24"/>
      <c r="K988" s="24"/>
    </row>
    <row r="989">
      <c r="A989" s="22"/>
      <c r="C989" s="23"/>
      <c r="G989" s="22"/>
      <c r="H989" s="9"/>
      <c r="I989" s="9"/>
      <c r="J989" s="24"/>
      <c r="K989" s="24"/>
    </row>
    <row r="990">
      <c r="A990" s="22"/>
      <c r="C990" s="23"/>
      <c r="G990" s="22"/>
      <c r="H990" s="9"/>
      <c r="I990" s="9"/>
      <c r="J990" s="24"/>
      <c r="K990" s="24"/>
    </row>
    <row r="991">
      <c r="A991" s="22"/>
      <c r="C991" s="23"/>
      <c r="G991" s="22"/>
      <c r="H991" s="9"/>
      <c r="I991" s="9"/>
      <c r="J991" s="24"/>
      <c r="K991" s="24"/>
    </row>
    <row r="992">
      <c r="A992" s="22"/>
      <c r="C992" s="23"/>
      <c r="G992" s="22"/>
      <c r="H992" s="9"/>
      <c r="I992" s="9"/>
      <c r="J992" s="24"/>
      <c r="K992" s="24"/>
    </row>
    <row r="993">
      <c r="A993" s="22"/>
      <c r="C993" s="23"/>
      <c r="G993" s="22"/>
      <c r="H993" s="9"/>
      <c r="I993" s="9"/>
      <c r="J993" s="24"/>
      <c r="K993" s="24"/>
    </row>
    <row r="994">
      <c r="A994" s="22"/>
      <c r="C994" s="23"/>
      <c r="G994" s="22"/>
      <c r="H994" s="9"/>
      <c r="I994" s="9"/>
      <c r="J994" s="24"/>
      <c r="K994" s="24"/>
    </row>
    <row r="995">
      <c r="A995" s="22"/>
      <c r="C995" s="23"/>
      <c r="G995" s="22"/>
      <c r="H995" s="9"/>
      <c r="I995" s="9"/>
      <c r="J995" s="24"/>
      <c r="K995" s="24"/>
    </row>
    <row r="996">
      <c r="A996" s="22"/>
      <c r="C996" s="23"/>
      <c r="G996" s="22"/>
      <c r="H996" s="9"/>
      <c r="I996" s="9"/>
      <c r="J996" s="24"/>
      <c r="K996" s="24"/>
    </row>
    <row r="997">
      <c r="A997" s="22"/>
      <c r="C997" s="23"/>
      <c r="G997" s="22"/>
      <c r="H997" s="9"/>
      <c r="I997" s="9"/>
      <c r="J997" s="24"/>
      <c r="K997" s="24"/>
    </row>
    <row r="998">
      <c r="A998" s="22"/>
      <c r="C998" s="23"/>
      <c r="G998" s="22"/>
      <c r="H998" s="9"/>
      <c r="I998" s="9"/>
      <c r="J998" s="24"/>
      <c r="K998" s="24"/>
    </row>
    <row r="999">
      <c r="A999" s="22"/>
      <c r="C999" s="23"/>
      <c r="G999" s="22"/>
      <c r="H999" s="9"/>
      <c r="I999" s="9"/>
      <c r="J999" s="24"/>
      <c r="K999" s="24"/>
    </row>
    <row r="1000">
      <c r="A1000" s="22"/>
      <c r="C1000" s="23"/>
      <c r="G1000" s="22"/>
      <c r="H1000" s="9"/>
      <c r="I1000" s="9"/>
      <c r="J1000" s="24"/>
      <c r="K1000" s="24"/>
    </row>
    <row r="1001">
      <c r="A1001" s="22"/>
      <c r="C1001" s="23"/>
      <c r="G1001" s="22"/>
      <c r="H1001" s="9"/>
      <c r="I1001" s="9"/>
      <c r="J1001" s="24"/>
      <c r="K1001" s="24"/>
    </row>
    <row r="1002">
      <c r="A1002" s="22"/>
      <c r="C1002" s="23"/>
      <c r="G1002" s="22"/>
      <c r="H1002" s="9"/>
      <c r="I1002" s="9"/>
      <c r="J1002" s="24"/>
      <c r="K1002" s="24"/>
    </row>
    <row r="1003">
      <c r="A1003" s="22"/>
      <c r="C1003" s="23"/>
      <c r="G1003" s="22"/>
      <c r="H1003" s="9"/>
      <c r="I1003" s="9"/>
      <c r="J1003" s="24"/>
      <c r="K1003" s="24"/>
    </row>
    <row r="1004">
      <c r="A1004" s="22"/>
      <c r="C1004" s="23"/>
      <c r="G1004" s="22"/>
      <c r="H1004" s="9"/>
      <c r="I1004" s="9"/>
      <c r="J1004" s="24"/>
      <c r="K1004" s="24"/>
    </row>
    <row r="1005">
      <c r="A1005" s="22"/>
      <c r="C1005" s="23"/>
      <c r="G1005" s="22"/>
      <c r="H1005" s="9"/>
      <c r="I1005" s="9"/>
      <c r="J1005" s="24"/>
      <c r="K1005" s="24"/>
    </row>
    <row r="1006">
      <c r="A1006" s="22"/>
      <c r="C1006" s="23"/>
      <c r="G1006" s="22"/>
      <c r="H1006" s="9"/>
      <c r="I1006" s="9"/>
      <c r="J1006" s="24"/>
      <c r="K1006" s="24"/>
    </row>
    <row r="1007">
      <c r="A1007" s="22"/>
      <c r="C1007" s="23"/>
      <c r="G1007" s="22"/>
      <c r="H1007" s="9"/>
      <c r="I1007" s="9"/>
      <c r="J1007" s="24"/>
      <c r="K1007" s="24"/>
    </row>
    <row r="1008">
      <c r="A1008" s="22"/>
      <c r="C1008" s="23"/>
      <c r="G1008" s="22"/>
      <c r="H1008" s="9"/>
      <c r="I1008" s="9"/>
      <c r="J1008" s="24"/>
      <c r="K1008" s="24"/>
    </row>
    <row r="1009">
      <c r="A1009" s="22"/>
      <c r="C1009" s="23"/>
      <c r="G1009" s="22"/>
      <c r="H1009" s="9"/>
      <c r="I1009" s="9"/>
      <c r="J1009" s="24"/>
      <c r="K1009" s="24"/>
    </row>
    <row r="1010">
      <c r="A1010" s="22"/>
      <c r="C1010" s="23"/>
      <c r="G1010" s="22"/>
      <c r="H1010" s="9"/>
      <c r="I1010" s="9"/>
      <c r="J1010" s="24"/>
      <c r="K1010" s="24"/>
    </row>
    <row r="1011">
      <c r="A1011" s="22"/>
      <c r="C1011" s="23"/>
      <c r="G1011" s="22"/>
      <c r="H1011" s="9"/>
      <c r="I1011" s="9"/>
      <c r="J1011" s="24"/>
      <c r="K1011" s="24"/>
    </row>
    <row r="1012">
      <c r="A1012" s="22"/>
      <c r="C1012" s="23"/>
      <c r="G1012" s="22"/>
      <c r="H1012" s="9"/>
      <c r="I1012" s="9"/>
      <c r="J1012" s="24"/>
      <c r="K1012" s="24"/>
    </row>
    <row r="1013">
      <c r="A1013" s="22"/>
      <c r="C1013" s="23"/>
      <c r="G1013" s="22"/>
      <c r="H1013" s="9"/>
      <c r="I1013" s="9"/>
      <c r="J1013" s="24"/>
      <c r="K1013" s="24"/>
    </row>
    <row r="1014">
      <c r="A1014" s="22"/>
      <c r="C1014" s="23"/>
      <c r="G1014" s="22"/>
      <c r="H1014" s="9"/>
      <c r="I1014" s="9"/>
      <c r="J1014" s="24"/>
      <c r="K1014" s="24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D20"/>
    <hyperlink r:id="rId20" ref="F20"/>
    <hyperlink r:id="rId21" ref="J20"/>
    <hyperlink r:id="rId22" ref="M20"/>
    <hyperlink r:id="rId23" ref="D21"/>
    <hyperlink r:id="rId24" ref="F21"/>
    <hyperlink r:id="rId25" ref="J21"/>
    <hyperlink r:id="rId26" ref="M21"/>
    <hyperlink r:id="rId27" ref="D22"/>
    <hyperlink r:id="rId28" ref="F22"/>
    <hyperlink r:id="rId29" ref="J22"/>
    <hyperlink r:id="rId30" ref="M22"/>
    <hyperlink r:id="rId31" ref="D23"/>
    <hyperlink r:id="rId32" ref="F23"/>
    <hyperlink r:id="rId33" ref="J23"/>
    <hyperlink r:id="rId34" ref="M23"/>
    <hyperlink r:id="rId35" ref="D24"/>
    <hyperlink r:id="rId36" ref="F24"/>
    <hyperlink r:id="rId37" ref="J24"/>
    <hyperlink r:id="rId38" ref="M24"/>
    <hyperlink r:id="rId39" ref="D25"/>
    <hyperlink r:id="rId40" ref="F25"/>
    <hyperlink r:id="rId41" ref="J25"/>
    <hyperlink r:id="rId42" ref="M25"/>
    <hyperlink r:id="rId43" ref="D26"/>
    <hyperlink r:id="rId44" ref="F26"/>
    <hyperlink r:id="rId45" ref="J26"/>
    <hyperlink r:id="rId46" ref="M26"/>
    <hyperlink r:id="rId47" ref="D27"/>
    <hyperlink r:id="rId48" ref="F27"/>
    <hyperlink r:id="rId49" ref="J27"/>
    <hyperlink r:id="rId50" ref="M27"/>
    <hyperlink r:id="rId51" ref="D28"/>
    <hyperlink r:id="rId52" ref="F28"/>
    <hyperlink r:id="rId53" ref="J28"/>
    <hyperlink r:id="rId54" ref="M28"/>
    <hyperlink r:id="rId55" ref="D29"/>
    <hyperlink r:id="rId56" ref="F29"/>
    <hyperlink r:id="rId57" ref="J29"/>
    <hyperlink r:id="rId58" ref="M29"/>
    <hyperlink r:id="rId59" ref="D30"/>
    <hyperlink r:id="rId60" ref="F30"/>
    <hyperlink r:id="rId61" ref="J30"/>
    <hyperlink r:id="rId62" ref="M30"/>
    <hyperlink r:id="rId63" ref="D31"/>
    <hyperlink r:id="rId64" ref="F31"/>
    <hyperlink r:id="rId65" ref="J31"/>
    <hyperlink r:id="rId66" ref="M31"/>
    <hyperlink r:id="rId67" ref="D32"/>
    <hyperlink r:id="rId68" ref="F32"/>
    <hyperlink r:id="rId69" ref="J32"/>
    <hyperlink r:id="rId70" ref="M32"/>
    <hyperlink r:id="rId71" ref="D33"/>
    <hyperlink r:id="rId72" ref="F33"/>
    <hyperlink r:id="rId73" ref="J33"/>
    <hyperlink r:id="rId74" ref="M33"/>
    <hyperlink r:id="rId75" ref="D34"/>
    <hyperlink r:id="rId76" ref="F34"/>
    <hyperlink r:id="rId77" ref="J34"/>
    <hyperlink r:id="rId78" ref="M34"/>
    <hyperlink r:id="rId79" ref="D35"/>
    <hyperlink r:id="rId80" ref="F35"/>
    <hyperlink r:id="rId81" ref="J35"/>
    <hyperlink r:id="rId82" ref="M35"/>
    <hyperlink r:id="rId83" ref="D36"/>
    <hyperlink r:id="rId84" ref="F36"/>
    <hyperlink r:id="rId85" ref="J36"/>
    <hyperlink r:id="rId86" ref="M36"/>
    <hyperlink r:id="rId87" ref="D37"/>
    <hyperlink r:id="rId88" ref="F37"/>
    <hyperlink r:id="rId89" ref="J37"/>
    <hyperlink r:id="rId90" ref="M37"/>
    <hyperlink r:id="rId91" ref="D38"/>
    <hyperlink r:id="rId92" ref="F38"/>
    <hyperlink r:id="rId93" ref="J38"/>
    <hyperlink r:id="rId94" ref="M38"/>
    <hyperlink r:id="rId95" ref="D39"/>
    <hyperlink r:id="rId96" ref="F39"/>
    <hyperlink r:id="rId97" ref="J39"/>
    <hyperlink r:id="rId98" ref="M39"/>
    <hyperlink r:id="rId99" ref="D40"/>
    <hyperlink r:id="rId100" ref="F40"/>
    <hyperlink r:id="rId101" ref="J40"/>
    <hyperlink r:id="rId102" ref="M40"/>
    <hyperlink r:id="rId103" ref="D41"/>
    <hyperlink r:id="rId104" ref="F41"/>
    <hyperlink r:id="rId105" ref="J41"/>
    <hyperlink r:id="rId106" ref="M41"/>
    <hyperlink r:id="rId107" ref="D42"/>
    <hyperlink r:id="rId108" ref="F42"/>
    <hyperlink r:id="rId109" ref="J42"/>
    <hyperlink r:id="rId110" ref="M42"/>
    <hyperlink r:id="rId111" ref="D43"/>
    <hyperlink r:id="rId112" ref="F43"/>
    <hyperlink r:id="rId113" ref="J43"/>
    <hyperlink r:id="rId114" ref="M43"/>
    <hyperlink r:id="rId115" ref="D44"/>
    <hyperlink r:id="rId116" ref="F44"/>
    <hyperlink r:id="rId117" ref="J44"/>
    <hyperlink r:id="rId118" ref="M44"/>
    <hyperlink r:id="rId119" ref="D45"/>
    <hyperlink r:id="rId120" ref="F45"/>
    <hyperlink r:id="rId121" ref="J45"/>
    <hyperlink r:id="rId122" ref="M45"/>
    <hyperlink r:id="rId123" ref="D46"/>
    <hyperlink r:id="rId124" ref="F46"/>
    <hyperlink r:id="rId125" ref="J46"/>
    <hyperlink r:id="rId126" ref="M46"/>
    <hyperlink r:id="rId127" ref="D47"/>
    <hyperlink r:id="rId128" ref="F47"/>
    <hyperlink r:id="rId129" ref="J47"/>
    <hyperlink r:id="rId130" ref="M47"/>
    <hyperlink r:id="rId131" ref="D48"/>
    <hyperlink r:id="rId132" ref="F48"/>
    <hyperlink r:id="rId133" ref="J48"/>
    <hyperlink r:id="rId134" ref="M48"/>
    <hyperlink r:id="rId135" ref="D49"/>
    <hyperlink r:id="rId136" ref="F49"/>
    <hyperlink r:id="rId137" ref="J49"/>
    <hyperlink r:id="rId138" ref="M49"/>
    <hyperlink r:id="rId139" ref="D50"/>
    <hyperlink r:id="rId140" ref="F50"/>
    <hyperlink r:id="rId141" ref="J50"/>
    <hyperlink r:id="rId142" ref="M50"/>
    <hyperlink r:id="rId143" ref="D51"/>
    <hyperlink r:id="rId144" ref="F51"/>
    <hyperlink r:id="rId145" ref="J51"/>
    <hyperlink r:id="rId146" ref="M51"/>
    <hyperlink r:id="rId147" ref="D52"/>
    <hyperlink r:id="rId148" ref="F52"/>
    <hyperlink r:id="rId149" ref="J52"/>
    <hyperlink r:id="rId150" ref="M52"/>
    <hyperlink r:id="rId151" ref="D53"/>
    <hyperlink r:id="rId152" ref="F53"/>
    <hyperlink r:id="rId153" ref="J53"/>
    <hyperlink r:id="rId154" ref="M53"/>
    <hyperlink r:id="rId155" ref="D54"/>
    <hyperlink r:id="rId156" ref="F54"/>
    <hyperlink r:id="rId157" ref="J54"/>
    <hyperlink r:id="rId158" ref="M54"/>
    <hyperlink r:id="rId159" ref="D55"/>
    <hyperlink r:id="rId160" ref="F55"/>
    <hyperlink r:id="rId161" ref="J55"/>
    <hyperlink r:id="rId162" ref="M55"/>
    <hyperlink r:id="rId163" ref="D56"/>
    <hyperlink r:id="rId164" ref="F56"/>
    <hyperlink r:id="rId165" ref="J56"/>
    <hyperlink r:id="rId166" ref="M56"/>
    <hyperlink r:id="rId167" ref="D57"/>
    <hyperlink r:id="rId168" ref="F57"/>
    <hyperlink r:id="rId169" ref="J57"/>
    <hyperlink r:id="rId170" ref="M57"/>
    <hyperlink r:id="rId171" ref="D58"/>
    <hyperlink r:id="rId172" ref="F58"/>
    <hyperlink r:id="rId173" ref="J58"/>
    <hyperlink r:id="rId174" ref="M58"/>
    <hyperlink r:id="rId175" ref="D59"/>
    <hyperlink r:id="rId176" ref="F59"/>
    <hyperlink r:id="rId177" ref="J59"/>
    <hyperlink r:id="rId178" ref="M59"/>
    <hyperlink r:id="rId179" ref="D60"/>
    <hyperlink r:id="rId180" ref="F60"/>
    <hyperlink r:id="rId181" ref="J60"/>
    <hyperlink r:id="rId182" ref="M60"/>
    <hyperlink r:id="rId183" ref="D61"/>
    <hyperlink r:id="rId184" ref="F61"/>
    <hyperlink r:id="rId185" ref="J61"/>
    <hyperlink r:id="rId186" ref="M61"/>
    <hyperlink r:id="rId187" ref="D62"/>
    <hyperlink r:id="rId188" ref="F62"/>
    <hyperlink r:id="rId189" ref="J62"/>
    <hyperlink r:id="rId190" ref="M62"/>
    <hyperlink r:id="rId191" ref="D63"/>
    <hyperlink r:id="rId192" ref="F63"/>
    <hyperlink r:id="rId193" ref="J63"/>
    <hyperlink r:id="rId194" ref="M63"/>
    <hyperlink r:id="rId195" ref="D64"/>
    <hyperlink r:id="rId196" ref="F64"/>
    <hyperlink r:id="rId197" ref="J64"/>
    <hyperlink r:id="rId198" ref="M64"/>
    <hyperlink r:id="rId199" ref="D65"/>
    <hyperlink r:id="rId200" ref="F65"/>
    <hyperlink r:id="rId201" ref="J65"/>
    <hyperlink r:id="rId202" ref="M65"/>
    <hyperlink r:id="rId203" ref="D66"/>
    <hyperlink r:id="rId204" ref="F66"/>
    <hyperlink r:id="rId205" ref="J66"/>
    <hyperlink r:id="rId206" ref="M66"/>
    <hyperlink r:id="rId207" ref="D67"/>
    <hyperlink r:id="rId208" ref="F67"/>
    <hyperlink r:id="rId209" ref="J67"/>
    <hyperlink r:id="rId210" ref="M67"/>
    <hyperlink r:id="rId211" ref="D68"/>
    <hyperlink r:id="rId212" ref="F68"/>
    <hyperlink r:id="rId213" ref="J68"/>
    <hyperlink r:id="rId214" ref="M68"/>
    <hyperlink r:id="rId215" ref="D69"/>
    <hyperlink r:id="rId216" ref="F69"/>
    <hyperlink r:id="rId217" ref="J69"/>
    <hyperlink r:id="rId218" ref="M69"/>
    <hyperlink r:id="rId219" ref="D70"/>
    <hyperlink r:id="rId220" ref="F70"/>
    <hyperlink r:id="rId221" ref="J70"/>
    <hyperlink r:id="rId222" ref="M70"/>
    <hyperlink r:id="rId223" ref="D71"/>
    <hyperlink r:id="rId224" ref="F71"/>
    <hyperlink r:id="rId225" ref="J71"/>
    <hyperlink r:id="rId226" ref="M71"/>
    <hyperlink r:id="rId227" ref="D72"/>
    <hyperlink r:id="rId228" ref="F72"/>
    <hyperlink r:id="rId229" ref="J72"/>
    <hyperlink r:id="rId230" ref="M72"/>
    <hyperlink r:id="rId231" ref="D73"/>
    <hyperlink r:id="rId232" ref="F73"/>
    <hyperlink r:id="rId233" ref="J73"/>
    <hyperlink r:id="rId234" ref="M73"/>
    <hyperlink r:id="rId235" ref="D74"/>
    <hyperlink r:id="rId236" ref="F74"/>
    <hyperlink r:id="rId237" ref="J74"/>
    <hyperlink r:id="rId238" ref="M74"/>
    <hyperlink r:id="rId239" ref="D75"/>
    <hyperlink r:id="rId240" ref="F75"/>
    <hyperlink r:id="rId241" ref="J75"/>
    <hyperlink r:id="rId242" ref="M75"/>
    <hyperlink r:id="rId243" ref="D76"/>
    <hyperlink r:id="rId244" ref="F76"/>
    <hyperlink r:id="rId245" ref="J76"/>
    <hyperlink r:id="rId246" ref="M76"/>
    <hyperlink r:id="rId247" ref="D77"/>
    <hyperlink r:id="rId248" ref="F77"/>
    <hyperlink r:id="rId249" ref="J77"/>
    <hyperlink r:id="rId250" ref="M77"/>
    <hyperlink r:id="rId251" ref="D78"/>
    <hyperlink r:id="rId252" ref="F78"/>
    <hyperlink r:id="rId253" ref="J78"/>
    <hyperlink r:id="rId254" ref="M78"/>
    <hyperlink r:id="rId255" ref="D79"/>
    <hyperlink r:id="rId256" ref="F79"/>
    <hyperlink r:id="rId257" ref="J79"/>
    <hyperlink r:id="rId258" ref="M79"/>
    <hyperlink r:id="rId259" ref="D80"/>
    <hyperlink r:id="rId260" ref="F80"/>
    <hyperlink r:id="rId261" ref="J80"/>
    <hyperlink r:id="rId262" ref="M80"/>
    <hyperlink r:id="rId263" ref="D81"/>
    <hyperlink r:id="rId264" ref="F81"/>
    <hyperlink r:id="rId265" ref="J81"/>
    <hyperlink r:id="rId266" ref="M81"/>
    <hyperlink r:id="rId267" ref="D82"/>
    <hyperlink r:id="rId268" ref="F82"/>
    <hyperlink r:id="rId269" ref="J82"/>
    <hyperlink r:id="rId270" ref="M82"/>
    <hyperlink r:id="rId271" ref="D83"/>
    <hyperlink r:id="rId272" ref="F83"/>
    <hyperlink r:id="rId273" ref="J83"/>
    <hyperlink r:id="rId274" ref="M83"/>
    <hyperlink r:id="rId275" ref="D84"/>
    <hyperlink r:id="rId276" ref="F84"/>
    <hyperlink r:id="rId277" ref="J84"/>
    <hyperlink r:id="rId278" ref="M84"/>
    <hyperlink r:id="rId279" ref="D85"/>
    <hyperlink r:id="rId280" ref="F85"/>
    <hyperlink r:id="rId281" ref="J85"/>
    <hyperlink r:id="rId282" ref="M85"/>
    <hyperlink r:id="rId283" ref="D86"/>
    <hyperlink r:id="rId284" ref="F86"/>
    <hyperlink r:id="rId285" ref="J86"/>
    <hyperlink r:id="rId286" ref="M86"/>
    <hyperlink r:id="rId287" ref="D87"/>
    <hyperlink r:id="rId288" ref="F87"/>
    <hyperlink r:id="rId289" ref="J87"/>
    <hyperlink r:id="rId290" ref="M87"/>
    <hyperlink r:id="rId291" ref="D88"/>
    <hyperlink r:id="rId292" ref="F88"/>
    <hyperlink r:id="rId293" ref="J88"/>
    <hyperlink r:id="rId294" ref="M88"/>
    <hyperlink r:id="rId295" ref="D89"/>
    <hyperlink r:id="rId296" ref="F89"/>
    <hyperlink r:id="rId297" ref="J89"/>
    <hyperlink r:id="rId298" ref="M89"/>
    <hyperlink r:id="rId299" ref="D90"/>
    <hyperlink r:id="rId300" ref="F90"/>
    <hyperlink r:id="rId301" ref="J90"/>
    <hyperlink r:id="rId302" ref="M90"/>
    <hyperlink r:id="rId303" ref="D91"/>
    <hyperlink r:id="rId304" ref="F91"/>
    <hyperlink r:id="rId305" ref="J91"/>
    <hyperlink r:id="rId306" ref="M91"/>
    <hyperlink r:id="rId307" ref="D92"/>
    <hyperlink r:id="rId308" ref="F92"/>
    <hyperlink r:id="rId309" ref="J92"/>
    <hyperlink r:id="rId310" ref="M92"/>
    <hyperlink r:id="rId311" ref="D93"/>
    <hyperlink r:id="rId312" ref="F93"/>
    <hyperlink r:id="rId313" ref="J93"/>
    <hyperlink r:id="rId314" ref="M93"/>
    <hyperlink r:id="rId315" ref="D94"/>
    <hyperlink r:id="rId316" ref="F94"/>
    <hyperlink r:id="rId317" ref="J94"/>
    <hyperlink r:id="rId318" ref="M94"/>
    <hyperlink r:id="rId319" ref="D95"/>
    <hyperlink r:id="rId320" ref="F95"/>
    <hyperlink r:id="rId321" ref="J95"/>
    <hyperlink r:id="rId322" ref="M95"/>
    <hyperlink r:id="rId323" ref="D96"/>
    <hyperlink r:id="rId324" ref="F96"/>
    <hyperlink r:id="rId325" ref="J96"/>
    <hyperlink r:id="rId326" ref="M96"/>
    <hyperlink r:id="rId327" ref="D97"/>
    <hyperlink r:id="rId328" ref="F97"/>
    <hyperlink r:id="rId329" ref="J97"/>
    <hyperlink r:id="rId330" ref="M97"/>
    <hyperlink r:id="rId331" ref="D98"/>
    <hyperlink r:id="rId332" ref="F98"/>
    <hyperlink r:id="rId333" ref="J98"/>
    <hyperlink r:id="rId334" ref="M98"/>
    <hyperlink r:id="rId335" ref="D99"/>
    <hyperlink r:id="rId336" ref="F99"/>
    <hyperlink r:id="rId337" ref="J99"/>
    <hyperlink r:id="rId338" ref="M99"/>
    <hyperlink r:id="rId339" ref="D100"/>
    <hyperlink r:id="rId340" ref="F100"/>
    <hyperlink r:id="rId341" ref="J100"/>
    <hyperlink r:id="rId342" ref="M100"/>
    <hyperlink r:id="rId343" ref="D101"/>
    <hyperlink r:id="rId344" ref="F101"/>
    <hyperlink r:id="rId345" ref="J101"/>
    <hyperlink r:id="rId346" ref="M101"/>
    <hyperlink r:id="rId347" ref="D102"/>
    <hyperlink r:id="rId348" ref="F102"/>
    <hyperlink r:id="rId349" ref="J102"/>
    <hyperlink r:id="rId350" ref="M102"/>
    <hyperlink r:id="rId351" ref="D103"/>
    <hyperlink r:id="rId352" ref="F103"/>
    <hyperlink r:id="rId353" ref="J103"/>
    <hyperlink r:id="rId354" ref="M103"/>
    <hyperlink r:id="rId355" ref="D104"/>
    <hyperlink r:id="rId356" ref="F104"/>
    <hyperlink r:id="rId357" ref="J104"/>
    <hyperlink r:id="rId358" ref="M104"/>
    <hyperlink r:id="rId359" ref="D105"/>
    <hyperlink r:id="rId360" ref="F105"/>
    <hyperlink r:id="rId361" ref="J105"/>
    <hyperlink r:id="rId362" ref="M105"/>
    <hyperlink r:id="rId363" ref="D106"/>
    <hyperlink r:id="rId364" ref="F106"/>
    <hyperlink r:id="rId365" ref="J106"/>
    <hyperlink r:id="rId366" ref="M106"/>
    <hyperlink r:id="rId367" ref="D107"/>
    <hyperlink r:id="rId368" ref="F107"/>
    <hyperlink r:id="rId369" ref="J107"/>
    <hyperlink r:id="rId370" ref="M107"/>
    <hyperlink r:id="rId371" ref="D108"/>
    <hyperlink r:id="rId372" ref="F108"/>
    <hyperlink r:id="rId373" ref="J108"/>
    <hyperlink r:id="rId374" ref="M108"/>
    <hyperlink r:id="rId375" ref="D109"/>
    <hyperlink r:id="rId376" ref="F109"/>
    <hyperlink r:id="rId377" ref="J109"/>
    <hyperlink r:id="rId378" ref="M109"/>
    <hyperlink r:id="rId379" ref="D110"/>
    <hyperlink r:id="rId380" ref="F110"/>
    <hyperlink r:id="rId381" ref="J110"/>
    <hyperlink r:id="rId382" ref="M110"/>
    <hyperlink r:id="rId383" ref="D111"/>
    <hyperlink r:id="rId384" ref="F111"/>
    <hyperlink r:id="rId385" ref="J111"/>
    <hyperlink r:id="rId386" ref="M111"/>
    <hyperlink r:id="rId387" ref="D112"/>
    <hyperlink r:id="rId388" ref="F112"/>
    <hyperlink r:id="rId389" ref="J112"/>
    <hyperlink r:id="rId390" ref="M112"/>
    <hyperlink r:id="rId391" ref="D113"/>
    <hyperlink r:id="rId392" ref="F113"/>
    <hyperlink r:id="rId393" ref="J113"/>
    <hyperlink r:id="rId394" ref="M113"/>
    <hyperlink r:id="rId395" ref="D114"/>
    <hyperlink r:id="rId396" ref="F114"/>
    <hyperlink r:id="rId397" ref="J114"/>
    <hyperlink r:id="rId398" ref="M114"/>
    <hyperlink r:id="rId399" ref="D115"/>
    <hyperlink r:id="rId400" ref="F115"/>
    <hyperlink r:id="rId401" ref="J115"/>
    <hyperlink r:id="rId402" ref="M115"/>
    <hyperlink r:id="rId403" ref="D116"/>
    <hyperlink r:id="rId404" ref="F116"/>
    <hyperlink r:id="rId405" ref="J116"/>
    <hyperlink r:id="rId406" ref="M116"/>
    <hyperlink r:id="rId407" ref="D117"/>
    <hyperlink r:id="rId408" ref="F117"/>
    <hyperlink r:id="rId409" ref="J117"/>
    <hyperlink r:id="rId410" ref="M117"/>
    <hyperlink r:id="rId411" ref="D118"/>
    <hyperlink r:id="rId412" ref="F118"/>
    <hyperlink r:id="rId413" ref="J118"/>
    <hyperlink r:id="rId414" ref="M118"/>
    <hyperlink r:id="rId415" ref="D119"/>
    <hyperlink r:id="rId416" ref="F119"/>
    <hyperlink r:id="rId417" ref="J119"/>
    <hyperlink r:id="rId418" ref="M119"/>
    <hyperlink r:id="rId419" ref="D120"/>
    <hyperlink r:id="rId420" ref="F120"/>
    <hyperlink r:id="rId421" ref="J120"/>
    <hyperlink r:id="rId422" ref="M120"/>
    <hyperlink r:id="rId423" ref="D121"/>
    <hyperlink r:id="rId424" ref="F121"/>
    <hyperlink r:id="rId425" ref="J121"/>
    <hyperlink r:id="rId426" ref="M121"/>
    <hyperlink r:id="rId427" ref="D122"/>
    <hyperlink r:id="rId428" ref="F122"/>
    <hyperlink r:id="rId429" ref="J122"/>
    <hyperlink r:id="rId430" ref="M122"/>
    <hyperlink r:id="rId431" ref="D123"/>
    <hyperlink r:id="rId432" ref="F123"/>
    <hyperlink r:id="rId433" ref="J123"/>
    <hyperlink r:id="rId434" ref="M123"/>
    <hyperlink r:id="rId435" ref="D124"/>
    <hyperlink r:id="rId436" ref="F124"/>
    <hyperlink r:id="rId437" ref="J124"/>
    <hyperlink r:id="rId438" ref="M124"/>
    <hyperlink r:id="rId439" ref="D125"/>
    <hyperlink r:id="rId440" ref="F125"/>
    <hyperlink r:id="rId441" ref="J125"/>
    <hyperlink r:id="rId442" ref="M125"/>
    <hyperlink r:id="rId443" ref="D126"/>
    <hyperlink r:id="rId444" ref="F126"/>
    <hyperlink r:id="rId445" ref="J126"/>
    <hyperlink r:id="rId446" ref="M126"/>
    <hyperlink r:id="rId447" ref="D127"/>
    <hyperlink r:id="rId448" ref="F127"/>
    <hyperlink r:id="rId449" ref="J127"/>
    <hyperlink r:id="rId450" ref="M127"/>
    <hyperlink r:id="rId451" ref="D128"/>
    <hyperlink r:id="rId452" ref="F128"/>
    <hyperlink r:id="rId453" ref="J128"/>
    <hyperlink r:id="rId454" ref="M128"/>
    <hyperlink r:id="rId455" ref="D129"/>
    <hyperlink r:id="rId456" ref="F129"/>
    <hyperlink r:id="rId457" ref="J129"/>
    <hyperlink r:id="rId458" ref="M129"/>
    <hyperlink r:id="rId459" ref="D130"/>
    <hyperlink r:id="rId460" ref="F130"/>
    <hyperlink r:id="rId461" ref="J130"/>
    <hyperlink r:id="rId462" ref="M130"/>
    <hyperlink r:id="rId463" ref="D131"/>
    <hyperlink r:id="rId464" ref="F131"/>
    <hyperlink r:id="rId465" ref="J131"/>
    <hyperlink r:id="rId466" ref="M131"/>
    <hyperlink r:id="rId467" ref="D132"/>
    <hyperlink r:id="rId468" ref="F132"/>
    <hyperlink r:id="rId469" ref="J132"/>
    <hyperlink r:id="rId470" ref="M132"/>
    <hyperlink r:id="rId471" ref="D133"/>
    <hyperlink r:id="rId472" ref="F133"/>
    <hyperlink r:id="rId473" ref="J133"/>
    <hyperlink r:id="rId474" ref="M133"/>
    <hyperlink r:id="rId475" ref="D134"/>
    <hyperlink r:id="rId476" ref="F134"/>
    <hyperlink r:id="rId477" ref="J134"/>
    <hyperlink r:id="rId478" ref="M134"/>
    <hyperlink r:id="rId479" ref="F135"/>
    <hyperlink r:id="rId480" ref="J135"/>
    <hyperlink r:id="rId481" ref="M135"/>
    <hyperlink r:id="rId482" ref="D136"/>
    <hyperlink r:id="rId483" ref="F136"/>
    <hyperlink r:id="rId484" ref="J136"/>
    <hyperlink r:id="rId485" ref="M136"/>
    <hyperlink r:id="rId486" ref="D137"/>
    <hyperlink r:id="rId487" ref="F137"/>
    <hyperlink r:id="rId488" ref="J137"/>
    <hyperlink r:id="rId489" ref="M137"/>
    <hyperlink r:id="rId490" ref="D138"/>
    <hyperlink r:id="rId491" ref="F138"/>
    <hyperlink r:id="rId492" ref="J138"/>
    <hyperlink r:id="rId493" ref="M138"/>
    <hyperlink r:id="rId494" ref="D139"/>
    <hyperlink r:id="rId495" ref="F139"/>
    <hyperlink r:id="rId496" ref="J139"/>
    <hyperlink r:id="rId497" ref="M139"/>
    <hyperlink r:id="rId498" ref="D140"/>
    <hyperlink r:id="rId499" ref="F140"/>
    <hyperlink r:id="rId500" ref="J140"/>
    <hyperlink r:id="rId501" ref="M140"/>
    <hyperlink r:id="rId502" ref="D141"/>
    <hyperlink r:id="rId503" ref="F141"/>
    <hyperlink r:id="rId504" ref="J141"/>
    <hyperlink r:id="rId505" ref="M141"/>
    <hyperlink r:id="rId506" ref="D142"/>
    <hyperlink r:id="rId507" ref="F142"/>
    <hyperlink r:id="rId508" ref="J142"/>
    <hyperlink r:id="rId509" ref="M142"/>
    <hyperlink r:id="rId510" ref="D143"/>
    <hyperlink r:id="rId511" ref="F143"/>
    <hyperlink r:id="rId512" ref="J143"/>
    <hyperlink r:id="rId513" ref="M143"/>
    <hyperlink r:id="rId514" ref="D144"/>
    <hyperlink r:id="rId515" ref="F144"/>
    <hyperlink r:id="rId516" ref="J144"/>
    <hyperlink r:id="rId517" ref="M144"/>
    <hyperlink r:id="rId518" ref="D145"/>
    <hyperlink r:id="rId519" ref="F145"/>
    <hyperlink r:id="rId520" ref="J145"/>
    <hyperlink r:id="rId521" ref="M145"/>
    <hyperlink r:id="rId522" ref="D146"/>
    <hyperlink r:id="rId523" ref="F146"/>
    <hyperlink r:id="rId524" ref="J146"/>
    <hyperlink r:id="rId525" ref="M146"/>
    <hyperlink r:id="rId526" ref="D147"/>
    <hyperlink r:id="rId527" ref="F147"/>
    <hyperlink r:id="rId528" ref="J147"/>
    <hyperlink r:id="rId529" ref="M147"/>
    <hyperlink r:id="rId530" ref="D148"/>
    <hyperlink r:id="rId531" ref="F148"/>
    <hyperlink r:id="rId532" ref="J148"/>
    <hyperlink r:id="rId533" ref="M148"/>
    <hyperlink r:id="rId534" ref="D149"/>
    <hyperlink r:id="rId535" ref="F149"/>
    <hyperlink r:id="rId536" ref="J149"/>
    <hyperlink r:id="rId537" ref="M149"/>
    <hyperlink r:id="rId538" ref="D150"/>
    <hyperlink r:id="rId539" ref="F150"/>
    <hyperlink r:id="rId540" ref="J150"/>
    <hyperlink r:id="rId541" ref="M150"/>
    <hyperlink r:id="rId542" ref="D151"/>
    <hyperlink r:id="rId543" ref="F151"/>
    <hyperlink r:id="rId544" ref="J151"/>
    <hyperlink r:id="rId545" ref="M151"/>
    <hyperlink r:id="rId546" ref="D152"/>
    <hyperlink r:id="rId547" ref="F152"/>
    <hyperlink r:id="rId548" ref="J152"/>
    <hyperlink r:id="rId549" ref="M152"/>
    <hyperlink r:id="rId550" ref="D153"/>
    <hyperlink r:id="rId551" ref="F153"/>
    <hyperlink r:id="rId552" ref="J153"/>
    <hyperlink r:id="rId553" ref="M153"/>
    <hyperlink r:id="rId554" ref="D154"/>
    <hyperlink r:id="rId555" ref="F154"/>
    <hyperlink r:id="rId556" ref="J154"/>
    <hyperlink r:id="rId557" ref="M154"/>
    <hyperlink r:id="rId558" ref="D155"/>
    <hyperlink r:id="rId559" ref="F155"/>
    <hyperlink r:id="rId560" ref="J155"/>
    <hyperlink r:id="rId561" ref="M155"/>
    <hyperlink r:id="rId562" ref="D156"/>
    <hyperlink r:id="rId563" ref="F156"/>
    <hyperlink r:id="rId564" ref="J156"/>
    <hyperlink r:id="rId565" ref="M156"/>
    <hyperlink r:id="rId566" ref="D157"/>
    <hyperlink r:id="rId567" ref="F157"/>
    <hyperlink r:id="rId568" ref="J157"/>
    <hyperlink r:id="rId569" ref="M157"/>
    <hyperlink r:id="rId570" ref="D158"/>
    <hyperlink r:id="rId571" ref="F158"/>
    <hyperlink r:id="rId572" ref="J158"/>
    <hyperlink r:id="rId573" ref="M158"/>
    <hyperlink r:id="rId574" ref="D159"/>
    <hyperlink r:id="rId575" ref="F159"/>
    <hyperlink r:id="rId576" ref="J159"/>
    <hyperlink r:id="rId577" ref="M159"/>
    <hyperlink r:id="rId578" ref="D160"/>
    <hyperlink r:id="rId579" ref="F160"/>
    <hyperlink r:id="rId580" ref="J160"/>
    <hyperlink r:id="rId581" ref="M160"/>
    <hyperlink r:id="rId582" ref="D161"/>
    <hyperlink r:id="rId583" ref="F161"/>
    <hyperlink r:id="rId584" ref="J161"/>
    <hyperlink r:id="rId585" ref="M161"/>
    <hyperlink r:id="rId586" ref="D162"/>
    <hyperlink r:id="rId587" ref="F162"/>
    <hyperlink r:id="rId588" ref="J162"/>
    <hyperlink r:id="rId589" ref="M162"/>
    <hyperlink r:id="rId590" ref="D163"/>
    <hyperlink r:id="rId591" ref="F163"/>
    <hyperlink r:id="rId592" ref="J163"/>
    <hyperlink r:id="rId593" ref="M163"/>
    <hyperlink r:id="rId594" ref="D164"/>
    <hyperlink r:id="rId595" ref="F164"/>
    <hyperlink r:id="rId596" ref="J164"/>
    <hyperlink r:id="rId597" ref="M164"/>
    <hyperlink r:id="rId598" ref="D165"/>
    <hyperlink r:id="rId599" ref="F165"/>
    <hyperlink r:id="rId600" ref="J165"/>
    <hyperlink r:id="rId601" ref="M165"/>
    <hyperlink r:id="rId602" ref="D166"/>
    <hyperlink r:id="rId603" ref="F166"/>
    <hyperlink r:id="rId604" ref="J166"/>
    <hyperlink r:id="rId605" ref="M166"/>
    <hyperlink r:id="rId606" ref="D167"/>
    <hyperlink r:id="rId607" ref="F167"/>
    <hyperlink r:id="rId608" ref="J167"/>
    <hyperlink r:id="rId609" ref="M167"/>
    <hyperlink r:id="rId610" ref="D168"/>
    <hyperlink r:id="rId611" ref="F168"/>
    <hyperlink r:id="rId612" ref="J168"/>
    <hyperlink r:id="rId613" ref="M168"/>
    <hyperlink r:id="rId614" ref="D169"/>
    <hyperlink r:id="rId615" ref="F169"/>
    <hyperlink r:id="rId616" ref="J169"/>
    <hyperlink r:id="rId617" ref="M169"/>
    <hyperlink r:id="rId618" ref="D170"/>
    <hyperlink r:id="rId619" ref="F170"/>
    <hyperlink r:id="rId620" ref="J170"/>
    <hyperlink r:id="rId621" ref="M170"/>
    <hyperlink r:id="rId622" ref="D171"/>
    <hyperlink r:id="rId623" ref="F171"/>
    <hyperlink r:id="rId624" ref="J171"/>
    <hyperlink r:id="rId625" ref="M171"/>
    <hyperlink r:id="rId626" ref="D172"/>
    <hyperlink r:id="rId627" ref="F172"/>
    <hyperlink r:id="rId628" ref="J172"/>
    <hyperlink r:id="rId629" ref="M172"/>
    <hyperlink r:id="rId630" ref="D173"/>
    <hyperlink r:id="rId631" ref="F173"/>
    <hyperlink r:id="rId632" ref="J173"/>
    <hyperlink r:id="rId633" ref="M173"/>
    <hyperlink r:id="rId634" ref="D174"/>
    <hyperlink r:id="rId635" ref="F174"/>
    <hyperlink r:id="rId636" ref="J174"/>
    <hyperlink r:id="rId637" ref="M174"/>
    <hyperlink r:id="rId638" ref="D175"/>
    <hyperlink r:id="rId639" ref="F175"/>
    <hyperlink r:id="rId640" ref="J175"/>
    <hyperlink r:id="rId641" ref="M175"/>
    <hyperlink r:id="rId642" ref="D176"/>
    <hyperlink r:id="rId643" ref="F176"/>
    <hyperlink r:id="rId644" ref="J176"/>
    <hyperlink r:id="rId645" ref="M176"/>
    <hyperlink r:id="rId646" ref="D177"/>
    <hyperlink r:id="rId647" ref="F177"/>
    <hyperlink r:id="rId648" ref="J177"/>
    <hyperlink r:id="rId649" ref="M177"/>
    <hyperlink r:id="rId650" ref="D178"/>
    <hyperlink r:id="rId651" ref="F178"/>
    <hyperlink r:id="rId652" ref="J178"/>
    <hyperlink r:id="rId653" ref="M178"/>
    <hyperlink r:id="rId654" ref="D179"/>
    <hyperlink r:id="rId655" ref="F179"/>
    <hyperlink r:id="rId656" ref="J179"/>
    <hyperlink r:id="rId657" ref="M179"/>
    <hyperlink r:id="rId658" ref="D180"/>
    <hyperlink r:id="rId659" ref="F180"/>
    <hyperlink r:id="rId660" ref="J180"/>
    <hyperlink r:id="rId661" ref="M180"/>
    <hyperlink r:id="rId662" ref="D181"/>
    <hyperlink r:id="rId663" ref="F181"/>
    <hyperlink r:id="rId664" ref="J181"/>
    <hyperlink r:id="rId665" ref="M181"/>
    <hyperlink r:id="rId666" ref="D182"/>
    <hyperlink r:id="rId667" ref="F182"/>
    <hyperlink r:id="rId668" ref="J182"/>
    <hyperlink r:id="rId669" ref="M182"/>
    <hyperlink r:id="rId670" ref="D183"/>
    <hyperlink r:id="rId671" ref="F183"/>
    <hyperlink r:id="rId672" ref="J183"/>
    <hyperlink r:id="rId673" ref="M183"/>
    <hyperlink r:id="rId674" ref="D184"/>
    <hyperlink r:id="rId675" ref="F184"/>
    <hyperlink r:id="rId676" ref="J184"/>
    <hyperlink r:id="rId677" ref="M184"/>
    <hyperlink r:id="rId678" ref="D185"/>
    <hyperlink r:id="rId679" ref="F185"/>
    <hyperlink r:id="rId680" ref="J185"/>
    <hyperlink r:id="rId681" ref="M185"/>
    <hyperlink r:id="rId682" ref="D186"/>
    <hyperlink r:id="rId683" ref="F186"/>
    <hyperlink r:id="rId684" ref="J186"/>
    <hyperlink r:id="rId685" ref="M186"/>
    <hyperlink r:id="rId686" ref="D187"/>
    <hyperlink r:id="rId687" ref="F187"/>
    <hyperlink r:id="rId688" ref="J187"/>
    <hyperlink r:id="rId689" ref="M187"/>
    <hyperlink r:id="rId690" ref="D188"/>
    <hyperlink r:id="rId691" ref="F188"/>
    <hyperlink r:id="rId692" ref="J188"/>
    <hyperlink r:id="rId693" ref="M188"/>
    <hyperlink r:id="rId694" ref="D189"/>
    <hyperlink r:id="rId695" ref="F189"/>
    <hyperlink r:id="rId696" ref="J189"/>
    <hyperlink r:id="rId697" ref="M189"/>
    <hyperlink r:id="rId698" ref="D190"/>
    <hyperlink r:id="rId699" ref="F190"/>
    <hyperlink r:id="rId700" ref="J190"/>
    <hyperlink r:id="rId701" ref="M190"/>
    <hyperlink r:id="rId702" ref="D191"/>
    <hyperlink r:id="rId703" ref="F191"/>
    <hyperlink r:id="rId704" ref="J191"/>
    <hyperlink r:id="rId705" ref="M191"/>
    <hyperlink r:id="rId706" ref="D192"/>
    <hyperlink r:id="rId707" ref="F192"/>
    <hyperlink r:id="rId708" ref="J192"/>
    <hyperlink r:id="rId709" ref="M192"/>
    <hyperlink r:id="rId710" ref="D193"/>
    <hyperlink r:id="rId711" ref="F193"/>
    <hyperlink r:id="rId712" ref="J193"/>
    <hyperlink r:id="rId713" ref="M193"/>
    <hyperlink r:id="rId714" ref="D194"/>
    <hyperlink r:id="rId715" ref="F194"/>
    <hyperlink r:id="rId716" ref="J194"/>
    <hyperlink r:id="rId717" ref="M194"/>
    <hyperlink r:id="rId718" ref="D195"/>
    <hyperlink r:id="rId719" ref="F195"/>
    <hyperlink r:id="rId720" ref="J195"/>
    <hyperlink r:id="rId721" ref="M195"/>
    <hyperlink r:id="rId722" ref="D196"/>
    <hyperlink r:id="rId723" ref="F196"/>
    <hyperlink r:id="rId724" ref="J196"/>
    <hyperlink r:id="rId725" ref="M196"/>
    <hyperlink r:id="rId726" ref="D197"/>
    <hyperlink r:id="rId727" ref="F197"/>
    <hyperlink r:id="rId728" ref="J197"/>
    <hyperlink r:id="rId729" ref="M197"/>
    <hyperlink r:id="rId730" ref="D198"/>
    <hyperlink r:id="rId731" ref="F198"/>
    <hyperlink r:id="rId732" ref="J198"/>
    <hyperlink r:id="rId733" ref="M198"/>
    <hyperlink r:id="rId734" ref="D199"/>
    <hyperlink r:id="rId735" ref="F199"/>
    <hyperlink r:id="rId736" ref="J199"/>
    <hyperlink r:id="rId737" ref="M199"/>
    <hyperlink r:id="rId738" ref="D200"/>
    <hyperlink r:id="rId739" ref="F200"/>
    <hyperlink r:id="rId740" ref="J200"/>
    <hyperlink r:id="rId741" ref="M200"/>
    <hyperlink r:id="rId742" ref="D201"/>
    <hyperlink r:id="rId743" ref="F201"/>
    <hyperlink r:id="rId744" ref="J201"/>
    <hyperlink r:id="rId745" ref="M201"/>
    <hyperlink r:id="rId746" ref="D202"/>
    <hyperlink r:id="rId747" ref="F202"/>
    <hyperlink r:id="rId748" ref="J202"/>
    <hyperlink r:id="rId749" ref="M202"/>
    <hyperlink r:id="rId750" ref="D203"/>
    <hyperlink r:id="rId751" ref="F203"/>
    <hyperlink r:id="rId752" ref="J203"/>
    <hyperlink r:id="rId753" ref="M203"/>
    <hyperlink r:id="rId754" ref="D204"/>
    <hyperlink r:id="rId755" ref="F204"/>
    <hyperlink r:id="rId756" ref="J204"/>
    <hyperlink r:id="rId757" ref="M204"/>
    <hyperlink r:id="rId758" ref="D205"/>
    <hyperlink r:id="rId759" ref="F205"/>
    <hyperlink r:id="rId760" ref="J205"/>
    <hyperlink r:id="rId761" ref="M205"/>
    <hyperlink r:id="rId762" ref="D206"/>
    <hyperlink r:id="rId763" ref="F206"/>
    <hyperlink r:id="rId764" ref="J206"/>
    <hyperlink r:id="rId765" ref="M206"/>
    <hyperlink r:id="rId766" ref="D207"/>
    <hyperlink r:id="rId767" ref="F207"/>
    <hyperlink r:id="rId768" ref="J207"/>
    <hyperlink r:id="rId769" ref="M207"/>
    <hyperlink r:id="rId770" ref="D208"/>
    <hyperlink r:id="rId771" ref="F208"/>
    <hyperlink r:id="rId772" ref="J208"/>
    <hyperlink r:id="rId773" ref="M208"/>
    <hyperlink r:id="rId774" ref="D209"/>
    <hyperlink r:id="rId775" ref="F209"/>
    <hyperlink r:id="rId776" ref="J209"/>
    <hyperlink r:id="rId777" ref="M209"/>
    <hyperlink r:id="rId778" ref="D210"/>
    <hyperlink r:id="rId779" ref="F210"/>
    <hyperlink r:id="rId780" ref="J210"/>
    <hyperlink r:id="rId781" ref="M210"/>
    <hyperlink r:id="rId782" ref="D211"/>
    <hyperlink r:id="rId783" ref="F211"/>
    <hyperlink r:id="rId784" ref="J211"/>
    <hyperlink r:id="rId785" ref="M211"/>
    <hyperlink r:id="rId786" ref="D212"/>
    <hyperlink r:id="rId787" ref="F212"/>
    <hyperlink r:id="rId788" ref="J212"/>
    <hyperlink r:id="rId789" ref="M212"/>
    <hyperlink r:id="rId790" ref="D213"/>
    <hyperlink r:id="rId791" ref="F213"/>
    <hyperlink r:id="rId792" ref="J213"/>
    <hyperlink r:id="rId793" ref="M213"/>
    <hyperlink r:id="rId794" ref="D214"/>
    <hyperlink r:id="rId795" ref="F214"/>
    <hyperlink r:id="rId796" ref="J214"/>
    <hyperlink r:id="rId797" ref="M214"/>
    <hyperlink r:id="rId798" ref="D215"/>
    <hyperlink r:id="rId799" ref="F215"/>
    <hyperlink r:id="rId800" ref="J215"/>
    <hyperlink r:id="rId801" ref="M215"/>
    <hyperlink r:id="rId802" ref="D216"/>
    <hyperlink r:id="rId803" ref="F216"/>
    <hyperlink r:id="rId804" ref="J216"/>
    <hyperlink r:id="rId805" ref="M216"/>
    <hyperlink r:id="rId806" ref="D217"/>
    <hyperlink r:id="rId807" ref="F217"/>
    <hyperlink r:id="rId808" ref="J217"/>
    <hyperlink r:id="rId809" ref="M217"/>
    <hyperlink r:id="rId810" ref="D218"/>
    <hyperlink r:id="rId811" ref="F218"/>
    <hyperlink r:id="rId812" ref="J218"/>
    <hyperlink r:id="rId813" ref="M218"/>
    <hyperlink r:id="rId814" ref="D219"/>
    <hyperlink r:id="rId815" ref="F219"/>
    <hyperlink r:id="rId816" ref="J219"/>
    <hyperlink r:id="rId817" ref="M219"/>
    <hyperlink r:id="rId818" ref="D220"/>
    <hyperlink r:id="rId819" ref="F220"/>
    <hyperlink r:id="rId820" ref="J220"/>
    <hyperlink r:id="rId821" ref="M220"/>
    <hyperlink r:id="rId822" ref="D221"/>
    <hyperlink r:id="rId823" ref="F221"/>
    <hyperlink r:id="rId824" ref="J221"/>
    <hyperlink r:id="rId825" ref="M221"/>
    <hyperlink r:id="rId826" ref="D222"/>
    <hyperlink r:id="rId827" ref="F222"/>
    <hyperlink r:id="rId828" ref="J222"/>
    <hyperlink r:id="rId829" ref="M222"/>
    <hyperlink r:id="rId830" ref="D223"/>
    <hyperlink r:id="rId831" ref="F223"/>
    <hyperlink r:id="rId832" ref="J223"/>
    <hyperlink r:id="rId833" ref="M223"/>
    <hyperlink r:id="rId834" ref="D224"/>
    <hyperlink r:id="rId835" ref="F224"/>
    <hyperlink r:id="rId836" ref="J224"/>
    <hyperlink r:id="rId837" ref="M224"/>
    <hyperlink r:id="rId838" ref="D225"/>
    <hyperlink r:id="rId839" ref="F225"/>
    <hyperlink r:id="rId840" ref="J225"/>
    <hyperlink r:id="rId841" ref="M225"/>
    <hyperlink r:id="rId842" ref="D226"/>
    <hyperlink r:id="rId843" ref="F226"/>
    <hyperlink r:id="rId844" ref="J226"/>
    <hyperlink r:id="rId845" ref="M226"/>
    <hyperlink r:id="rId846" ref="D227"/>
    <hyperlink r:id="rId847" ref="F227"/>
    <hyperlink r:id="rId848" ref="J227"/>
    <hyperlink r:id="rId849" ref="M227"/>
    <hyperlink r:id="rId850" ref="D228"/>
    <hyperlink r:id="rId851" ref="F228"/>
    <hyperlink r:id="rId852" ref="J228"/>
    <hyperlink r:id="rId853" ref="M228"/>
    <hyperlink r:id="rId854" ref="D229"/>
    <hyperlink r:id="rId855" ref="F229"/>
    <hyperlink r:id="rId856" ref="J229"/>
    <hyperlink r:id="rId857" ref="M229"/>
    <hyperlink r:id="rId858" ref="D230"/>
    <hyperlink r:id="rId859" ref="F230"/>
    <hyperlink r:id="rId860" ref="J230"/>
    <hyperlink r:id="rId861" ref="M230"/>
    <hyperlink r:id="rId862" ref="D231"/>
    <hyperlink r:id="rId863" ref="F231"/>
    <hyperlink r:id="rId864" ref="J231"/>
    <hyperlink r:id="rId865" ref="M231"/>
    <hyperlink r:id="rId866" ref="D232"/>
    <hyperlink r:id="rId867" ref="F232"/>
    <hyperlink r:id="rId868" ref="J232"/>
    <hyperlink r:id="rId869" ref="M232"/>
    <hyperlink r:id="rId870" ref="D233"/>
    <hyperlink r:id="rId871" ref="F233"/>
    <hyperlink r:id="rId872" ref="J233"/>
    <hyperlink r:id="rId873" ref="M233"/>
    <hyperlink r:id="rId874" ref="D234"/>
    <hyperlink r:id="rId875" ref="F234"/>
    <hyperlink r:id="rId876" ref="J234"/>
    <hyperlink r:id="rId877" ref="M234"/>
    <hyperlink r:id="rId878" ref="D235"/>
    <hyperlink r:id="rId879" ref="F235"/>
    <hyperlink r:id="rId880" ref="J235"/>
    <hyperlink r:id="rId881" ref="M235"/>
    <hyperlink r:id="rId882" ref="D236"/>
    <hyperlink r:id="rId883" ref="F236"/>
    <hyperlink r:id="rId884" ref="J236"/>
    <hyperlink r:id="rId885" ref="M236"/>
    <hyperlink r:id="rId886" ref="D237"/>
    <hyperlink r:id="rId887" ref="F237"/>
    <hyperlink r:id="rId888" ref="J237"/>
    <hyperlink r:id="rId889" ref="M237"/>
    <hyperlink r:id="rId890" ref="D238"/>
    <hyperlink r:id="rId891" ref="F238"/>
    <hyperlink r:id="rId892" ref="J238"/>
    <hyperlink r:id="rId893" ref="M238"/>
    <hyperlink r:id="rId894" ref="D239"/>
    <hyperlink r:id="rId895" ref="F239"/>
    <hyperlink r:id="rId896" ref="J239"/>
    <hyperlink r:id="rId897" ref="M239"/>
    <hyperlink r:id="rId898" ref="D240"/>
    <hyperlink r:id="rId899" ref="F240"/>
    <hyperlink r:id="rId900" ref="J240"/>
    <hyperlink r:id="rId901" ref="M240"/>
    <hyperlink r:id="rId902" ref="D241"/>
    <hyperlink r:id="rId903" ref="F241"/>
    <hyperlink r:id="rId904" ref="J241"/>
    <hyperlink r:id="rId905" ref="M241"/>
    <hyperlink r:id="rId906" ref="D242"/>
    <hyperlink r:id="rId907" ref="F242"/>
    <hyperlink r:id="rId908" ref="J242"/>
    <hyperlink r:id="rId909" ref="M242"/>
    <hyperlink r:id="rId910" ref="D243"/>
    <hyperlink r:id="rId911" ref="F243"/>
    <hyperlink r:id="rId912" ref="J243"/>
    <hyperlink r:id="rId913" ref="M243"/>
    <hyperlink r:id="rId914" ref="D244"/>
    <hyperlink r:id="rId915" ref="F244"/>
    <hyperlink r:id="rId916" ref="J244"/>
    <hyperlink r:id="rId917" ref="M244"/>
    <hyperlink r:id="rId918" ref="D245"/>
    <hyperlink r:id="rId919" ref="F245"/>
    <hyperlink r:id="rId920" ref="J245"/>
    <hyperlink r:id="rId921" ref="M245"/>
    <hyperlink r:id="rId922" ref="D246"/>
    <hyperlink r:id="rId923" ref="F246"/>
    <hyperlink r:id="rId924" ref="J246"/>
    <hyperlink r:id="rId925" ref="M246"/>
    <hyperlink r:id="rId926" ref="D247"/>
    <hyperlink r:id="rId927" ref="F247"/>
    <hyperlink r:id="rId928" ref="J247"/>
    <hyperlink r:id="rId929" ref="M247"/>
    <hyperlink r:id="rId930" ref="D248"/>
    <hyperlink r:id="rId931" ref="F248"/>
    <hyperlink r:id="rId932" ref="J248"/>
    <hyperlink r:id="rId933" ref="M248"/>
    <hyperlink r:id="rId934" ref="D249"/>
    <hyperlink r:id="rId935" ref="F249"/>
    <hyperlink r:id="rId936" ref="J249"/>
    <hyperlink r:id="rId937" ref="M249"/>
    <hyperlink r:id="rId938" ref="D250"/>
    <hyperlink r:id="rId939" ref="F250"/>
    <hyperlink r:id="rId940" ref="J250"/>
    <hyperlink r:id="rId941" ref="M250"/>
    <hyperlink r:id="rId942" ref="D251"/>
    <hyperlink r:id="rId943" ref="F251"/>
    <hyperlink r:id="rId944" ref="J251"/>
    <hyperlink r:id="rId945" ref="M251"/>
    <hyperlink r:id="rId946" ref="D252"/>
    <hyperlink r:id="rId947" ref="F252"/>
    <hyperlink r:id="rId948" ref="J252"/>
    <hyperlink r:id="rId949" ref="M252"/>
    <hyperlink r:id="rId950" ref="D253"/>
    <hyperlink r:id="rId951" ref="F253"/>
    <hyperlink r:id="rId952" ref="J253"/>
    <hyperlink r:id="rId953" ref="M253"/>
    <hyperlink r:id="rId954" ref="D254"/>
    <hyperlink r:id="rId955" location="Domestic_policy_and_the_Infitah" ref="F254"/>
    <hyperlink r:id="rId956" ref="J254"/>
    <hyperlink r:id="rId957" ref="M254"/>
    <hyperlink r:id="rId958" ref="D255"/>
    <hyperlink r:id="rId959" ref="F255"/>
    <hyperlink r:id="rId960" ref="J255"/>
    <hyperlink r:id="rId961" ref="M255"/>
    <hyperlink r:id="rId962" ref="D256"/>
    <hyperlink r:id="rId963" ref="F256"/>
    <hyperlink r:id="rId964" ref="J256"/>
    <hyperlink r:id="rId965" ref="M256"/>
    <hyperlink r:id="rId966" ref="D257"/>
    <hyperlink r:id="rId967" ref="F257"/>
    <hyperlink r:id="rId968" ref="J257"/>
    <hyperlink r:id="rId969" ref="M257"/>
    <hyperlink r:id="rId970" ref="D258"/>
    <hyperlink r:id="rId971" ref="F258"/>
    <hyperlink r:id="rId972" ref="J258"/>
    <hyperlink r:id="rId973" ref="M258"/>
    <hyperlink r:id="rId974" ref="D259"/>
    <hyperlink r:id="rId975" ref="F259"/>
    <hyperlink r:id="rId976" ref="J259"/>
    <hyperlink r:id="rId977" ref="M259"/>
    <hyperlink r:id="rId978" ref="D260"/>
    <hyperlink r:id="rId979" ref="F260"/>
    <hyperlink r:id="rId980" ref="J260"/>
    <hyperlink r:id="rId981" ref="M260"/>
    <hyperlink r:id="rId982" ref="D261"/>
    <hyperlink r:id="rId983" ref="F261"/>
    <hyperlink r:id="rId984" ref="J261"/>
    <hyperlink r:id="rId985" ref="M261"/>
    <hyperlink r:id="rId986" ref="D262"/>
    <hyperlink r:id="rId987" ref="F262"/>
    <hyperlink r:id="rId988" ref="J262"/>
    <hyperlink r:id="rId989" ref="M262"/>
    <hyperlink r:id="rId990" ref="D263"/>
    <hyperlink r:id="rId991" ref="F263"/>
    <hyperlink r:id="rId992" ref="J263"/>
    <hyperlink r:id="rId993" ref="M263"/>
    <hyperlink r:id="rId994" ref="D264"/>
    <hyperlink r:id="rId995" ref="F264"/>
    <hyperlink r:id="rId996" ref="J264"/>
    <hyperlink r:id="rId997" ref="M264"/>
    <hyperlink r:id="rId998" ref="D265"/>
    <hyperlink r:id="rId999" ref="F265"/>
    <hyperlink r:id="rId1000" ref="J265"/>
    <hyperlink r:id="rId1001" ref="M265"/>
    <hyperlink r:id="rId1002" ref="D266"/>
    <hyperlink r:id="rId1003" ref="F266"/>
    <hyperlink r:id="rId1004" ref="J266"/>
    <hyperlink r:id="rId1005" ref="M266"/>
    <hyperlink r:id="rId1006" ref="D267"/>
    <hyperlink r:id="rId1007" ref="F267"/>
    <hyperlink r:id="rId1008" ref="J267"/>
    <hyperlink r:id="rId1009" ref="M267"/>
    <hyperlink r:id="rId1010" ref="D268"/>
    <hyperlink r:id="rId1011" ref="F268"/>
    <hyperlink r:id="rId1012" ref="J268"/>
    <hyperlink r:id="rId1013" ref="M268"/>
    <hyperlink r:id="rId1014" ref="D269"/>
    <hyperlink r:id="rId1015" ref="F269"/>
    <hyperlink r:id="rId1016" ref="J269"/>
    <hyperlink r:id="rId1017" ref="M269"/>
    <hyperlink r:id="rId1018" ref="D270"/>
    <hyperlink r:id="rId1019" ref="F270"/>
    <hyperlink r:id="rId1020" ref="J270"/>
    <hyperlink r:id="rId1021" ref="M270"/>
    <hyperlink r:id="rId1022" ref="D271"/>
    <hyperlink r:id="rId1023" ref="F271"/>
    <hyperlink r:id="rId1024" ref="J271"/>
    <hyperlink r:id="rId1025" ref="M271"/>
    <hyperlink r:id="rId1026" ref="D272"/>
    <hyperlink r:id="rId1027" ref="F272"/>
    <hyperlink r:id="rId1028" ref="J272"/>
    <hyperlink r:id="rId1029" ref="M272"/>
    <hyperlink r:id="rId1030" ref="D273"/>
    <hyperlink r:id="rId1031" ref="F273"/>
    <hyperlink r:id="rId1032" ref="J273"/>
    <hyperlink r:id="rId1033" ref="M273"/>
    <hyperlink r:id="rId1034" ref="D274"/>
    <hyperlink r:id="rId1035" ref="F274"/>
    <hyperlink r:id="rId1036" ref="J274"/>
    <hyperlink r:id="rId1037" ref="M274"/>
    <hyperlink r:id="rId1038" ref="D275"/>
    <hyperlink r:id="rId1039" ref="F275"/>
    <hyperlink r:id="rId1040" ref="J275"/>
    <hyperlink r:id="rId1041" ref="M275"/>
    <hyperlink r:id="rId1042" ref="D276"/>
    <hyperlink r:id="rId1043" ref="F276"/>
    <hyperlink r:id="rId1044" ref="J276"/>
    <hyperlink r:id="rId1045" ref="M276"/>
    <hyperlink r:id="rId1046" ref="D277"/>
    <hyperlink r:id="rId1047" ref="F277"/>
    <hyperlink r:id="rId1048" ref="J277"/>
    <hyperlink r:id="rId1049" ref="M277"/>
    <hyperlink r:id="rId1050" ref="D278"/>
    <hyperlink r:id="rId1051" ref="F278"/>
    <hyperlink r:id="rId1052" ref="J278"/>
    <hyperlink r:id="rId1053" ref="M278"/>
    <hyperlink r:id="rId1054" ref="D279"/>
    <hyperlink r:id="rId1055" ref="F279"/>
    <hyperlink r:id="rId1056" ref="J279"/>
    <hyperlink r:id="rId1057" ref="M279"/>
    <hyperlink r:id="rId1058" ref="D280"/>
    <hyperlink r:id="rId1059" ref="F280"/>
    <hyperlink r:id="rId1060" ref="J280"/>
    <hyperlink r:id="rId1061" ref="M280"/>
    <hyperlink r:id="rId1062" ref="D281"/>
    <hyperlink r:id="rId1063" ref="F281"/>
    <hyperlink r:id="rId1064" ref="J281"/>
    <hyperlink r:id="rId1065" ref="M281"/>
    <hyperlink r:id="rId1066" ref="D282"/>
    <hyperlink r:id="rId1067" ref="F282"/>
    <hyperlink r:id="rId1068" ref="J282"/>
    <hyperlink r:id="rId1069" ref="M282"/>
    <hyperlink r:id="rId1070" ref="D283"/>
    <hyperlink r:id="rId1071" ref="F283"/>
    <hyperlink r:id="rId1072" ref="J283"/>
    <hyperlink r:id="rId1073" ref="M283"/>
    <hyperlink r:id="rId1074" ref="D284"/>
    <hyperlink r:id="rId1075" ref="F284"/>
    <hyperlink r:id="rId1076" ref="J284"/>
    <hyperlink r:id="rId1077" ref="M284"/>
    <hyperlink r:id="rId1078" ref="D285"/>
    <hyperlink r:id="rId1079" ref="F285"/>
    <hyperlink r:id="rId1080" ref="J285"/>
    <hyperlink r:id="rId1081" ref="M285"/>
    <hyperlink r:id="rId1082" ref="D286"/>
    <hyperlink r:id="rId1083" ref="F286"/>
    <hyperlink r:id="rId1084" ref="J286"/>
    <hyperlink r:id="rId1085" ref="M286"/>
    <hyperlink r:id="rId1086" ref="D287"/>
    <hyperlink r:id="rId1087" ref="F287"/>
    <hyperlink r:id="rId1088" ref="J287"/>
    <hyperlink r:id="rId1089" ref="M287"/>
    <hyperlink r:id="rId1090" ref="D288"/>
    <hyperlink r:id="rId1091" ref="F288"/>
    <hyperlink r:id="rId1092" ref="J288"/>
    <hyperlink r:id="rId1093" ref="M288"/>
    <hyperlink r:id="rId1094" ref="D289"/>
    <hyperlink r:id="rId1095" ref="F289"/>
    <hyperlink r:id="rId1096" ref="J289"/>
    <hyperlink r:id="rId1097" ref="M289"/>
    <hyperlink r:id="rId1098" ref="D290"/>
    <hyperlink r:id="rId1099" ref="F290"/>
    <hyperlink r:id="rId1100" ref="J290"/>
    <hyperlink r:id="rId1101" ref="M290"/>
    <hyperlink r:id="rId1102" ref="D291"/>
    <hyperlink r:id="rId1103" ref="F291"/>
    <hyperlink r:id="rId1104" ref="J291"/>
    <hyperlink r:id="rId1105" ref="M291"/>
    <hyperlink r:id="rId1106" ref="D292"/>
    <hyperlink r:id="rId1107" ref="F292"/>
    <hyperlink r:id="rId1108" ref="J292"/>
    <hyperlink r:id="rId1109" ref="M292"/>
    <hyperlink r:id="rId1110" ref="D293"/>
    <hyperlink r:id="rId1111" ref="F293"/>
    <hyperlink r:id="rId1112" ref="J293"/>
    <hyperlink r:id="rId1113" ref="M293"/>
    <hyperlink r:id="rId1114" ref="D294"/>
    <hyperlink r:id="rId1115" ref="F294"/>
    <hyperlink r:id="rId1116" ref="J294"/>
    <hyperlink r:id="rId1117" ref="M294"/>
    <hyperlink r:id="rId1118" ref="D295"/>
    <hyperlink r:id="rId1119" ref="F295"/>
    <hyperlink r:id="rId1120" ref="J295"/>
    <hyperlink r:id="rId1121" ref="M295"/>
    <hyperlink r:id="rId1122" ref="D296"/>
    <hyperlink r:id="rId1123" ref="F296"/>
    <hyperlink r:id="rId1124" ref="J296"/>
    <hyperlink r:id="rId1125" ref="M296"/>
    <hyperlink r:id="rId1126" ref="D297"/>
    <hyperlink r:id="rId1127" ref="F297"/>
    <hyperlink r:id="rId1128" ref="J297"/>
    <hyperlink r:id="rId1129" ref="M297"/>
    <hyperlink r:id="rId1130" ref="D298"/>
    <hyperlink r:id="rId1131" ref="F298"/>
    <hyperlink r:id="rId1132" ref="J298"/>
    <hyperlink r:id="rId1133" ref="M298"/>
    <hyperlink r:id="rId1134" ref="D299"/>
    <hyperlink r:id="rId1135" ref="F299"/>
    <hyperlink r:id="rId1136" ref="J299"/>
    <hyperlink r:id="rId1137" ref="M299"/>
    <hyperlink r:id="rId1138" ref="D300"/>
    <hyperlink r:id="rId1139" ref="F300"/>
    <hyperlink r:id="rId1140" ref="J300"/>
    <hyperlink r:id="rId1141" ref="M300"/>
    <hyperlink r:id="rId1142" ref="D301"/>
    <hyperlink r:id="rId1143" ref="F301"/>
    <hyperlink r:id="rId1144" ref="J301"/>
    <hyperlink r:id="rId1145" ref="M301"/>
    <hyperlink r:id="rId1146" ref="D302"/>
    <hyperlink r:id="rId1147" ref="F302"/>
    <hyperlink r:id="rId1148" ref="J302"/>
    <hyperlink r:id="rId1149" ref="M302"/>
    <hyperlink r:id="rId1150" ref="D303"/>
    <hyperlink r:id="rId1151" ref="F303"/>
    <hyperlink r:id="rId1152" ref="J303"/>
    <hyperlink r:id="rId1153" ref="M303"/>
    <hyperlink r:id="rId1154" ref="D304"/>
    <hyperlink r:id="rId1155" ref="F304"/>
    <hyperlink r:id="rId1156" ref="J304"/>
    <hyperlink r:id="rId1157" ref="M304"/>
    <hyperlink r:id="rId1158" ref="D305"/>
    <hyperlink r:id="rId1159" ref="F305"/>
    <hyperlink r:id="rId1160" ref="J305"/>
    <hyperlink r:id="rId1161" ref="M305"/>
    <hyperlink r:id="rId1162" ref="D306"/>
    <hyperlink r:id="rId1163" ref="F306"/>
    <hyperlink r:id="rId1164" ref="J306"/>
    <hyperlink r:id="rId1165" ref="M306"/>
    <hyperlink r:id="rId1166" ref="D307"/>
    <hyperlink r:id="rId1167" ref="F307"/>
    <hyperlink r:id="rId1168" ref="J307"/>
    <hyperlink r:id="rId1169" ref="M307"/>
    <hyperlink r:id="rId1170" ref="D308"/>
    <hyperlink r:id="rId1171" ref="F308"/>
    <hyperlink r:id="rId1172" ref="J308"/>
    <hyperlink r:id="rId1173" ref="M308"/>
    <hyperlink r:id="rId1174" ref="D309"/>
    <hyperlink r:id="rId1175" ref="F309"/>
    <hyperlink r:id="rId1176" ref="J309"/>
    <hyperlink r:id="rId1177" ref="M309"/>
    <hyperlink r:id="rId1178" ref="D310"/>
    <hyperlink r:id="rId1179" ref="F310"/>
    <hyperlink r:id="rId1180" ref="J310"/>
    <hyperlink r:id="rId1181" ref="M310"/>
    <hyperlink r:id="rId1182" ref="D311"/>
    <hyperlink r:id="rId1183" ref="F311"/>
    <hyperlink r:id="rId1184" ref="J311"/>
    <hyperlink r:id="rId1185" ref="M311"/>
    <hyperlink r:id="rId1186" ref="D312"/>
    <hyperlink r:id="rId1187" ref="F312"/>
    <hyperlink r:id="rId1188" ref="J312"/>
    <hyperlink r:id="rId1189" ref="M312"/>
    <hyperlink r:id="rId1190" ref="D313"/>
    <hyperlink r:id="rId1191" ref="F313"/>
    <hyperlink r:id="rId1192" ref="J313"/>
    <hyperlink r:id="rId1193" ref="M313"/>
    <hyperlink r:id="rId1194" ref="D314"/>
    <hyperlink r:id="rId1195" ref="F314"/>
    <hyperlink r:id="rId1196" ref="J314"/>
    <hyperlink r:id="rId1197" ref="M314"/>
    <hyperlink r:id="rId1198" ref="D315"/>
    <hyperlink r:id="rId1199" ref="F315"/>
    <hyperlink r:id="rId1200" ref="J315"/>
    <hyperlink r:id="rId1201" ref="M315"/>
    <hyperlink r:id="rId1202" ref="D316"/>
    <hyperlink r:id="rId1203" ref="F316"/>
    <hyperlink r:id="rId1204" ref="J316"/>
    <hyperlink r:id="rId1205" ref="M316"/>
    <hyperlink r:id="rId1206" ref="D317"/>
    <hyperlink r:id="rId1207" ref="F317"/>
    <hyperlink r:id="rId1208" ref="J317"/>
    <hyperlink r:id="rId1209" ref="M317"/>
    <hyperlink r:id="rId1210" ref="D318"/>
    <hyperlink r:id="rId1211" ref="F318"/>
    <hyperlink r:id="rId1212" ref="J318"/>
    <hyperlink r:id="rId1213" ref="M318"/>
    <hyperlink r:id="rId1214" ref="D319"/>
    <hyperlink r:id="rId1215" ref="F319"/>
    <hyperlink r:id="rId1216" ref="J319"/>
    <hyperlink r:id="rId1217" ref="M319"/>
    <hyperlink r:id="rId1218" ref="D320"/>
    <hyperlink r:id="rId1219" ref="F320"/>
    <hyperlink r:id="rId1220" ref="J320"/>
    <hyperlink r:id="rId1221" ref="M320"/>
    <hyperlink r:id="rId1222" ref="D321"/>
    <hyperlink r:id="rId1223" ref="F321"/>
    <hyperlink r:id="rId1224" ref="J321"/>
    <hyperlink r:id="rId1225" ref="M321"/>
    <hyperlink r:id="rId1226" ref="D322"/>
    <hyperlink r:id="rId1227" ref="F322"/>
    <hyperlink r:id="rId1228" ref="J322"/>
    <hyperlink r:id="rId1229" ref="M322"/>
    <hyperlink r:id="rId1230" ref="D323"/>
    <hyperlink r:id="rId1231" ref="F323"/>
    <hyperlink r:id="rId1232" ref="J323"/>
    <hyperlink r:id="rId1233" ref="M323"/>
    <hyperlink r:id="rId1234" ref="D324"/>
    <hyperlink r:id="rId1235" ref="F324"/>
    <hyperlink r:id="rId1236" ref="J324"/>
    <hyperlink r:id="rId1237" ref="M324"/>
    <hyperlink r:id="rId1238" ref="D325"/>
    <hyperlink r:id="rId1239" ref="F325"/>
    <hyperlink r:id="rId1240" ref="J325"/>
    <hyperlink r:id="rId1241" ref="M325"/>
    <hyperlink r:id="rId1242" ref="D326"/>
    <hyperlink r:id="rId1243" ref="F326"/>
    <hyperlink r:id="rId1244" ref="J326"/>
    <hyperlink r:id="rId1245" ref="M326"/>
    <hyperlink r:id="rId1246" ref="D327"/>
    <hyperlink r:id="rId1247" ref="F327"/>
    <hyperlink r:id="rId1248" ref="J327"/>
    <hyperlink r:id="rId1249" ref="M327"/>
    <hyperlink r:id="rId1250" ref="D328"/>
    <hyperlink r:id="rId1251" ref="F328"/>
    <hyperlink r:id="rId1252" ref="J328"/>
    <hyperlink r:id="rId1253" ref="M328"/>
    <hyperlink r:id="rId1254" ref="D329"/>
    <hyperlink r:id="rId1255" ref="F329"/>
    <hyperlink r:id="rId1256" ref="J329"/>
    <hyperlink r:id="rId1257" ref="M329"/>
    <hyperlink r:id="rId1258" ref="D330"/>
    <hyperlink r:id="rId1259" ref="F330"/>
    <hyperlink r:id="rId1260" ref="J330"/>
    <hyperlink r:id="rId1261" ref="M330"/>
    <hyperlink r:id="rId1262" ref="D331"/>
    <hyperlink r:id="rId1263" ref="F331"/>
    <hyperlink r:id="rId1264" ref="J331"/>
    <hyperlink r:id="rId1265" ref="M331"/>
    <hyperlink r:id="rId1266" ref="D332"/>
    <hyperlink r:id="rId1267" ref="F332"/>
    <hyperlink r:id="rId1268" ref="J332"/>
    <hyperlink r:id="rId1269" ref="M332"/>
    <hyperlink r:id="rId1270" ref="D333"/>
    <hyperlink r:id="rId1271" ref="F333"/>
    <hyperlink r:id="rId1272" ref="J333"/>
    <hyperlink r:id="rId1273" ref="M333"/>
    <hyperlink r:id="rId1274" ref="D334"/>
    <hyperlink r:id="rId1275" ref="F334"/>
    <hyperlink r:id="rId1276" ref="J334"/>
    <hyperlink r:id="rId1277" ref="M334"/>
    <hyperlink r:id="rId1278" ref="D335"/>
    <hyperlink r:id="rId1279" ref="F335"/>
    <hyperlink r:id="rId1280" ref="J335"/>
    <hyperlink r:id="rId1281" ref="M335"/>
    <hyperlink r:id="rId1282" ref="D336"/>
    <hyperlink r:id="rId1283" ref="F336"/>
    <hyperlink r:id="rId1284" ref="J336"/>
    <hyperlink r:id="rId1285" ref="M336"/>
    <hyperlink r:id="rId1286" ref="D337"/>
    <hyperlink r:id="rId1287" ref="F337"/>
    <hyperlink r:id="rId1288" ref="J337"/>
    <hyperlink r:id="rId1289" ref="M337"/>
    <hyperlink r:id="rId1290" ref="D338"/>
    <hyperlink r:id="rId1291" ref="F338"/>
    <hyperlink r:id="rId1292" ref="J338"/>
    <hyperlink r:id="rId1293" ref="M338"/>
    <hyperlink r:id="rId1294" ref="D339"/>
    <hyperlink r:id="rId1295" ref="F339"/>
    <hyperlink r:id="rId1296" ref="J339"/>
    <hyperlink r:id="rId1297" ref="M339"/>
    <hyperlink r:id="rId1298" ref="D340"/>
    <hyperlink r:id="rId1299" ref="F340"/>
    <hyperlink r:id="rId1300" ref="J340"/>
    <hyperlink r:id="rId1301" ref="M340"/>
    <hyperlink r:id="rId1302" ref="D341"/>
    <hyperlink r:id="rId1303" ref="F341"/>
    <hyperlink r:id="rId1304" ref="J341"/>
    <hyperlink r:id="rId1305" ref="M341"/>
    <hyperlink r:id="rId1306" ref="D342"/>
    <hyperlink r:id="rId1307" ref="F342"/>
    <hyperlink r:id="rId1308" ref="J342"/>
    <hyperlink r:id="rId1309" ref="M342"/>
    <hyperlink r:id="rId1310" ref="D343"/>
    <hyperlink r:id="rId1311" ref="F343"/>
    <hyperlink r:id="rId1312" ref="J343"/>
    <hyperlink r:id="rId1313" ref="M343"/>
    <hyperlink r:id="rId1314" ref="D344"/>
    <hyperlink r:id="rId1315" ref="F344"/>
    <hyperlink r:id="rId1316" ref="J344"/>
    <hyperlink r:id="rId1317" ref="M344"/>
    <hyperlink r:id="rId1318" ref="D345"/>
    <hyperlink r:id="rId1319" ref="F345"/>
    <hyperlink r:id="rId1320" ref="J345"/>
    <hyperlink r:id="rId1321" ref="M345"/>
    <hyperlink r:id="rId1322" ref="D346"/>
    <hyperlink r:id="rId1323" ref="F346"/>
    <hyperlink r:id="rId1324" ref="J346"/>
    <hyperlink r:id="rId1325" ref="M346"/>
    <hyperlink r:id="rId1326" ref="D347"/>
    <hyperlink r:id="rId1327" ref="F347"/>
    <hyperlink r:id="rId1328" ref="J347"/>
    <hyperlink r:id="rId1329" ref="M347"/>
    <hyperlink r:id="rId1330" ref="D348"/>
    <hyperlink r:id="rId1331" ref="F348"/>
    <hyperlink r:id="rId1332" ref="J348"/>
    <hyperlink r:id="rId1333" ref="M348"/>
    <hyperlink r:id="rId1334" ref="D349"/>
    <hyperlink r:id="rId1335" ref="F349"/>
    <hyperlink r:id="rId1336" ref="J349"/>
    <hyperlink r:id="rId1337" ref="M349"/>
    <hyperlink r:id="rId1338" ref="D350"/>
    <hyperlink r:id="rId1339" ref="F350"/>
    <hyperlink r:id="rId1340" ref="J350"/>
    <hyperlink r:id="rId1341" ref="M350"/>
    <hyperlink r:id="rId1342" ref="D351"/>
    <hyperlink r:id="rId1343" ref="F351"/>
    <hyperlink r:id="rId1344" ref="J351"/>
    <hyperlink r:id="rId1345" ref="M351"/>
    <hyperlink r:id="rId1346" ref="D352"/>
    <hyperlink r:id="rId1347" ref="F352"/>
    <hyperlink r:id="rId1348" ref="J352"/>
    <hyperlink r:id="rId1349" ref="D353"/>
    <hyperlink r:id="rId1350" ref="F353"/>
    <hyperlink r:id="rId1351" ref="J353"/>
    <hyperlink r:id="rId1352" ref="M353"/>
    <hyperlink r:id="rId1353" ref="D354"/>
    <hyperlink r:id="rId1354" ref="F354"/>
    <hyperlink r:id="rId1355" ref="J354"/>
    <hyperlink r:id="rId1356" ref="M354"/>
    <hyperlink r:id="rId1357" ref="D355"/>
    <hyperlink r:id="rId1358" ref="F355"/>
    <hyperlink r:id="rId1359" ref="J355"/>
    <hyperlink r:id="rId1360" ref="M355"/>
    <hyperlink r:id="rId1361" ref="D356"/>
    <hyperlink r:id="rId1362" ref="F356"/>
    <hyperlink r:id="rId1363" ref="J356"/>
    <hyperlink r:id="rId1364" ref="M356"/>
    <hyperlink r:id="rId1365" ref="D357"/>
    <hyperlink r:id="rId1366" ref="F357"/>
    <hyperlink r:id="rId1367" ref="J357"/>
    <hyperlink r:id="rId1368" ref="M357"/>
    <hyperlink r:id="rId1369" ref="D358"/>
    <hyperlink r:id="rId1370" ref="F358"/>
    <hyperlink r:id="rId1371" ref="J358"/>
    <hyperlink r:id="rId1372" ref="M358"/>
    <hyperlink r:id="rId1373" ref="D359"/>
    <hyperlink r:id="rId1374" ref="F359"/>
    <hyperlink r:id="rId1375" ref="J359"/>
    <hyperlink r:id="rId1376" ref="M359"/>
    <hyperlink r:id="rId1377" ref="D360"/>
    <hyperlink r:id="rId1378" ref="F360"/>
    <hyperlink r:id="rId1379" ref="J360"/>
    <hyperlink r:id="rId1380" ref="M360"/>
    <hyperlink r:id="rId1381" ref="D361"/>
    <hyperlink r:id="rId1382" ref="F361"/>
    <hyperlink r:id="rId1383" ref="J361"/>
    <hyperlink r:id="rId1384" ref="M361"/>
  </hyperlinks>
  <drawing r:id="rId13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6.13"/>
    <col customWidth="1" min="4" max="4" width="19.63"/>
    <col customWidth="1" min="5" max="5" width="5.63"/>
    <col customWidth="1" min="8" max="10" width="5.63"/>
    <col customWidth="1" min="11" max="11" width="10.88"/>
    <col customWidth="1" min="12" max="12" width="6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1212</v>
      </c>
      <c r="I1" s="1" t="s">
        <v>1213</v>
      </c>
      <c r="J1" s="1" t="s">
        <v>1214</v>
      </c>
      <c r="K1" s="4" t="s">
        <v>8</v>
      </c>
      <c r="L1" s="5" t="s">
        <v>9</v>
      </c>
      <c r="M1" s="6" t="s">
        <v>10</v>
      </c>
      <c r="N1" s="7" t="s">
        <v>11</v>
      </c>
      <c r="O1" s="1" t="s">
        <v>12</v>
      </c>
      <c r="P1" s="1" t="s">
        <v>13</v>
      </c>
      <c r="Q1" s="1" t="s">
        <v>1215</v>
      </c>
      <c r="R1" s="1" t="s">
        <v>14</v>
      </c>
      <c r="S1" s="7" t="s">
        <v>15</v>
      </c>
      <c r="T1" s="1" t="s">
        <v>16</v>
      </c>
    </row>
    <row r="2">
      <c r="A2" s="25">
        <v>45768.0</v>
      </c>
      <c r="B2" s="5" t="s">
        <v>58</v>
      </c>
      <c r="C2" s="5">
        <v>1.0</v>
      </c>
      <c r="D2" s="17" t="s">
        <v>1216</v>
      </c>
      <c r="E2" s="1">
        <f>IFERROR(__xludf.DUMMYFUNCTION("IF(D2="""", 0, COUNTA(SPLIT(D2, "" "")))"),3.0)</f>
        <v>3</v>
      </c>
      <c r="F2" s="8" t="s">
        <v>1217</v>
      </c>
      <c r="G2" s="12">
        <v>12449.0</v>
      </c>
      <c r="H2" s="26">
        <f t="shared" ref="H2:H254" si="1">IF(J2 &gt; 80, J2-80, 0)</f>
        <v>11.22245038</v>
      </c>
      <c r="I2" s="26">
        <f t="shared" ref="I2:I254" si="2">IF(J2 &lt; 80, -(J2-80), 0)</f>
        <v>0</v>
      </c>
      <c r="J2" s="26">
        <f t="shared" ref="J2:J254" si="3">(A2-G2) / 365.25</f>
        <v>91.22245038</v>
      </c>
      <c r="K2" s="9">
        <f t="shared" ref="K2:K253" si="4">(A2-M2)/365.25</f>
        <v>24.1615332</v>
      </c>
      <c r="L2" s="27" t="s">
        <v>1218</v>
      </c>
      <c r="M2" s="28">
        <v>36943.0</v>
      </c>
      <c r="N2" s="16" t="s">
        <v>138</v>
      </c>
      <c r="O2" s="8" t="s">
        <v>1219</v>
      </c>
      <c r="P2" s="1">
        <v>0.0</v>
      </c>
      <c r="Q2" s="1">
        <v>0.0</v>
      </c>
      <c r="R2" s="1">
        <v>0.0</v>
      </c>
      <c r="S2" s="1">
        <v>0.0526</v>
      </c>
      <c r="T2" s="1" t="s">
        <v>27</v>
      </c>
    </row>
    <row r="3">
      <c r="A3" s="25">
        <v>45768.0</v>
      </c>
      <c r="B3" s="5" t="s">
        <v>58</v>
      </c>
      <c r="C3" s="5">
        <v>2.0</v>
      </c>
      <c r="D3" s="17" t="s">
        <v>1220</v>
      </c>
      <c r="E3" s="1">
        <f>IFERROR(__xludf.DUMMYFUNCTION("IF(D3="""", 0, COUNTA(SPLIT(D3, "" "")))"),2.0)</f>
        <v>2</v>
      </c>
      <c r="F3" s="8" t="s">
        <v>1221</v>
      </c>
      <c r="G3" s="12">
        <v>16028.0</v>
      </c>
      <c r="H3" s="26">
        <f t="shared" si="1"/>
        <v>1.423682409</v>
      </c>
      <c r="I3" s="26">
        <f t="shared" si="2"/>
        <v>0</v>
      </c>
      <c r="J3" s="26">
        <f t="shared" si="3"/>
        <v>81.42368241</v>
      </c>
      <c r="K3" s="9">
        <f t="shared" si="4"/>
        <v>17.4072553</v>
      </c>
      <c r="L3" s="27" t="s">
        <v>1222</v>
      </c>
      <c r="M3" s="28">
        <v>39410.0</v>
      </c>
      <c r="N3" s="16" t="s">
        <v>146</v>
      </c>
      <c r="O3" s="8" t="s">
        <v>1223</v>
      </c>
      <c r="P3" s="1">
        <v>0.0</v>
      </c>
      <c r="Q3" s="1">
        <v>0.0</v>
      </c>
      <c r="R3" s="1">
        <v>0.0</v>
      </c>
      <c r="S3" s="1">
        <v>0.0</v>
      </c>
      <c r="T3" s="1" t="s">
        <v>163</v>
      </c>
    </row>
    <row r="4">
      <c r="A4" s="25">
        <v>45768.0</v>
      </c>
      <c r="B4" s="5" t="s">
        <v>58</v>
      </c>
      <c r="C4" s="5">
        <v>3.0</v>
      </c>
      <c r="D4" s="17" t="s">
        <v>1224</v>
      </c>
      <c r="E4" s="1">
        <f>IFERROR(__xludf.DUMMYFUNCTION("IF(D4="""", 0, COUNTA(SPLIT(D4, "" "")))"),2.0)</f>
        <v>2</v>
      </c>
      <c r="F4" s="8" t="s">
        <v>1225</v>
      </c>
      <c r="G4" s="12">
        <v>11994.0</v>
      </c>
      <c r="H4" s="26">
        <f t="shared" si="1"/>
        <v>12.46817248</v>
      </c>
      <c r="I4" s="26">
        <f t="shared" si="2"/>
        <v>0</v>
      </c>
      <c r="J4" s="26">
        <f t="shared" si="3"/>
        <v>92.46817248</v>
      </c>
      <c r="K4" s="9">
        <f t="shared" si="4"/>
        <v>39.90691307</v>
      </c>
      <c r="L4" s="27" t="s">
        <v>1226</v>
      </c>
      <c r="M4" s="28">
        <v>31192.0</v>
      </c>
      <c r="N4" s="16" t="s">
        <v>138</v>
      </c>
      <c r="O4" s="8" t="s">
        <v>1227</v>
      </c>
      <c r="P4" s="1">
        <v>0.0</v>
      </c>
      <c r="Q4" s="1">
        <v>0.0</v>
      </c>
      <c r="R4" s="1">
        <v>0.0</v>
      </c>
      <c r="S4" s="1">
        <v>0.0</v>
      </c>
      <c r="T4" s="1" t="s">
        <v>561</v>
      </c>
    </row>
    <row r="5">
      <c r="A5" s="25">
        <v>45768.0</v>
      </c>
      <c r="B5" s="5" t="s">
        <v>58</v>
      </c>
      <c r="C5" s="5">
        <v>4.0</v>
      </c>
      <c r="D5" s="17" t="s">
        <v>1228</v>
      </c>
      <c r="E5" s="1">
        <f>IFERROR(__xludf.DUMMYFUNCTION("IF(D5="""", 0, COUNTA(SPLIT(D5, "" "")))"),2.0)</f>
        <v>2</v>
      </c>
      <c r="F5" s="8" t="s">
        <v>1229</v>
      </c>
      <c r="G5" s="12">
        <v>12755.0</v>
      </c>
      <c r="H5" s="26">
        <f t="shared" si="1"/>
        <v>10.38466804</v>
      </c>
      <c r="I5" s="26">
        <f t="shared" si="2"/>
        <v>0</v>
      </c>
      <c r="J5" s="26">
        <f t="shared" si="3"/>
        <v>90.38466804</v>
      </c>
      <c r="K5" s="9">
        <f t="shared" si="4"/>
        <v>21.50034223</v>
      </c>
      <c r="L5" s="27" t="s">
        <v>1230</v>
      </c>
      <c r="M5" s="28">
        <v>37915.0</v>
      </c>
      <c r="N5" s="16" t="s">
        <v>138</v>
      </c>
      <c r="O5" s="8" t="s">
        <v>1231</v>
      </c>
      <c r="P5" s="1">
        <v>0.0</v>
      </c>
      <c r="Q5" s="1">
        <v>0.0</v>
      </c>
      <c r="R5" s="1">
        <v>0.0</v>
      </c>
      <c r="S5" s="1">
        <v>0.0</v>
      </c>
      <c r="T5" s="1" t="s">
        <v>27</v>
      </c>
    </row>
    <row r="6">
      <c r="A6" s="25">
        <v>45768.0</v>
      </c>
      <c r="B6" s="5" t="s">
        <v>58</v>
      </c>
      <c r="C6" s="5">
        <v>5.0</v>
      </c>
      <c r="D6" s="17" t="s">
        <v>1232</v>
      </c>
      <c r="E6" s="1">
        <f>IFERROR(__xludf.DUMMYFUNCTION("IF(D6="""", 0, COUNTA(SPLIT(D6, "" "")))"),3.0)</f>
        <v>3</v>
      </c>
      <c r="F6" s="8" t="s">
        <v>1233</v>
      </c>
      <c r="G6" s="12">
        <v>11694.0</v>
      </c>
      <c r="H6" s="26">
        <f t="shared" si="1"/>
        <v>13.28952772</v>
      </c>
      <c r="I6" s="26">
        <f t="shared" si="2"/>
        <v>0</v>
      </c>
      <c r="J6" s="26">
        <f t="shared" si="3"/>
        <v>93.28952772</v>
      </c>
      <c r="K6" s="9">
        <f t="shared" si="4"/>
        <v>24.1615332</v>
      </c>
      <c r="L6" s="27" t="s">
        <v>1234</v>
      </c>
      <c r="M6" s="28">
        <v>36943.0</v>
      </c>
      <c r="N6" s="16" t="s">
        <v>138</v>
      </c>
      <c r="O6" s="8" t="s">
        <v>1235</v>
      </c>
      <c r="P6" s="1">
        <v>0.0</v>
      </c>
      <c r="Q6" s="1">
        <v>0.0</v>
      </c>
      <c r="R6" s="1">
        <v>0.0</v>
      </c>
      <c r="S6" s="1">
        <v>0.0</v>
      </c>
      <c r="T6" s="1" t="s">
        <v>218</v>
      </c>
    </row>
    <row r="7">
      <c r="A7" s="25">
        <v>45768.0</v>
      </c>
      <c r="B7" s="5" t="s">
        <v>58</v>
      </c>
      <c r="C7" s="5">
        <v>6.0</v>
      </c>
      <c r="D7" s="8" t="s">
        <v>1236</v>
      </c>
      <c r="E7" s="1">
        <f>IFERROR(__xludf.DUMMYFUNCTION("IF(D7="""", 0, COUNTA(SPLIT(D7, "" "")))"),2.0)</f>
        <v>2</v>
      </c>
      <c r="F7" s="8" t="s">
        <v>1237</v>
      </c>
      <c r="G7" s="12">
        <v>20106.0</v>
      </c>
      <c r="H7" s="26">
        <f t="shared" si="1"/>
        <v>0</v>
      </c>
      <c r="I7" s="26">
        <f t="shared" si="2"/>
        <v>9.741273101</v>
      </c>
      <c r="J7" s="26">
        <f t="shared" si="3"/>
        <v>70.2587269</v>
      </c>
      <c r="K7" s="9">
        <f t="shared" si="4"/>
        <v>11.15947981</v>
      </c>
      <c r="L7" s="27" t="s">
        <v>1238</v>
      </c>
      <c r="M7" s="28">
        <v>41692.0</v>
      </c>
      <c r="N7" s="16" t="s">
        <v>241</v>
      </c>
      <c r="O7" s="8" t="s">
        <v>1239</v>
      </c>
      <c r="P7" s="1">
        <v>0.0</v>
      </c>
      <c r="Q7" s="1">
        <v>1.0</v>
      </c>
      <c r="R7" s="1">
        <v>1.0</v>
      </c>
      <c r="S7" s="1">
        <v>0.2326</v>
      </c>
      <c r="T7" s="1" t="s">
        <v>27</v>
      </c>
    </row>
    <row r="8">
      <c r="A8" s="25">
        <v>45768.0</v>
      </c>
      <c r="B8" s="5" t="s">
        <v>58</v>
      </c>
      <c r="C8" s="5">
        <v>7.0</v>
      </c>
      <c r="D8" s="17" t="s">
        <v>1240</v>
      </c>
      <c r="E8" s="1">
        <f>IFERROR(__xludf.DUMMYFUNCTION("IF(D8="""", 0, COUNTA(SPLIT(D8, "" "")))"),2.0)</f>
        <v>2</v>
      </c>
      <c r="F8" s="8" t="s">
        <v>1241</v>
      </c>
      <c r="G8" s="12">
        <v>16231.0</v>
      </c>
      <c r="H8" s="26">
        <f t="shared" si="1"/>
        <v>0.8678986995</v>
      </c>
      <c r="I8" s="26">
        <f t="shared" si="2"/>
        <v>0</v>
      </c>
      <c r="J8" s="26">
        <f t="shared" si="3"/>
        <v>80.8678987</v>
      </c>
      <c r="K8" s="9">
        <f t="shared" si="4"/>
        <v>21.50034223</v>
      </c>
      <c r="L8" s="27" t="s">
        <v>1242</v>
      </c>
      <c r="M8" s="28">
        <v>37915.0</v>
      </c>
      <c r="N8" s="16" t="s">
        <v>138</v>
      </c>
      <c r="O8" s="8" t="s">
        <v>1243</v>
      </c>
      <c r="P8" s="1">
        <v>22.0</v>
      </c>
      <c r="Q8" s="1">
        <v>0.0</v>
      </c>
      <c r="R8" s="1">
        <v>0.0</v>
      </c>
      <c r="S8" s="1">
        <v>0.0</v>
      </c>
      <c r="T8" s="1" t="s">
        <v>174</v>
      </c>
    </row>
    <row r="9">
      <c r="A9" s="25">
        <v>45768.0</v>
      </c>
      <c r="B9" s="5" t="s">
        <v>58</v>
      </c>
      <c r="C9" s="5">
        <v>8.0</v>
      </c>
      <c r="D9" s="8" t="s">
        <v>1244</v>
      </c>
      <c r="E9" s="1">
        <f>IFERROR(__xludf.DUMMYFUNCTION("IF(D9="""", 0, COUNTA(SPLIT(D9, "" "")))"),2.0)</f>
        <v>2</v>
      </c>
      <c r="F9" s="8" t="s">
        <v>1245</v>
      </c>
      <c r="G9" s="12">
        <v>16907.0</v>
      </c>
      <c r="H9" s="26">
        <f t="shared" si="1"/>
        <v>0</v>
      </c>
      <c r="I9" s="26">
        <f t="shared" si="2"/>
        <v>0.9828884326</v>
      </c>
      <c r="J9" s="26">
        <f t="shared" si="3"/>
        <v>79.01711157</v>
      </c>
      <c r="K9" s="9">
        <f t="shared" si="4"/>
        <v>13.17180014</v>
      </c>
      <c r="L9" s="27" t="s">
        <v>1246</v>
      </c>
      <c r="M9" s="28">
        <v>40957.0</v>
      </c>
      <c r="N9" s="16" t="s">
        <v>146</v>
      </c>
      <c r="O9" s="8" t="s">
        <v>1247</v>
      </c>
      <c r="P9" s="1">
        <v>0.0</v>
      </c>
      <c r="Q9" s="1">
        <v>0.0</v>
      </c>
      <c r="R9" s="1">
        <v>0.0</v>
      </c>
      <c r="S9" s="1">
        <v>0.0</v>
      </c>
      <c r="T9" s="1" t="s">
        <v>27</v>
      </c>
    </row>
    <row r="10">
      <c r="A10" s="25">
        <v>45768.0</v>
      </c>
      <c r="B10" s="5" t="s">
        <v>58</v>
      </c>
      <c r="C10" s="5">
        <v>9.0</v>
      </c>
      <c r="D10" s="17" t="s">
        <v>1248</v>
      </c>
      <c r="E10" s="1">
        <f>IFERROR(__xludf.DUMMYFUNCTION("IF(D10="""", 0, COUNTA(SPLIT(D10, "" "")))"),2.0)</f>
        <v>2</v>
      </c>
      <c r="F10" s="8" t="s">
        <v>1249</v>
      </c>
      <c r="G10" s="12">
        <v>15206.0</v>
      </c>
      <c r="H10" s="26">
        <f t="shared" si="1"/>
        <v>3.674195756</v>
      </c>
      <c r="I10" s="26">
        <f t="shared" si="2"/>
        <v>0</v>
      </c>
      <c r="J10" s="26">
        <f t="shared" si="3"/>
        <v>83.67419576</v>
      </c>
      <c r="K10" s="9">
        <f t="shared" si="4"/>
        <v>11.15947981</v>
      </c>
      <c r="L10" s="27" t="s">
        <v>1250</v>
      </c>
      <c r="M10" s="28">
        <v>41692.0</v>
      </c>
      <c r="N10" s="16" t="s">
        <v>241</v>
      </c>
      <c r="O10" s="8" t="s">
        <v>1251</v>
      </c>
      <c r="P10" s="1">
        <v>0.0</v>
      </c>
      <c r="Q10" s="1">
        <v>0.0</v>
      </c>
      <c r="R10" s="1">
        <v>0.0</v>
      </c>
      <c r="S10" s="1">
        <v>0.0</v>
      </c>
      <c r="T10" s="1" t="s">
        <v>27</v>
      </c>
    </row>
    <row r="11">
      <c r="A11" s="25">
        <v>45768.0</v>
      </c>
      <c r="B11" s="5" t="s">
        <v>58</v>
      </c>
      <c r="C11" s="5">
        <v>10.0</v>
      </c>
      <c r="D11" s="8" t="s">
        <v>1252</v>
      </c>
      <c r="E11" s="1">
        <f>IFERROR(__xludf.DUMMYFUNCTION("IF(D11="""", 0, COUNTA(SPLIT(D11, "" "")))"),3.0)</f>
        <v>3</v>
      </c>
      <c r="F11" s="8" t="s">
        <v>1253</v>
      </c>
      <c r="G11" s="12">
        <v>20992.0</v>
      </c>
      <c r="H11" s="26">
        <f t="shared" si="1"/>
        <v>0</v>
      </c>
      <c r="I11" s="26">
        <f t="shared" si="2"/>
        <v>12.1670089</v>
      </c>
      <c r="J11" s="26">
        <f t="shared" si="3"/>
        <v>67.8329911</v>
      </c>
      <c r="K11" s="9">
        <f t="shared" si="4"/>
        <v>12.40520192</v>
      </c>
      <c r="L11" s="27" t="s">
        <v>1254</v>
      </c>
      <c r="M11" s="28">
        <v>41237.0</v>
      </c>
      <c r="N11" s="16" t="s">
        <v>146</v>
      </c>
      <c r="O11" s="8" t="s">
        <v>1255</v>
      </c>
      <c r="P11" s="1">
        <v>0.0</v>
      </c>
      <c r="Q11" s="1">
        <v>1.0</v>
      </c>
      <c r="R11" s="1">
        <v>1.0</v>
      </c>
      <c r="S11" s="1">
        <v>0.1852</v>
      </c>
      <c r="T11" s="1" t="s">
        <v>419</v>
      </c>
    </row>
    <row r="12">
      <c r="A12" s="25">
        <v>45768.0</v>
      </c>
      <c r="B12" s="5" t="s">
        <v>58</v>
      </c>
      <c r="C12" s="5">
        <v>11.0</v>
      </c>
      <c r="D12" s="17" t="s">
        <v>1256</v>
      </c>
      <c r="E12" s="1">
        <f>IFERROR(__xludf.DUMMYFUNCTION("IF(D12="""", 0, COUNTA(SPLIT(D12, "" "")))"),3.0)</f>
        <v>3</v>
      </c>
      <c r="F12" s="8" t="s">
        <v>1257</v>
      </c>
      <c r="G12" s="12">
        <v>20346.0</v>
      </c>
      <c r="H12" s="26">
        <f t="shared" si="1"/>
        <v>0</v>
      </c>
      <c r="I12" s="26">
        <f t="shared" si="2"/>
        <v>10.39835729</v>
      </c>
      <c r="J12" s="26">
        <f t="shared" si="3"/>
        <v>69.60164271</v>
      </c>
      <c r="K12" s="9">
        <f t="shared" si="4"/>
        <v>1.557837098</v>
      </c>
      <c r="L12" s="27" t="s">
        <v>1258</v>
      </c>
      <c r="M12" s="28">
        <v>45199.0</v>
      </c>
      <c r="N12" s="16" t="s">
        <v>241</v>
      </c>
      <c r="O12" s="8" t="s">
        <v>1259</v>
      </c>
      <c r="P12" s="1">
        <v>0.0</v>
      </c>
      <c r="Q12" s="1">
        <v>0.0</v>
      </c>
      <c r="R12" s="1">
        <v>0.0</v>
      </c>
      <c r="S12" s="1">
        <v>0.0</v>
      </c>
      <c r="T12" s="1" t="s">
        <v>167</v>
      </c>
    </row>
    <row r="13">
      <c r="A13" s="25">
        <v>45768.0</v>
      </c>
      <c r="B13" s="5" t="s">
        <v>58</v>
      </c>
      <c r="C13" s="5">
        <v>12.0</v>
      </c>
      <c r="D13" s="17" t="s">
        <v>1260</v>
      </c>
      <c r="E13" s="1">
        <f>IFERROR(__xludf.DUMMYFUNCTION("IF(D13="""", 0, COUNTA(SPLIT(D13, "" "")))"),3.0)</f>
        <v>3</v>
      </c>
      <c r="F13" s="8" t="s">
        <v>1261</v>
      </c>
      <c r="G13" s="12">
        <v>14666.0</v>
      </c>
      <c r="H13" s="26">
        <f t="shared" si="1"/>
        <v>5.152635181</v>
      </c>
      <c r="I13" s="26">
        <f t="shared" si="2"/>
        <v>0</v>
      </c>
      <c r="J13" s="26">
        <f t="shared" si="3"/>
        <v>85.15263518</v>
      </c>
      <c r="K13" s="9">
        <f t="shared" si="4"/>
        <v>12.40520192</v>
      </c>
      <c r="L13" s="27" t="s">
        <v>1262</v>
      </c>
      <c r="M13" s="28">
        <v>41237.0</v>
      </c>
      <c r="N13" s="16" t="s">
        <v>146</v>
      </c>
      <c r="O13" s="8" t="s">
        <v>1263</v>
      </c>
      <c r="P13" s="1">
        <v>0.0</v>
      </c>
      <c r="Q13" s="1">
        <v>0.0</v>
      </c>
      <c r="R13" s="1">
        <v>0.0</v>
      </c>
      <c r="S13" s="1">
        <v>0.0</v>
      </c>
      <c r="T13" s="1" t="s">
        <v>148</v>
      </c>
    </row>
    <row r="14">
      <c r="A14" s="25">
        <v>45768.0</v>
      </c>
      <c r="B14" s="5" t="s">
        <v>58</v>
      </c>
      <c r="C14" s="5">
        <v>13.0</v>
      </c>
      <c r="D14" s="8" t="s">
        <v>1264</v>
      </c>
      <c r="E14" s="1">
        <f>IFERROR(__xludf.DUMMYFUNCTION("IF(D14="""", 0, COUNTA(SPLIT(D14, "" "")))"),4.0)</f>
        <v>4</v>
      </c>
      <c r="F14" s="8" t="s">
        <v>1265</v>
      </c>
      <c r="G14" s="12">
        <v>17718.0</v>
      </c>
      <c r="H14" s="26">
        <f t="shared" si="1"/>
        <v>0</v>
      </c>
      <c r="I14" s="26">
        <f t="shared" si="2"/>
        <v>3.203285421</v>
      </c>
      <c r="J14" s="26">
        <f t="shared" si="3"/>
        <v>76.79671458</v>
      </c>
      <c r="K14" s="9">
        <f t="shared" si="4"/>
        <v>6.814510609</v>
      </c>
      <c r="L14" s="27" t="s">
        <v>1266</v>
      </c>
      <c r="M14" s="28">
        <v>43279.0</v>
      </c>
      <c r="N14" s="16" t="s">
        <v>241</v>
      </c>
      <c r="O14" s="8" t="s">
        <v>1267</v>
      </c>
      <c r="P14" s="1">
        <v>0.0</v>
      </c>
      <c r="Q14" s="1">
        <v>0.0</v>
      </c>
      <c r="R14" s="1">
        <v>0.0</v>
      </c>
      <c r="S14" s="1">
        <v>0.0</v>
      </c>
      <c r="T14" s="1" t="s">
        <v>148</v>
      </c>
    </row>
    <row r="15">
      <c r="A15" s="25">
        <v>45768.0</v>
      </c>
      <c r="B15" s="5" t="s">
        <v>58</v>
      </c>
      <c r="C15" s="5">
        <v>14.0</v>
      </c>
      <c r="D15" s="17" t="s">
        <v>1268</v>
      </c>
      <c r="E15" s="1">
        <f>IFERROR(__xludf.DUMMYFUNCTION("IF(D15="""", 0, COUNTA(SPLIT(D15, "" "")))"),3.0)</f>
        <v>3</v>
      </c>
      <c r="F15" s="8" t="s">
        <v>1269</v>
      </c>
      <c r="G15" s="12">
        <v>10618.0</v>
      </c>
      <c r="H15" s="26">
        <f t="shared" si="1"/>
        <v>16.23545517</v>
      </c>
      <c r="I15" s="26">
        <f t="shared" si="2"/>
        <v>0</v>
      </c>
      <c r="J15" s="26">
        <f t="shared" si="3"/>
        <v>96.23545517</v>
      </c>
      <c r="K15" s="9">
        <f t="shared" si="4"/>
        <v>42.21492129</v>
      </c>
      <c r="L15" s="27" t="s">
        <v>1270</v>
      </c>
      <c r="M15" s="28">
        <v>30349.0</v>
      </c>
      <c r="N15" s="16" t="s">
        <v>138</v>
      </c>
      <c r="O15" s="8" t="s">
        <v>1271</v>
      </c>
      <c r="P15" s="1">
        <v>0.0</v>
      </c>
      <c r="Q15" s="1">
        <v>0.0</v>
      </c>
      <c r="R15" s="1">
        <v>0.0</v>
      </c>
      <c r="S15" s="1">
        <v>0.0</v>
      </c>
      <c r="T15" s="1" t="s">
        <v>539</v>
      </c>
    </row>
    <row r="16">
      <c r="A16" s="25">
        <v>45768.0</v>
      </c>
      <c r="B16" s="5" t="s">
        <v>58</v>
      </c>
      <c r="C16" s="5">
        <v>15.0</v>
      </c>
      <c r="D16" s="17" t="s">
        <v>1272</v>
      </c>
      <c r="E16" s="1">
        <f>IFERROR(__xludf.DUMMYFUNCTION("IF(D16="""", 0, COUNTA(SPLIT(D16, "" "")))"),2.0)</f>
        <v>2</v>
      </c>
      <c r="F16" s="8" t="s">
        <v>1273</v>
      </c>
      <c r="G16" s="12">
        <v>11200.0</v>
      </c>
      <c r="H16" s="26">
        <f t="shared" si="1"/>
        <v>14.64202601</v>
      </c>
      <c r="I16" s="26">
        <f t="shared" si="2"/>
        <v>0</v>
      </c>
      <c r="J16" s="26">
        <f t="shared" si="3"/>
        <v>94.64202601</v>
      </c>
      <c r="K16" s="9">
        <f t="shared" si="4"/>
        <v>39.90691307</v>
      </c>
      <c r="L16" s="27" t="s">
        <v>1274</v>
      </c>
      <c r="M16" s="28">
        <v>31192.0</v>
      </c>
      <c r="N16" s="16" t="s">
        <v>138</v>
      </c>
      <c r="O16" s="8" t="s">
        <v>1275</v>
      </c>
      <c r="P16" s="1">
        <v>0.0</v>
      </c>
      <c r="Q16" s="1">
        <v>0.0</v>
      </c>
      <c r="R16" s="1">
        <v>0.0</v>
      </c>
      <c r="S16" s="1">
        <v>0.0</v>
      </c>
      <c r="T16" s="1" t="s">
        <v>174</v>
      </c>
    </row>
    <row r="17">
      <c r="A17" s="25">
        <v>45768.0</v>
      </c>
      <c r="B17" s="5" t="s">
        <v>58</v>
      </c>
      <c r="C17" s="5">
        <v>16.0</v>
      </c>
      <c r="D17" s="17" t="s">
        <v>1276</v>
      </c>
      <c r="E17" s="1">
        <f>IFERROR(__xludf.DUMMYFUNCTION("IF(D17="""", 0, COUNTA(SPLIT(D17, "" "")))"),2.0)</f>
        <v>2</v>
      </c>
      <c r="F17" s="8" t="s">
        <v>1277</v>
      </c>
      <c r="G17" s="12">
        <v>10278.0</v>
      </c>
      <c r="H17" s="26">
        <f t="shared" si="1"/>
        <v>17.16632444</v>
      </c>
      <c r="I17" s="26">
        <f t="shared" si="2"/>
        <v>0</v>
      </c>
      <c r="J17" s="26">
        <f t="shared" si="3"/>
        <v>97.16632444</v>
      </c>
      <c r="K17" s="9">
        <f t="shared" si="4"/>
        <v>39.90691307</v>
      </c>
      <c r="L17" s="27" t="s">
        <v>1278</v>
      </c>
      <c r="M17" s="28">
        <v>31192.0</v>
      </c>
      <c r="N17" s="16" t="s">
        <v>138</v>
      </c>
      <c r="O17" s="8" t="s">
        <v>1279</v>
      </c>
      <c r="P17" s="1">
        <v>0.0</v>
      </c>
      <c r="Q17" s="1">
        <v>0.0</v>
      </c>
      <c r="R17" s="1">
        <v>0.0</v>
      </c>
      <c r="S17" s="1">
        <v>0.0</v>
      </c>
      <c r="T17" s="1" t="s">
        <v>159</v>
      </c>
    </row>
    <row r="18">
      <c r="A18" s="25">
        <v>45768.0</v>
      </c>
      <c r="B18" s="5" t="s">
        <v>58</v>
      </c>
      <c r="C18" s="5">
        <v>17.0</v>
      </c>
      <c r="D18" s="17" t="s">
        <v>1280</v>
      </c>
      <c r="E18" s="1">
        <f>IFERROR(__xludf.DUMMYFUNCTION("IF(D18="""", 0, COUNTA(SPLIT(D18, "" "")))"),5.0)</f>
        <v>5</v>
      </c>
      <c r="F18" s="8" t="s">
        <v>1281</v>
      </c>
      <c r="G18" s="12">
        <v>13454.0</v>
      </c>
      <c r="H18" s="26">
        <f t="shared" si="1"/>
        <v>8.470910335</v>
      </c>
      <c r="I18" s="26">
        <f t="shared" si="2"/>
        <v>0</v>
      </c>
      <c r="J18" s="26">
        <f t="shared" si="3"/>
        <v>88.47091034</v>
      </c>
      <c r="K18" s="9">
        <f t="shared" si="4"/>
        <v>33.81519507</v>
      </c>
      <c r="L18" s="27" t="s">
        <v>1282</v>
      </c>
      <c r="M18" s="28">
        <v>33417.0</v>
      </c>
      <c r="N18" s="16" t="s">
        <v>138</v>
      </c>
      <c r="O18" s="8" t="s">
        <v>1283</v>
      </c>
      <c r="P18" s="1">
        <v>0.0</v>
      </c>
      <c r="Q18" s="1">
        <v>0.0</v>
      </c>
      <c r="R18" s="1">
        <v>0.0</v>
      </c>
      <c r="S18" s="1">
        <v>0.0</v>
      </c>
      <c r="T18" s="1" t="s">
        <v>163</v>
      </c>
    </row>
    <row r="19">
      <c r="A19" s="25">
        <v>45768.0</v>
      </c>
      <c r="B19" s="5" t="s">
        <v>58</v>
      </c>
      <c r="C19" s="5">
        <v>18.0</v>
      </c>
      <c r="D19" s="17" t="s">
        <v>1284</v>
      </c>
      <c r="E19" s="1">
        <f>IFERROR(__xludf.DUMMYFUNCTION("IF(D19="""", 0, COUNTA(SPLIT(D19, "" "")))"),2.0)</f>
        <v>2</v>
      </c>
      <c r="F19" s="8" t="s">
        <v>1285</v>
      </c>
      <c r="G19" s="12">
        <v>13207.0</v>
      </c>
      <c r="H19" s="26">
        <f t="shared" si="1"/>
        <v>9.14715948</v>
      </c>
      <c r="I19" s="26">
        <f t="shared" si="2"/>
        <v>0</v>
      </c>
      <c r="J19" s="26">
        <f t="shared" si="3"/>
        <v>89.14715948</v>
      </c>
      <c r="K19" s="9">
        <f t="shared" si="4"/>
        <v>33.81519507</v>
      </c>
      <c r="L19" s="27" t="s">
        <v>1286</v>
      </c>
      <c r="M19" s="28">
        <v>33417.0</v>
      </c>
      <c r="N19" s="16" t="s">
        <v>138</v>
      </c>
      <c r="O19" s="8" t="s">
        <v>1287</v>
      </c>
      <c r="P19" s="1">
        <v>0.0</v>
      </c>
      <c r="Q19" s="1">
        <v>0.0</v>
      </c>
      <c r="R19" s="1">
        <v>0.0</v>
      </c>
      <c r="S19" s="1">
        <v>0.0</v>
      </c>
      <c r="T19" s="1" t="s">
        <v>167</v>
      </c>
    </row>
    <row r="20">
      <c r="A20" s="25">
        <v>45768.0</v>
      </c>
      <c r="B20" s="5" t="s">
        <v>58</v>
      </c>
      <c r="C20" s="5">
        <v>19.0</v>
      </c>
      <c r="D20" s="17" t="s">
        <v>1288</v>
      </c>
      <c r="E20" s="1">
        <f>IFERROR(__xludf.DUMMYFUNCTION("IF(D20="""", 0, COUNTA(SPLIT(D20, "" "")))"),2.0)</f>
        <v>2</v>
      </c>
      <c r="F20" s="8" t="s">
        <v>1289</v>
      </c>
      <c r="G20" s="12">
        <v>11373.0</v>
      </c>
      <c r="H20" s="26">
        <f t="shared" si="1"/>
        <v>14.16837782</v>
      </c>
      <c r="I20" s="26">
        <f t="shared" si="2"/>
        <v>0</v>
      </c>
      <c r="J20" s="26">
        <f t="shared" si="3"/>
        <v>94.16837782</v>
      </c>
      <c r="K20" s="9">
        <f t="shared" si="4"/>
        <v>33.81519507</v>
      </c>
      <c r="L20" s="27" t="s">
        <v>1290</v>
      </c>
      <c r="M20" s="28">
        <v>33417.0</v>
      </c>
      <c r="N20" s="16" t="s">
        <v>138</v>
      </c>
      <c r="O20" s="8" t="s">
        <v>1291</v>
      </c>
      <c r="P20" s="1">
        <v>0.0</v>
      </c>
      <c r="Q20" s="1">
        <v>0.0</v>
      </c>
      <c r="R20" s="1">
        <v>0.0</v>
      </c>
      <c r="S20" s="1">
        <v>0.0</v>
      </c>
      <c r="T20" s="1" t="s">
        <v>27</v>
      </c>
    </row>
    <row r="21">
      <c r="A21" s="25">
        <v>45768.0</v>
      </c>
      <c r="B21" s="5" t="s">
        <v>58</v>
      </c>
      <c r="C21" s="5">
        <v>20.0</v>
      </c>
      <c r="D21" s="17" t="s">
        <v>1292</v>
      </c>
      <c r="E21" s="1">
        <f>IFERROR(__xludf.DUMMYFUNCTION("IF(D21="""", 0, COUNTA(SPLIT(D21, "" "")))"),2.0)</f>
        <v>2</v>
      </c>
      <c r="F21" s="8" t="s">
        <v>1293</v>
      </c>
      <c r="G21" s="12">
        <v>12773.0</v>
      </c>
      <c r="H21" s="26">
        <f t="shared" si="1"/>
        <v>10.33538672</v>
      </c>
      <c r="I21" s="26">
        <f t="shared" si="2"/>
        <v>0</v>
      </c>
      <c r="J21" s="26">
        <f t="shared" si="3"/>
        <v>90.33538672</v>
      </c>
      <c r="K21" s="9">
        <f t="shared" si="4"/>
        <v>30.40109514</v>
      </c>
      <c r="L21" s="27" t="s">
        <v>1294</v>
      </c>
      <c r="M21" s="28">
        <v>34664.0</v>
      </c>
      <c r="N21" s="16" t="s">
        <v>138</v>
      </c>
      <c r="O21" s="8" t="s">
        <v>1295</v>
      </c>
      <c r="P21" s="1">
        <v>0.0</v>
      </c>
      <c r="Q21" s="1">
        <v>0.0</v>
      </c>
      <c r="R21" s="1">
        <v>0.0</v>
      </c>
      <c r="S21" s="1">
        <v>0.0</v>
      </c>
      <c r="T21" s="1" t="s">
        <v>630</v>
      </c>
    </row>
    <row r="22">
      <c r="A22" s="25">
        <v>45768.0</v>
      </c>
      <c r="B22" s="5" t="s">
        <v>58</v>
      </c>
      <c r="C22" s="5">
        <v>21.0</v>
      </c>
      <c r="D22" s="17" t="s">
        <v>1296</v>
      </c>
      <c r="E22" s="1">
        <f>IFERROR(__xludf.DUMMYFUNCTION("IF(D22="""", 0, COUNTA(SPLIT(D22, "" "")))"),2.0)</f>
        <v>2</v>
      </c>
      <c r="F22" s="8" t="s">
        <v>1297</v>
      </c>
      <c r="G22" s="12">
        <v>9846.0</v>
      </c>
      <c r="H22" s="26">
        <f t="shared" si="1"/>
        <v>18.34907598</v>
      </c>
      <c r="I22" s="26">
        <f t="shared" si="2"/>
        <v>0</v>
      </c>
      <c r="J22" s="26">
        <f t="shared" si="3"/>
        <v>98.34907598</v>
      </c>
      <c r="K22" s="9">
        <f t="shared" si="4"/>
        <v>30.40109514</v>
      </c>
      <c r="L22" s="27" t="s">
        <v>1298</v>
      </c>
      <c r="M22" s="28">
        <v>34664.0</v>
      </c>
      <c r="N22" s="16" t="s">
        <v>138</v>
      </c>
      <c r="O22" s="8" t="s">
        <v>1299</v>
      </c>
      <c r="P22" s="1">
        <v>0.0</v>
      </c>
      <c r="Q22" s="1">
        <v>0.0</v>
      </c>
      <c r="R22" s="1">
        <v>0.0</v>
      </c>
      <c r="S22" s="1">
        <v>0.0</v>
      </c>
      <c r="T22" s="1" t="s">
        <v>637</v>
      </c>
    </row>
    <row r="23">
      <c r="A23" s="25">
        <v>45768.0</v>
      </c>
      <c r="B23" s="5" t="s">
        <v>58</v>
      </c>
      <c r="C23" s="5">
        <v>22.0</v>
      </c>
      <c r="D23" s="17" t="s">
        <v>1300</v>
      </c>
      <c r="E23" s="1">
        <f>IFERROR(__xludf.DUMMYFUNCTION("IF(D23="""", 0, COUNTA(SPLIT(D23, "" "")))"),2.0)</f>
        <v>2</v>
      </c>
      <c r="F23" s="8" t="s">
        <v>1301</v>
      </c>
      <c r="G23" s="12">
        <v>11035.0</v>
      </c>
      <c r="H23" s="26">
        <f t="shared" si="1"/>
        <v>15.09377139</v>
      </c>
      <c r="I23" s="26">
        <f t="shared" si="2"/>
        <v>0</v>
      </c>
      <c r="J23" s="26">
        <f t="shared" si="3"/>
        <v>95.09377139</v>
      </c>
      <c r="K23" s="9">
        <f t="shared" si="4"/>
        <v>30.40109514</v>
      </c>
      <c r="L23" s="27" t="s">
        <v>1302</v>
      </c>
      <c r="M23" s="28">
        <v>34664.0</v>
      </c>
      <c r="N23" s="16" t="s">
        <v>138</v>
      </c>
      <c r="O23" s="8" t="s">
        <v>1303</v>
      </c>
      <c r="P23" s="1">
        <v>0.0</v>
      </c>
      <c r="Q23" s="1">
        <v>0.0</v>
      </c>
      <c r="R23" s="1">
        <v>0.0</v>
      </c>
      <c r="S23" s="1">
        <v>0.0</v>
      </c>
      <c r="T23" s="1" t="s">
        <v>167</v>
      </c>
    </row>
    <row r="24">
      <c r="A24" s="25">
        <v>45768.0</v>
      </c>
      <c r="B24" s="5" t="s">
        <v>58</v>
      </c>
      <c r="C24" s="5">
        <v>23.0</v>
      </c>
      <c r="D24" s="8" t="s">
        <v>1304</v>
      </c>
      <c r="E24" s="1">
        <f>IFERROR(__xludf.DUMMYFUNCTION("IF(D24="""", 0, COUNTA(SPLIT(D24, "" "")))"),2.0)</f>
        <v>2</v>
      </c>
      <c r="F24" s="8" t="s">
        <v>1305</v>
      </c>
      <c r="G24" s="12">
        <v>16688.0</v>
      </c>
      <c r="H24" s="26">
        <f t="shared" si="1"/>
        <v>0</v>
      </c>
      <c r="I24" s="26">
        <f t="shared" si="2"/>
        <v>0.3832991102</v>
      </c>
      <c r="J24" s="26">
        <f t="shared" si="3"/>
        <v>79.61670089</v>
      </c>
      <c r="K24" s="9">
        <f t="shared" si="4"/>
        <v>30.40109514</v>
      </c>
      <c r="L24" s="27" t="s">
        <v>1306</v>
      </c>
      <c r="M24" s="28">
        <v>34664.0</v>
      </c>
      <c r="N24" s="16" t="s">
        <v>138</v>
      </c>
      <c r="O24" s="8" t="s">
        <v>1307</v>
      </c>
      <c r="P24" s="1">
        <v>0.0</v>
      </c>
      <c r="Q24" s="1">
        <v>0.0</v>
      </c>
      <c r="R24" s="1">
        <v>0.0</v>
      </c>
      <c r="S24" s="1">
        <v>0.0</v>
      </c>
      <c r="T24" s="1" t="s">
        <v>178</v>
      </c>
    </row>
    <row r="25">
      <c r="A25" s="25">
        <v>45768.0</v>
      </c>
      <c r="B25" s="5" t="s">
        <v>58</v>
      </c>
      <c r="C25" s="5">
        <v>24.0</v>
      </c>
      <c r="D25" s="17" t="s">
        <v>1308</v>
      </c>
      <c r="E25" s="1">
        <f>IFERROR(__xludf.DUMMYFUNCTION("IF(D25="""", 0, COUNTA(SPLIT(D25, "" "")))"),3.0)</f>
        <v>3</v>
      </c>
      <c r="F25" s="8" t="s">
        <v>1309</v>
      </c>
      <c r="G25" s="12">
        <v>12141.0</v>
      </c>
      <c r="H25" s="26">
        <f t="shared" si="1"/>
        <v>12.06570842</v>
      </c>
      <c r="I25" s="26">
        <f t="shared" si="2"/>
        <v>0</v>
      </c>
      <c r="J25" s="26">
        <f t="shared" si="3"/>
        <v>92.06570842</v>
      </c>
      <c r="K25" s="9">
        <f t="shared" si="4"/>
        <v>30.40109514</v>
      </c>
      <c r="L25" s="27" t="s">
        <v>1310</v>
      </c>
      <c r="M25" s="28">
        <v>34664.0</v>
      </c>
      <c r="N25" s="16" t="s">
        <v>138</v>
      </c>
      <c r="O25" s="8" t="s">
        <v>1311</v>
      </c>
      <c r="P25" s="1">
        <v>0.0</v>
      </c>
      <c r="Q25" s="1">
        <v>0.0</v>
      </c>
      <c r="R25" s="1">
        <v>0.0</v>
      </c>
      <c r="S25" s="1">
        <v>0.0</v>
      </c>
      <c r="T25" s="1" t="s">
        <v>163</v>
      </c>
    </row>
    <row r="26">
      <c r="A26" s="25">
        <v>45768.0</v>
      </c>
      <c r="B26" s="5" t="s">
        <v>58</v>
      </c>
      <c r="C26" s="5">
        <v>25.0</v>
      </c>
      <c r="D26" s="17" t="s">
        <v>1312</v>
      </c>
      <c r="E26" s="1">
        <f>IFERROR(__xludf.DUMMYFUNCTION("IF(D26="""", 0, COUNTA(SPLIT(D26, "" "")))"),2.0)</f>
        <v>2</v>
      </c>
      <c r="F26" s="8" t="s">
        <v>1313</v>
      </c>
      <c r="G26" s="12">
        <v>11896.0</v>
      </c>
      <c r="H26" s="26">
        <f t="shared" si="1"/>
        <v>12.73648186</v>
      </c>
      <c r="I26" s="26">
        <f t="shared" si="2"/>
        <v>0</v>
      </c>
      <c r="J26" s="26">
        <f t="shared" si="3"/>
        <v>92.73648186</v>
      </c>
      <c r="K26" s="9">
        <f t="shared" si="4"/>
        <v>27.16221766</v>
      </c>
      <c r="L26" s="27" t="s">
        <v>1314</v>
      </c>
      <c r="M26" s="28">
        <v>35847.0</v>
      </c>
      <c r="N26" s="16" t="s">
        <v>138</v>
      </c>
      <c r="O26" s="8" t="s">
        <v>1315</v>
      </c>
      <c r="P26" s="1">
        <v>0.0</v>
      </c>
      <c r="Q26" s="1">
        <v>0.0</v>
      </c>
      <c r="R26" s="1">
        <v>0.0</v>
      </c>
      <c r="S26" s="1">
        <v>0.0</v>
      </c>
      <c r="T26" s="1" t="s">
        <v>167</v>
      </c>
    </row>
    <row r="27">
      <c r="A27" s="25">
        <v>45768.0</v>
      </c>
      <c r="B27" s="5" t="s">
        <v>58</v>
      </c>
      <c r="C27" s="5">
        <v>26.0</v>
      </c>
      <c r="D27" s="17" t="s">
        <v>1316</v>
      </c>
      <c r="E27" s="1">
        <f>IFERROR(__xludf.DUMMYFUNCTION("IF(D27="""", 0, COUNTA(SPLIT(D27, "" "")))"),3.0)</f>
        <v>3</v>
      </c>
      <c r="F27" s="8" t="s">
        <v>1317</v>
      </c>
      <c r="G27" s="12">
        <v>11207.0</v>
      </c>
      <c r="H27" s="26">
        <f t="shared" si="1"/>
        <v>14.62286105</v>
      </c>
      <c r="I27" s="26">
        <f t="shared" si="2"/>
        <v>0</v>
      </c>
      <c r="J27" s="26">
        <f t="shared" si="3"/>
        <v>94.62286105</v>
      </c>
      <c r="K27" s="9">
        <f t="shared" si="4"/>
        <v>27.16221766</v>
      </c>
      <c r="L27" s="27" t="s">
        <v>1318</v>
      </c>
      <c r="M27" s="28">
        <v>35847.0</v>
      </c>
      <c r="N27" s="16" t="s">
        <v>138</v>
      </c>
      <c r="O27" s="8" t="s">
        <v>1319</v>
      </c>
      <c r="P27" s="1">
        <v>0.0</v>
      </c>
      <c r="Q27" s="1">
        <v>0.0</v>
      </c>
      <c r="R27" s="1">
        <v>0.0</v>
      </c>
      <c r="S27" s="1">
        <v>0.0</v>
      </c>
      <c r="T27" s="1" t="s">
        <v>27</v>
      </c>
    </row>
    <row r="28">
      <c r="A28" s="25">
        <v>45768.0</v>
      </c>
      <c r="B28" s="5" t="s">
        <v>58</v>
      </c>
      <c r="C28" s="5">
        <v>27.0</v>
      </c>
      <c r="D28" s="17" t="s">
        <v>1320</v>
      </c>
      <c r="E28" s="1">
        <f>IFERROR(__xludf.DUMMYFUNCTION("IF(D28="""", 0, COUNTA(SPLIT(D28, "" "")))"),4.0)</f>
        <v>4</v>
      </c>
      <c r="F28" s="8" t="s">
        <v>1321</v>
      </c>
      <c r="G28" s="12">
        <v>13382.0</v>
      </c>
      <c r="H28" s="26">
        <f t="shared" si="1"/>
        <v>8.668035592</v>
      </c>
      <c r="I28" s="26">
        <f t="shared" si="2"/>
        <v>0</v>
      </c>
      <c r="J28" s="26">
        <f t="shared" si="3"/>
        <v>88.66803559</v>
      </c>
      <c r="K28" s="9">
        <f t="shared" si="4"/>
        <v>27.16221766</v>
      </c>
      <c r="L28" s="27" t="s">
        <v>1322</v>
      </c>
      <c r="M28" s="28">
        <v>35847.0</v>
      </c>
      <c r="N28" s="16" t="s">
        <v>138</v>
      </c>
      <c r="O28" s="8" t="s">
        <v>1323</v>
      </c>
      <c r="P28" s="1">
        <v>0.0</v>
      </c>
      <c r="Q28" s="1">
        <v>0.0</v>
      </c>
      <c r="R28" s="1">
        <v>0.0</v>
      </c>
      <c r="S28" s="1">
        <v>0.0</v>
      </c>
      <c r="T28" s="1" t="s">
        <v>163</v>
      </c>
    </row>
    <row r="29">
      <c r="A29" s="25">
        <v>45768.0</v>
      </c>
      <c r="B29" s="5" t="s">
        <v>58</v>
      </c>
      <c r="C29" s="5">
        <v>28.0</v>
      </c>
      <c r="D29" s="17" t="s">
        <v>1324</v>
      </c>
      <c r="E29" s="1">
        <f>IFERROR(__xludf.DUMMYFUNCTION("IF(D29="""", 0, COUNTA(SPLIT(D29, "" "")))"),2.0)</f>
        <v>2</v>
      </c>
      <c r="F29" s="8" t="s">
        <v>1325</v>
      </c>
      <c r="G29" s="12">
        <v>16289.0</v>
      </c>
      <c r="H29" s="26">
        <f t="shared" si="1"/>
        <v>0.7091033539</v>
      </c>
      <c r="I29" s="26">
        <f t="shared" si="2"/>
        <v>0</v>
      </c>
      <c r="J29" s="26">
        <f t="shared" si="3"/>
        <v>80.70910335</v>
      </c>
      <c r="K29" s="9">
        <f t="shared" si="4"/>
        <v>27.16221766</v>
      </c>
      <c r="L29" s="27" t="s">
        <v>1326</v>
      </c>
      <c r="M29" s="28">
        <v>35847.0</v>
      </c>
      <c r="N29" s="16" t="s">
        <v>138</v>
      </c>
      <c r="O29" s="8" t="s">
        <v>1327</v>
      </c>
      <c r="P29" s="1">
        <v>0.0</v>
      </c>
      <c r="Q29" s="1">
        <v>0.0</v>
      </c>
      <c r="R29" s="1">
        <v>0.0</v>
      </c>
      <c r="S29" s="1">
        <v>0.0</v>
      </c>
      <c r="T29" s="1" t="s">
        <v>191</v>
      </c>
    </row>
    <row r="30">
      <c r="A30" s="25">
        <v>45768.0</v>
      </c>
      <c r="B30" s="5" t="s">
        <v>58</v>
      </c>
      <c r="C30" s="5">
        <v>29.0</v>
      </c>
      <c r="D30" s="17" t="s">
        <v>1328</v>
      </c>
      <c r="E30" s="1">
        <f>IFERROR(__xludf.DUMMYFUNCTION("IF(D30="""", 0, COUNTA(SPLIT(D30, "" "")))"),2.0)</f>
        <v>2</v>
      </c>
      <c r="F30" s="8" t="s">
        <v>1329</v>
      </c>
      <c r="G30" s="12">
        <v>16459.0</v>
      </c>
      <c r="H30" s="26">
        <f t="shared" si="1"/>
        <v>0.2436687201</v>
      </c>
      <c r="I30" s="26">
        <f t="shared" si="2"/>
        <v>0</v>
      </c>
      <c r="J30" s="26">
        <f t="shared" si="3"/>
        <v>80.24366872</v>
      </c>
      <c r="K30" s="9">
        <f t="shared" si="4"/>
        <v>27.16221766</v>
      </c>
      <c r="L30" s="27" t="s">
        <v>1330</v>
      </c>
      <c r="M30" s="28">
        <v>35847.0</v>
      </c>
      <c r="N30" s="16" t="s">
        <v>138</v>
      </c>
      <c r="O30" s="8" t="s">
        <v>1331</v>
      </c>
      <c r="P30" s="1">
        <v>0.0</v>
      </c>
      <c r="Q30" s="1">
        <v>0.0</v>
      </c>
      <c r="R30" s="1">
        <v>0.0</v>
      </c>
      <c r="S30" s="1">
        <v>0.0</v>
      </c>
      <c r="T30" s="1" t="s">
        <v>159</v>
      </c>
    </row>
    <row r="31">
      <c r="A31" s="25">
        <v>45768.0</v>
      </c>
      <c r="B31" s="5" t="s">
        <v>58</v>
      </c>
      <c r="C31" s="5">
        <v>30.0</v>
      </c>
      <c r="D31" s="17" t="s">
        <v>1332</v>
      </c>
      <c r="E31" s="1">
        <f>IFERROR(__xludf.DUMMYFUNCTION("IF(D31="""", 0, COUNTA(SPLIT(D31, "" "")))"),3.0)</f>
        <v>3</v>
      </c>
      <c r="F31" s="8" t="s">
        <v>1333</v>
      </c>
      <c r="G31" s="12">
        <v>15498.0</v>
      </c>
      <c r="H31" s="26">
        <f t="shared" si="1"/>
        <v>2.874743326</v>
      </c>
      <c r="I31" s="26">
        <f t="shared" si="2"/>
        <v>0</v>
      </c>
      <c r="J31" s="26">
        <f t="shared" si="3"/>
        <v>82.87474333</v>
      </c>
      <c r="K31" s="9">
        <f t="shared" si="4"/>
        <v>27.16221766</v>
      </c>
      <c r="L31" s="27" t="s">
        <v>1334</v>
      </c>
      <c r="M31" s="28">
        <v>35847.0</v>
      </c>
      <c r="N31" s="16" t="s">
        <v>138</v>
      </c>
      <c r="O31" s="8" t="s">
        <v>1335</v>
      </c>
      <c r="P31" s="1">
        <v>0.0</v>
      </c>
      <c r="Q31" s="1">
        <v>0.0</v>
      </c>
      <c r="R31" s="1">
        <v>0.0</v>
      </c>
      <c r="S31" s="1">
        <v>0.0</v>
      </c>
      <c r="T31" s="1" t="s">
        <v>163</v>
      </c>
    </row>
    <row r="32">
      <c r="A32" s="25">
        <v>45768.0</v>
      </c>
      <c r="B32" s="5" t="s">
        <v>58</v>
      </c>
      <c r="C32" s="5">
        <v>31.0</v>
      </c>
      <c r="D32" s="17" t="s">
        <v>1336</v>
      </c>
      <c r="E32" s="1">
        <f>IFERROR(__xludf.DUMMYFUNCTION("IF(D32="""", 0, COUNTA(SPLIT(D32, "" "")))"),2.0)</f>
        <v>2</v>
      </c>
      <c r="F32" s="8" t="s">
        <v>1337</v>
      </c>
      <c r="G32" s="12">
        <v>11276.0</v>
      </c>
      <c r="H32" s="26">
        <f t="shared" si="1"/>
        <v>14.43394935</v>
      </c>
      <c r="I32" s="26">
        <f t="shared" si="2"/>
        <v>0</v>
      </c>
      <c r="J32" s="26">
        <f t="shared" si="3"/>
        <v>94.43394935</v>
      </c>
      <c r="K32" s="9">
        <f t="shared" si="4"/>
        <v>27.16221766</v>
      </c>
      <c r="L32" s="27" t="s">
        <v>1338</v>
      </c>
      <c r="M32" s="28">
        <v>35847.0</v>
      </c>
      <c r="N32" s="16" t="s">
        <v>138</v>
      </c>
      <c r="O32" s="8" t="s">
        <v>1339</v>
      </c>
      <c r="P32" s="1">
        <v>0.0</v>
      </c>
      <c r="Q32" s="1">
        <v>0.0</v>
      </c>
      <c r="R32" s="1">
        <v>0.0</v>
      </c>
      <c r="S32" s="1">
        <v>0.0</v>
      </c>
      <c r="T32" s="1" t="s">
        <v>691</v>
      </c>
    </row>
    <row r="33">
      <c r="A33" s="25">
        <v>45768.0</v>
      </c>
      <c r="B33" s="5" t="s">
        <v>58</v>
      </c>
      <c r="C33" s="5">
        <v>32.0</v>
      </c>
      <c r="D33" s="17" t="s">
        <v>1340</v>
      </c>
      <c r="E33" s="1">
        <f>IFERROR(__xludf.DUMMYFUNCTION("IF(D33="""", 0, COUNTA(SPLIT(D33, "" "")))"),2.0)</f>
        <v>2</v>
      </c>
      <c r="F33" s="8" t="s">
        <v>1341</v>
      </c>
      <c r="G33" s="12">
        <v>15859.0</v>
      </c>
      <c r="H33" s="26">
        <f t="shared" si="1"/>
        <v>1.886379192</v>
      </c>
      <c r="I33" s="26">
        <f t="shared" si="2"/>
        <v>0</v>
      </c>
      <c r="J33" s="26">
        <f t="shared" si="3"/>
        <v>81.88637919</v>
      </c>
      <c r="K33" s="9">
        <f t="shared" si="4"/>
        <v>24.1615332</v>
      </c>
      <c r="L33" s="27" t="s">
        <v>1342</v>
      </c>
      <c r="M33" s="28">
        <v>36943.0</v>
      </c>
      <c r="N33" s="16" t="s">
        <v>138</v>
      </c>
      <c r="O33" s="8" t="s">
        <v>1343</v>
      </c>
      <c r="P33" s="1">
        <v>0.0</v>
      </c>
      <c r="Q33" s="1">
        <v>0.0</v>
      </c>
      <c r="R33" s="1">
        <v>0.0</v>
      </c>
      <c r="S33" s="1">
        <v>0.0</v>
      </c>
      <c r="T33" s="1" t="s">
        <v>27</v>
      </c>
    </row>
    <row r="34">
      <c r="A34" s="25">
        <v>45768.0</v>
      </c>
      <c r="B34" s="5" t="s">
        <v>58</v>
      </c>
      <c r="C34" s="5">
        <v>33.0</v>
      </c>
      <c r="D34" s="17" t="s">
        <v>1344</v>
      </c>
      <c r="E34" s="1">
        <f>IFERROR(__xludf.DUMMYFUNCTION("IF(D34="""", 0, COUNTA(SPLIT(D34, "" "")))"),2.0)</f>
        <v>2</v>
      </c>
      <c r="F34" s="8" t="s">
        <v>1345</v>
      </c>
      <c r="G34" s="12">
        <v>12118.0</v>
      </c>
      <c r="H34" s="26">
        <f t="shared" si="1"/>
        <v>12.12867899</v>
      </c>
      <c r="I34" s="26">
        <f t="shared" si="2"/>
        <v>0</v>
      </c>
      <c r="J34" s="26">
        <f t="shared" si="3"/>
        <v>92.12867899</v>
      </c>
      <c r="K34" s="9">
        <f t="shared" si="4"/>
        <v>24.1615332</v>
      </c>
      <c r="L34" s="27" t="s">
        <v>1346</v>
      </c>
      <c r="M34" s="28">
        <v>36943.0</v>
      </c>
      <c r="N34" s="16" t="s">
        <v>138</v>
      </c>
      <c r="O34" s="8" t="s">
        <v>1347</v>
      </c>
      <c r="P34" s="1">
        <v>0.0</v>
      </c>
      <c r="Q34" s="1">
        <v>0.0</v>
      </c>
      <c r="R34" s="1">
        <v>0.0</v>
      </c>
      <c r="S34" s="1">
        <v>0.0</v>
      </c>
      <c r="T34" s="1" t="s">
        <v>159</v>
      </c>
    </row>
    <row r="35">
      <c r="A35" s="25">
        <v>45768.0</v>
      </c>
      <c r="B35" s="5" t="s">
        <v>58</v>
      </c>
      <c r="C35" s="5">
        <v>34.0</v>
      </c>
      <c r="D35" s="17" t="s">
        <v>1348</v>
      </c>
      <c r="E35" s="1">
        <f>IFERROR(__xludf.DUMMYFUNCTION("IF(D35="""", 0, COUNTA(SPLIT(D35, "" "")))"),2.0)</f>
        <v>2</v>
      </c>
      <c r="F35" s="8" t="s">
        <v>1349</v>
      </c>
      <c r="G35" s="12">
        <v>13547.0</v>
      </c>
      <c r="H35" s="26">
        <f t="shared" si="1"/>
        <v>8.216290212</v>
      </c>
      <c r="I35" s="26">
        <f t="shared" si="2"/>
        <v>0</v>
      </c>
      <c r="J35" s="26">
        <f t="shared" si="3"/>
        <v>88.21629021</v>
      </c>
      <c r="K35" s="9">
        <f t="shared" si="4"/>
        <v>24.1615332</v>
      </c>
      <c r="L35" s="27" t="s">
        <v>1350</v>
      </c>
      <c r="M35" s="28">
        <v>36943.0</v>
      </c>
      <c r="N35" s="16" t="s">
        <v>138</v>
      </c>
      <c r="O35" s="8" t="s">
        <v>1351</v>
      </c>
      <c r="P35" s="1">
        <v>0.0</v>
      </c>
      <c r="Q35" s="1">
        <v>0.0</v>
      </c>
      <c r="R35" s="1">
        <v>0.0</v>
      </c>
      <c r="S35" s="1">
        <v>0.0</v>
      </c>
      <c r="T35" s="1" t="s">
        <v>222</v>
      </c>
    </row>
    <row r="36">
      <c r="A36" s="25">
        <v>45768.0</v>
      </c>
      <c r="B36" s="5" t="s">
        <v>58</v>
      </c>
      <c r="C36" s="5">
        <v>35.0</v>
      </c>
      <c r="D36" s="17" t="s">
        <v>1352</v>
      </c>
      <c r="E36" s="1">
        <f>IFERROR(__xludf.DUMMYFUNCTION("IF(D36="""", 0, COUNTA(SPLIT(D36, "" "")))"),4.0)</f>
        <v>4</v>
      </c>
      <c r="F36" s="8" t="s">
        <v>1353</v>
      </c>
      <c r="G36" s="12">
        <v>12302.0</v>
      </c>
      <c r="H36" s="26">
        <f t="shared" si="1"/>
        <v>11.62491444</v>
      </c>
      <c r="I36" s="26">
        <f t="shared" si="2"/>
        <v>0</v>
      </c>
      <c r="J36" s="26">
        <f t="shared" si="3"/>
        <v>91.62491444</v>
      </c>
      <c r="K36" s="9">
        <f t="shared" si="4"/>
        <v>24.1615332</v>
      </c>
      <c r="L36" s="27" t="s">
        <v>1354</v>
      </c>
      <c r="M36" s="28">
        <v>36943.0</v>
      </c>
      <c r="N36" s="16" t="s">
        <v>138</v>
      </c>
      <c r="O36" s="8" t="s">
        <v>1355</v>
      </c>
      <c r="P36" s="1">
        <v>0.0</v>
      </c>
      <c r="Q36" s="1">
        <v>0.0</v>
      </c>
      <c r="R36" s="1">
        <v>0.0</v>
      </c>
      <c r="S36" s="1">
        <v>0.0</v>
      </c>
      <c r="T36" s="1" t="s">
        <v>163</v>
      </c>
    </row>
    <row r="37">
      <c r="A37" s="25">
        <v>45768.0</v>
      </c>
      <c r="B37" s="5" t="s">
        <v>58</v>
      </c>
      <c r="C37" s="5">
        <v>36.0</v>
      </c>
      <c r="D37" s="17" t="s">
        <v>1356</v>
      </c>
      <c r="E37" s="1">
        <f>IFERROR(__xludf.DUMMYFUNCTION("IF(D37="""", 0, COUNTA(SPLIT(D37, "" "")))"),2.0)</f>
        <v>2</v>
      </c>
      <c r="F37" s="8" t="s">
        <v>1357</v>
      </c>
      <c r="G37" s="12">
        <v>15043.0</v>
      </c>
      <c r="H37" s="26">
        <f t="shared" si="1"/>
        <v>4.120465435</v>
      </c>
      <c r="I37" s="26">
        <f t="shared" si="2"/>
        <v>0</v>
      </c>
      <c r="J37" s="26">
        <f t="shared" si="3"/>
        <v>84.12046543</v>
      </c>
      <c r="K37" s="9">
        <f t="shared" si="4"/>
        <v>24.1615332</v>
      </c>
      <c r="L37" s="27" t="s">
        <v>1358</v>
      </c>
      <c r="M37" s="28">
        <v>36943.0</v>
      </c>
      <c r="N37" s="16" t="s">
        <v>138</v>
      </c>
      <c r="O37" s="8" t="s">
        <v>1359</v>
      </c>
      <c r="P37" s="1">
        <v>0.0</v>
      </c>
      <c r="Q37" s="1">
        <v>0.0</v>
      </c>
      <c r="R37" s="1">
        <v>0.0</v>
      </c>
      <c r="S37" s="1">
        <v>0.0</v>
      </c>
      <c r="T37" s="1" t="s">
        <v>167</v>
      </c>
    </row>
    <row r="38">
      <c r="A38" s="25">
        <v>45768.0</v>
      </c>
      <c r="B38" s="5" t="s">
        <v>58</v>
      </c>
      <c r="C38" s="5">
        <v>37.0</v>
      </c>
      <c r="D38" s="17" t="s">
        <v>1360</v>
      </c>
      <c r="E38" s="1">
        <f>IFERROR(__xludf.DUMMYFUNCTION("IF(D38="""", 0, COUNTA(SPLIT(D38, "" "")))"),3.0)</f>
        <v>3</v>
      </c>
      <c r="F38" s="8" t="s">
        <v>1361</v>
      </c>
      <c r="G38" s="12">
        <v>15704.0</v>
      </c>
      <c r="H38" s="26">
        <f t="shared" si="1"/>
        <v>2.310746064</v>
      </c>
      <c r="I38" s="26">
        <f t="shared" si="2"/>
        <v>0</v>
      </c>
      <c r="J38" s="26">
        <f t="shared" si="3"/>
        <v>82.31074606</v>
      </c>
      <c r="K38" s="9">
        <f t="shared" si="4"/>
        <v>24.1615332</v>
      </c>
      <c r="L38" s="27" t="s">
        <v>1362</v>
      </c>
      <c r="M38" s="28">
        <v>36943.0</v>
      </c>
      <c r="N38" s="16" t="s">
        <v>138</v>
      </c>
      <c r="O38" s="8" t="s">
        <v>1363</v>
      </c>
      <c r="P38" s="1">
        <v>0.0</v>
      </c>
      <c r="Q38" s="1">
        <v>0.0</v>
      </c>
      <c r="R38" s="1">
        <v>0.0</v>
      </c>
      <c r="S38" s="1">
        <v>0.0</v>
      </c>
      <c r="T38" s="1" t="s">
        <v>163</v>
      </c>
    </row>
    <row r="39">
      <c r="A39" s="25">
        <v>45768.0</v>
      </c>
      <c r="B39" s="5" t="s">
        <v>58</v>
      </c>
      <c r="C39" s="5">
        <v>38.0</v>
      </c>
      <c r="D39" s="17" t="s">
        <v>1364</v>
      </c>
      <c r="E39" s="1">
        <f>IFERROR(__xludf.DUMMYFUNCTION("IF(D39="""", 0, COUNTA(SPLIT(D39, "" "")))"),4.0)</f>
        <v>4</v>
      </c>
      <c r="F39" s="8" t="s">
        <v>1365</v>
      </c>
      <c r="G39" s="12">
        <v>16068.0</v>
      </c>
      <c r="H39" s="26">
        <f t="shared" si="1"/>
        <v>1.314168378</v>
      </c>
      <c r="I39" s="26">
        <f t="shared" si="2"/>
        <v>0</v>
      </c>
      <c r="J39" s="26">
        <f t="shared" si="3"/>
        <v>81.31416838</v>
      </c>
      <c r="K39" s="9">
        <f t="shared" si="4"/>
        <v>24.1615332</v>
      </c>
      <c r="L39" s="27" t="s">
        <v>1366</v>
      </c>
      <c r="M39" s="28">
        <v>36943.0</v>
      </c>
      <c r="N39" s="16" t="s">
        <v>138</v>
      </c>
      <c r="O39" s="8" t="s">
        <v>1367</v>
      </c>
      <c r="P39" s="1">
        <v>0.0</v>
      </c>
      <c r="Q39" s="1">
        <v>0.0</v>
      </c>
      <c r="R39" s="1">
        <v>0.0</v>
      </c>
      <c r="S39" s="1">
        <v>0.0</v>
      </c>
      <c r="T39" s="1" t="s">
        <v>163</v>
      </c>
    </row>
    <row r="40">
      <c r="A40" s="25">
        <v>45768.0</v>
      </c>
      <c r="B40" s="5" t="s">
        <v>58</v>
      </c>
      <c r="C40" s="5">
        <v>39.0</v>
      </c>
      <c r="D40" s="17" t="s">
        <v>1368</v>
      </c>
      <c r="E40" s="1">
        <f>IFERROR(__xludf.DUMMYFUNCTION("IF(D40="""", 0, COUNTA(SPLIT(D40, "" "")))"),3.0)</f>
        <v>3</v>
      </c>
      <c r="F40" s="8" t="s">
        <v>1369</v>
      </c>
      <c r="G40" s="12">
        <v>11048.0</v>
      </c>
      <c r="H40" s="26">
        <f t="shared" si="1"/>
        <v>15.05817933</v>
      </c>
      <c r="I40" s="26">
        <f t="shared" si="2"/>
        <v>0</v>
      </c>
      <c r="J40" s="26">
        <f t="shared" si="3"/>
        <v>95.05817933</v>
      </c>
      <c r="K40" s="9">
        <f t="shared" si="4"/>
        <v>21.50034223</v>
      </c>
      <c r="L40" s="27" t="s">
        <v>1370</v>
      </c>
      <c r="M40" s="28">
        <v>37915.0</v>
      </c>
      <c r="N40" s="16" t="s">
        <v>138</v>
      </c>
      <c r="O40" s="8" t="s">
        <v>1371</v>
      </c>
      <c r="P40" s="1">
        <v>0.0</v>
      </c>
      <c r="Q40" s="1">
        <v>0.0</v>
      </c>
      <c r="R40" s="1">
        <v>0.0</v>
      </c>
      <c r="S40" s="1">
        <v>0.0</v>
      </c>
      <c r="T40" s="1" t="s">
        <v>163</v>
      </c>
    </row>
    <row r="41">
      <c r="A41" s="25">
        <v>45768.0</v>
      </c>
      <c r="B41" s="5" t="s">
        <v>58</v>
      </c>
      <c r="C41" s="5">
        <v>40.0</v>
      </c>
      <c r="D41" s="17" t="s">
        <v>1372</v>
      </c>
      <c r="E41" s="1">
        <f>IFERROR(__xludf.DUMMYFUNCTION("IF(D41="""", 0, COUNTA(SPLIT(D41, "" "")))"),2.0)</f>
        <v>2</v>
      </c>
      <c r="F41" s="8" t="s">
        <v>1373</v>
      </c>
      <c r="G41" s="12">
        <v>15287.0</v>
      </c>
      <c r="H41" s="26">
        <f t="shared" si="1"/>
        <v>3.452429843</v>
      </c>
      <c r="I41" s="26">
        <f t="shared" si="2"/>
        <v>0</v>
      </c>
      <c r="J41" s="26">
        <f t="shared" si="3"/>
        <v>83.45242984</v>
      </c>
      <c r="K41" s="9">
        <f t="shared" si="4"/>
        <v>21.50034223</v>
      </c>
      <c r="L41" s="27" t="s">
        <v>1374</v>
      </c>
      <c r="M41" s="28">
        <v>37915.0</v>
      </c>
      <c r="N41" s="16" t="s">
        <v>138</v>
      </c>
      <c r="O41" s="8" t="s">
        <v>1375</v>
      </c>
      <c r="P41" s="1">
        <v>30.0</v>
      </c>
      <c r="Q41" s="1">
        <v>0.0</v>
      </c>
      <c r="R41" s="1">
        <v>0.0</v>
      </c>
      <c r="S41" s="1">
        <v>0.0</v>
      </c>
      <c r="T41" s="1" t="s">
        <v>27</v>
      </c>
    </row>
    <row r="42">
      <c r="A42" s="25">
        <v>45768.0</v>
      </c>
      <c r="B42" s="5" t="s">
        <v>58</v>
      </c>
      <c r="C42" s="5">
        <v>41.0</v>
      </c>
      <c r="D42" s="17" t="s">
        <v>1376</v>
      </c>
      <c r="E42" s="1">
        <f>IFERROR(__xludf.DUMMYFUNCTION("IF(D42="""", 0, COUNTA(SPLIT(D42, "" "")))"),3.0)</f>
        <v>3</v>
      </c>
      <c r="F42" s="8" t="s">
        <v>1377</v>
      </c>
      <c r="G42" s="12">
        <v>13317.0</v>
      </c>
      <c r="H42" s="26">
        <f t="shared" si="1"/>
        <v>8.845995893</v>
      </c>
      <c r="I42" s="26">
        <f t="shared" si="2"/>
        <v>0</v>
      </c>
      <c r="J42" s="26">
        <f t="shared" si="3"/>
        <v>88.84599589</v>
      </c>
      <c r="K42" s="9">
        <f t="shared" si="4"/>
        <v>21.50034223</v>
      </c>
      <c r="L42" s="27" t="s">
        <v>1378</v>
      </c>
      <c r="M42" s="28">
        <v>37915.0</v>
      </c>
      <c r="N42" s="16" t="s">
        <v>138</v>
      </c>
      <c r="O42" s="8" t="s">
        <v>1379</v>
      </c>
      <c r="P42" s="1">
        <v>0.0</v>
      </c>
      <c r="Q42" s="1">
        <v>0.0</v>
      </c>
      <c r="R42" s="1">
        <v>0.0</v>
      </c>
      <c r="S42" s="1">
        <v>0.0</v>
      </c>
      <c r="T42" s="1" t="s">
        <v>260</v>
      </c>
    </row>
    <row r="43">
      <c r="A43" s="25">
        <v>45768.0</v>
      </c>
      <c r="B43" s="5" t="s">
        <v>58</v>
      </c>
      <c r="C43" s="5">
        <v>42.0</v>
      </c>
      <c r="D43" s="17" t="s">
        <v>1380</v>
      </c>
      <c r="E43" s="1">
        <f>IFERROR(__xludf.DUMMYFUNCTION("IF(D43="""", 0, COUNTA(SPLIT(D43, "" "")))"),3.0)</f>
        <v>3</v>
      </c>
      <c r="F43" s="8" t="s">
        <v>1381</v>
      </c>
      <c r="G43" s="12">
        <v>15034.0</v>
      </c>
      <c r="H43" s="26">
        <f t="shared" si="1"/>
        <v>4.145106092</v>
      </c>
      <c r="I43" s="26">
        <f t="shared" si="2"/>
        <v>0</v>
      </c>
      <c r="J43" s="26">
        <f t="shared" si="3"/>
        <v>84.14510609</v>
      </c>
      <c r="K43" s="9">
        <f t="shared" si="4"/>
        <v>21.50034223</v>
      </c>
      <c r="L43" s="27" t="s">
        <v>1382</v>
      </c>
      <c r="M43" s="28">
        <v>37915.0</v>
      </c>
      <c r="N43" s="16" t="s">
        <v>138</v>
      </c>
      <c r="O43" s="8" t="s">
        <v>1383</v>
      </c>
      <c r="P43" s="1">
        <v>0.0</v>
      </c>
      <c r="Q43" s="1">
        <v>0.0</v>
      </c>
      <c r="R43" s="1">
        <v>0.0</v>
      </c>
      <c r="S43" s="1">
        <v>0.0</v>
      </c>
      <c r="T43" s="1" t="s">
        <v>148</v>
      </c>
    </row>
    <row r="44">
      <c r="A44" s="25">
        <v>45768.0</v>
      </c>
      <c r="B44" s="5" t="s">
        <v>58</v>
      </c>
      <c r="C44" s="5">
        <v>43.0</v>
      </c>
      <c r="D44" s="17" t="s">
        <v>1384</v>
      </c>
      <c r="E44" s="1">
        <f>IFERROR(__xludf.DUMMYFUNCTION("IF(D44="""", 0, COUNTA(SPLIT(D44, "" "")))"),2.0)</f>
        <v>2</v>
      </c>
      <c r="F44" s="8" t="s">
        <v>1385</v>
      </c>
      <c r="G44" s="12">
        <v>12893.0</v>
      </c>
      <c r="H44" s="26">
        <f t="shared" si="1"/>
        <v>10.00684463</v>
      </c>
      <c r="I44" s="26">
        <f t="shared" si="2"/>
        <v>0</v>
      </c>
      <c r="J44" s="26">
        <f t="shared" si="3"/>
        <v>90.00684463</v>
      </c>
      <c r="K44" s="9">
        <f t="shared" si="4"/>
        <v>21.50034223</v>
      </c>
      <c r="L44" s="27" t="s">
        <v>1386</v>
      </c>
      <c r="M44" s="28">
        <v>37915.0</v>
      </c>
      <c r="N44" s="16" t="s">
        <v>138</v>
      </c>
      <c r="O44" s="8" t="s">
        <v>1387</v>
      </c>
      <c r="P44" s="1">
        <v>0.0</v>
      </c>
      <c r="Q44" s="1">
        <v>0.0</v>
      </c>
      <c r="R44" s="1">
        <v>0.0</v>
      </c>
      <c r="S44" s="1">
        <v>0.0</v>
      </c>
      <c r="T44" s="1" t="s">
        <v>167</v>
      </c>
    </row>
    <row r="45">
      <c r="A45" s="25">
        <v>45768.0</v>
      </c>
      <c r="B45" s="5" t="s">
        <v>58</v>
      </c>
      <c r="C45" s="5">
        <v>44.0</v>
      </c>
      <c r="D45" s="17" t="s">
        <v>1388</v>
      </c>
      <c r="E45" s="1">
        <f>IFERROR(__xludf.DUMMYFUNCTION("IF(D45="""", 0, COUNTA(SPLIT(D45, "" "")))"),2.0)</f>
        <v>2</v>
      </c>
      <c r="F45" s="8" t="s">
        <v>1389</v>
      </c>
      <c r="G45" s="12">
        <v>13472.0</v>
      </c>
      <c r="H45" s="26">
        <f t="shared" si="1"/>
        <v>8.421629021</v>
      </c>
      <c r="I45" s="26">
        <f t="shared" si="2"/>
        <v>0</v>
      </c>
      <c r="J45" s="26">
        <f t="shared" si="3"/>
        <v>88.42162902</v>
      </c>
      <c r="K45" s="9">
        <f t="shared" si="4"/>
        <v>21.50034223</v>
      </c>
      <c r="L45" s="27" t="s">
        <v>1390</v>
      </c>
      <c r="M45" s="28">
        <v>37915.0</v>
      </c>
      <c r="N45" s="16" t="s">
        <v>138</v>
      </c>
      <c r="O45" s="8" t="s">
        <v>1391</v>
      </c>
      <c r="P45" s="1">
        <v>0.0</v>
      </c>
      <c r="Q45" s="1">
        <v>0.0</v>
      </c>
      <c r="R45" s="1">
        <v>0.0</v>
      </c>
      <c r="S45" s="1">
        <v>0.0</v>
      </c>
      <c r="T45" s="1" t="s">
        <v>27</v>
      </c>
    </row>
    <row r="46">
      <c r="A46" s="25">
        <v>45768.0</v>
      </c>
      <c r="B46" s="5" t="s">
        <v>58</v>
      </c>
      <c r="C46" s="5">
        <v>45.0</v>
      </c>
      <c r="D46" s="8" t="s">
        <v>1392</v>
      </c>
      <c r="E46" s="1">
        <f>IFERROR(__xludf.DUMMYFUNCTION("IF(D46="""", 0, COUNTA(SPLIT(D46, "" "")))"),2.0)</f>
        <v>2</v>
      </c>
      <c r="F46" s="8" t="s">
        <v>1393</v>
      </c>
      <c r="G46" s="12">
        <v>17817.0</v>
      </c>
      <c r="H46" s="26">
        <f t="shared" si="1"/>
        <v>0</v>
      </c>
      <c r="I46" s="26">
        <f t="shared" si="2"/>
        <v>3.474332649</v>
      </c>
      <c r="J46" s="26">
        <f t="shared" si="3"/>
        <v>76.52566735</v>
      </c>
      <c r="K46" s="9">
        <f t="shared" si="4"/>
        <v>21.50034223</v>
      </c>
      <c r="L46" s="27" t="s">
        <v>1394</v>
      </c>
      <c r="M46" s="28">
        <v>37915.0</v>
      </c>
      <c r="N46" s="16" t="s">
        <v>138</v>
      </c>
      <c r="O46" s="8" t="s">
        <v>1395</v>
      </c>
      <c r="P46" s="1">
        <v>0.0</v>
      </c>
      <c r="Q46" s="1">
        <v>0.0</v>
      </c>
      <c r="R46" s="1">
        <v>1.0</v>
      </c>
      <c r="S46" s="1">
        <v>0.1429</v>
      </c>
      <c r="T46" s="1" t="s">
        <v>276</v>
      </c>
    </row>
    <row r="47">
      <c r="A47" s="25">
        <v>45768.0</v>
      </c>
      <c r="B47" s="5" t="s">
        <v>58</v>
      </c>
      <c r="C47" s="5">
        <v>46.0</v>
      </c>
      <c r="D47" s="8" t="s">
        <v>1396</v>
      </c>
      <c r="E47" s="1">
        <f>IFERROR(__xludf.DUMMYFUNCTION("IF(D47="""", 0, COUNTA(SPLIT(D47, "" "")))"),2.0)</f>
        <v>2</v>
      </c>
      <c r="F47" s="8" t="s">
        <v>1397</v>
      </c>
      <c r="G47" s="12">
        <v>17977.0</v>
      </c>
      <c r="H47" s="26">
        <f t="shared" si="1"/>
        <v>0</v>
      </c>
      <c r="I47" s="26">
        <f t="shared" si="2"/>
        <v>3.912388775</v>
      </c>
      <c r="J47" s="26">
        <f t="shared" si="3"/>
        <v>76.08761123</v>
      </c>
      <c r="K47" s="9">
        <f t="shared" si="4"/>
        <v>21.50034223</v>
      </c>
      <c r="L47" s="27" t="s">
        <v>1398</v>
      </c>
      <c r="M47" s="28">
        <v>37915.0</v>
      </c>
      <c r="N47" s="16" t="s">
        <v>138</v>
      </c>
      <c r="O47" s="8" t="s">
        <v>1399</v>
      </c>
      <c r="P47" s="1">
        <v>0.0</v>
      </c>
      <c r="Q47" s="1">
        <v>0.0</v>
      </c>
      <c r="R47" s="1">
        <v>0.0</v>
      </c>
      <c r="S47" s="1">
        <v>0.0</v>
      </c>
      <c r="T47" s="1" t="s">
        <v>178</v>
      </c>
    </row>
    <row r="48">
      <c r="A48" s="25">
        <v>45768.0</v>
      </c>
      <c r="B48" s="5" t="s">
        <v>58</v>
      </c>
      <c r="C48" s="5">
        <v>47.0</v>
      </c>
      <c r="D48" s="17" t="s">
        <v>1400</v>
      </c>
      <c r="E48" s="1">
        <f>IFERROR(__xludf.DUMMYFUNCTION("IF(D48="""", 0, COUNTA(SPLIT(D48, "" "")))"),4.0)</f>
        <v>4</v>
      </c>
      <c r="F48" s="8" t="s">
        <v>1401</v>
      </c>
      <c r="G48" s="12">
        <v>12483.0</v>
      </c>
      <c r="H48" s="26">
        <f t="shared" si="1"/>
        <v>11.12936345</v>
      </c>
      <c r="I48" s="26">
        <f t="shared" si="2"/>
        <v>0</v>
      </c>
      <c r="J48" s="26">
        <f t="shared" si="3"/>
        <v>91.12936345</v>
      </c>
      <c r="K48" s="9">
        <f t="shared" si="4"/>
        <v>21.50034223</v>
      </c>
      <c r="L48" s="27" t="s">
        <v>1402</v>
      </c>
      <c r="M48" s="28">
        <v>37915.0</v>
      </c>
      <c r="N48" s="16" t="s">
        <v>138</v>
      </c>
      <c r="O48" s="8" t="s">
        <v>1403</v>
      </c>
      <c r="P48" s="1">
        <v>0.0</v>
      </c>
      <c r="Q48" s="1">
        <v>0.0</v>
      </c>
      <c r="R48" s="1">
        <v>0.0</v>
      </c>
      <c r="S48" s="1">
        <v>0.0</v>
      </c>
      <c r="T48" s="1" t="s">
        <v>290</v>
      </c>
    </row>
    <row r="49">
      <c r="A49" s="25">
        <v>45768.0</v>
      </c>
      <c r="B49" s="5" t="s">
        <v>58</v>
      </c>
      <c r="C49" s="5">
        <v>48.0</v>
      </c>
      <c r="D49" s="8" t="s">
        <v>1404</v>
      </c>
      <c r="E49" s="1">
        <f>IFERROR(__xludf.DUMMYFUNCTION("IF(D49="""", 0, COUNTA(SPLIT(D49, "" "")))"),2.0)</f>
        <v>2</v>
      </c>
      <c r="F49" s="8" t="s">
        <v>1405</v>
      </c>
      <c r="G49" s="12">
        <v>18553.0</v>
      </c>
      <c r="H49" s="26">
        <f t="shared" si="1"/>
        <v>0</v>
      </c>
      <c r="I49" s="26">
        <f t="shared" si="2"/>
        <v>5.489390828</v>
      </c>
      <c r="J49" s="26">
        <f t="shared" si="3"/>
        <v>74.51060917</v>
      </c>
      <c r="K49" s="9">
        <f t="shared" si="4"/>
        <v>21.50034223</v>
      </c>
      <c r="L49" s="27" t="s">
        <v>1406</v>
      </c>
      <c r="M49" s="28">
        <v>37915.0</v>
      </c>
      <c r="N49" s="16" t="s">
        <v>138</v>
      </c>
      <c r="O49" s="8" t="s">
        <v>1407</v>
      </c>
      <c r="P49" s="1">
        <v>0.0</v>
      </c>
      <c r="Q49" s="1">
        <v>0.0</v>
      </c>
      <c r="R49" s="1">
        <v>0.0</v>
      </c>
      <c r="S49" s="1">
        <v>0.0</v>
      </c>
      <c r="T49" s="1" t="s">
        <v>174</v>
      </c>
    </row>
    <row r="50">
      <c r="A50" s="25">
        <v>45768.0</v>
      </c>
      <c r="B50" s="5" t="s">
        <v>58</v>
      </c>
      <c r="C50" s="5">
        <v>49.0</v>
      </c>
      <c r="D50" s="8" t="s">
        <v>1408</v>
      </c>
      <c r="E50" s="1">
        <f>IFERROR(__xludf.DUMMYFUNCTION("IF(D50="""", 0, COUNTA(SPLIT(D50, "" "")))"),2.0)</f>
        <v>2</v>
      </c>
      <c r="F50" s="8" t="s">
        <v>1409</v>
      </c>
      <c r="G50" s="12">
        <v>19170.0</v>
      </c>
      <c r="H50" s="26">
        <f t="shared" si="1"/>
        <v>0</v>
      </c>
      <c r="I50" s="26">
        <f t="shared" si="2"/>
        <v>7.178644764</v>
      </c>
      <c r="J50" s="26">
        <f t="shared" si="3"/>
        <v>72.82135524</v>
      </c>
      <c r="K50" s="9">
        <f t="shared" si="4"/>
        <v>21.50034223</v>
      </c>
      <c r="L50" s="27" t="s">
        <v>1410</v>
      </c>
      <c r="M50" s="28">
        <v>37915.0</v>
      </c>
      <c r="N50" s="16" t="s">
        <v>138</v>
      </c>
      <c r="O50" s="8" t="s">
        <v>1411</v>
      </c>
      <c r="P50" s="1">
        <v>0.0</v>
      </c>
      <c r="Q50" s="1">
        <v>1.0</v>
      </c>
      <c r="R50" s="1">
        <v>0.0</v>
      </c>
      <c r="S50" s="1">
        <v>0.0</v>
      </c>
      <c r="T50" s="1" t="s">
        <v>297</v>
      </c>
    </row>
    <row r="51">
      <c r="A51" s="25">
        <v>45768.0</v>
      </c>
      <c r="B51" s="5" t="s">
        <v>58</v>
      </c>
      <c r="C51" s="5">
        <v>50.0</v>
      </c>
      <c r="D51" s="17" t="s">
        <v>1412</v>
      </c>
      <c r="E51" s="1">
        <f>IFERROR(__xludf.DUMMYFUNCTION("IF(D51="""", 0, COUNTA(SPLIT(D51, "" "")))"),2.0)</f>
        <v>2</v>
      </c>
      <c r="F51" s="8" t="s">
        <v>1413</v>
      </c>
      <c r="G51" s="12">
        <v>12685.0</v>
      </c>
      <c r="H51" s="26">
        <f t="shared" si="1"/>
        <v>10.57631759</v>
      </c>
      <c r="I51" s="26">
        <f t="shared" si="2"/>
        <v>0</v>
      </c>
      <c r="J51" s="26">
        <f t="shared" si="3"/>
        <v>90.57631759</v>
      </c>
      <c r="K51" s="9">
        <f t="shared" si="4"/>
        <v>19.07734428</v>
      </c>
      <c r="L51" s="27" t="s">
        <v>1414</v>
      </c>
      <c r="M51" s="28">
        <v>38800.0</v>
      </c>
      <c r="N51" s="16" t="s">
        <v>146</v>
      </c>
      <c r="O51" s="8" t="s">
        <v>1415</v>
      </c>
      <c r="P51" s="1">
        <v>0.0</v>
      </c>
      <c r="Q51" s="1">
        <v>0.0</v>
      </c>
      <c r="R51" s="1">
        <v>0.0</v>
      </c>
      <c r="S51" s="1">
        <v>0.0</v>
      </c>
      <c r="T51" s="1" t="s">
        <v>433</v>
      </c>
    </row>
    <row r="52">
      <c r="A52" s="25">
        <v>45768.0</v>
      </c>
      <c r="B52" s="5" t="s">
        <v>58</v>
      </c>
      <c r="C52" s="5">
        <v>51.0</v>
      </c>
      <c r="D52" s="17" t="s">
        <v>1416</v>
      </c>
      <c r="E52" s="1">
        <f>IFERROR(__xludf.DUMMYFUNCTION("IF(D52="""", 0, COUNTA(SPLIT(D52, "" "")))"),2.0)</f>
        <v>2</v>
      </c>
      <c r="F52" s="8" t="s">
        <v>1417</v>
      </c>
      <c r="G52" s="12">
        <v>14718.0</v>
      </c>
      <c r="H52" s="26">
        <f t="shared" si="1"/>
        <v>5.01026694</v>
      </c>
      <c r="I52" s="26">
        <f t="shared" si="2"/>
        <v>0</v>
      </c>
      <c r="J52" s="26">
        <f t="shared" si="3"/>
        <v>85.01026694</v>
      </c>
      <c r="K52" s="9">
        <f t="shared" si="4"/>
        <v>19.07734428</v>
      </c>
      <c r="L52" s="27" t="s">
        <v>1418</v>
      </c>
      <c r="M52" s="28">
        <v>38800.0</v>
      </c>
      <c r="N52" s="16" t="s">
        <v>146</v>
      </c>
      <c r="O52" s="8" t="s">
        <v>1419</v>
      </c>
      <c r="P52" s="1">
        <v>0.0</v>
      </c>
      <c r="Q52" s="1">
        <v>0.0</v>
      </c>
      <c r="R52" s="1">
        <v>0.0</v>
      </c>
      <c r="S52" s="1">
        <v>0.0</v>
      </c>
      <c r="T52" s="16" t="s">
        <v>27</v>
      </c>
      <c r="U52" s="7"/>
      <c r="V52" s="7"/>
    </row>
    <row r="53">
      <c r="A53" s="25">
        <v>45768.0</v>
      </c>
      <c r="B53" s="5" t="s">
        <v>58</v>
      </c>
      <c r="C53" s="5">
        <v>52.0</v>
      </c>
      <c r="D53" s="17" t="s">
        <v>1420</v>
      </c>
      <c r="E53" s="1">
        <f>IFERROR(__xludf.DUMMYFUNCTION("IF(D53="""", 0, COUNTA(SPLIT(D53, "" "")))"),3.0)</f>
        <v>3</v>
      </c>
      <c r="F53" s="8" t="s">
        <v>1421</v>
      </c>
      <c r="G53" s="12">
        <v>11911.0</v>
      </c>
      <c r="H53" s="26">
        <f t="shared" si="1"/>
        <v>12.6954141</v>
      </c>
      <c r="I53" s="26">
        <f t="shared" si="2"/>
        <v>0</v>
      </c>
      <c r="J53" s="26">
        <f t="shared" si="3"/>
        <v>92.6954141</v>
      </c>
      <c r="K53" s="9">
        <f t="shared" si="4"/>
        <v>19.07734428</v>
      </c>
      <c r="L53" s="27" t="s">
        <v>1422</v>
      </c>
      <c r="M53" s="28">
        <v>38800.0</v>
      </c>
      <c r="N53" s="16" t="s">
        <v>146</v>
      </c>
      <c r="O53" s="8" t="s">
        <v>1423</v>
      </c>
      <c r="P53" s="1">
        <v>0.0</v>
      </c>
      <c r="Q53" s="1">
        <v>0.0</v>
      </c>
      <c r="R53" s="1">
        <v>0.0</v>
      </c>
      <c r="S53" s="1">
        <v>0.0</v>
      </c>
      <c r="T53" s="16" t="s">
        <v>419</v>
      </c>
      <c r="U53" s="16"/>
    </row>
    <row r="54">
      <c r="A54" s="25">
        <v>45768.0</v>
      </c>
      <c r="B54" s="5" t="s">
        <v>58</v>
      </c>
      <c r="C54" s="5">
        <v>53.0</v>
      </c>
      <c r="D54" s="17" t="s">
        <v>1424</v>
      </c>
      <c r="E54" s="1">
        <f>IFERROR(__xludf.DUMMYFUNCTION("IF(D54="""", 0, COUNTA(SPLIT(D54, "" "")))"),2.0)</f>
        <v>2</v>
      </c>
      <c r="F54" s="8" t="s">
        <v>1425</v>
      </c>
      <c r="G54" s="12">
        <v>16340.0</v>
      </c>
      <c r="H54" s="26">
        <f t="shared" si="1"/>
        <v>0.5694729637</v>
      </c>
      <c r="I54" s="26">
        <f t="shared" si="2"/>
        <v>0</v>
      </c>
      <c r="J54" s="26">
        <f t="shared" si="3"/>
        <v>80.56947296</v>
      </c>
      <c r="K54" s="9">
        <f t="shared" si="4"/>
        <v>19.07734428</v>
      </c>
      <c r="L54" s="27" t="s">
        <v>1426</v>
      </c>
      <c r="M54" s="28">
        <v>38800.0</v>
      </c>
      <c r="N54" s="16" t="s">
        <v>146</v>
      </c>
      <c r="O54" s="8" t="s">
        <v>1427</v>
      </c>
      <c r="P54" s="1">
        <v>0.0</v>
      </c>
      <c r="Q54" s="1">
        <v>0.0</v>
      </c>
      <c r="R54" s="1">
        <v>0.0</v>
      </c>
      <c r="S54" s="1">
        <v>0.0</v>
      </c>
      <c r="T54" s="16" t="s">
        <v>174</v>
      </c>
      <c r="U54" s="16"/>
    </row>
    <row r="55">
      <c r="A55" s="25">
        <v>45768.0</v>
      </c>
      <c r="B55" s="5" t="s">
        <v>58</v>
      </c>
      <c r="C55" s="5">
        <v>54.0</v>
      </c>
      <c r="D55" s="8" t="s">
        <v>1428</v>
      </c>
      <c r="E55" s="1">
        <f>IFERROR(__xludf.DUMMYFUNCTION("IF(D55="""", 0, COUNTA(SPLIT(D55, "" "")))"),3.0)</f>
        <v>3</v>
      </c>
      <c r="F55" s="8" t="s">
        <v>1429</v>
      </c>
      <c r="G55" s="12">
        <v>16725.0</v>
      </c>
      <c r="H55" s="26">
        <f t="shared" si="1"/>
        <v>0</v>
      </c>
      <c r="I55" s="26">
        <f t="shared" si="2"/>
        <v>0.4845995893</v>
      </c>
      <c r="J55" s="26">
        <f t="shared" si="3"/>
        <v>79.51540041</v>
      </c>
      <c r="K55" s="9">
        <f t="shared" si="4"/>
        <v>19.07734428</v>
      </c>
      <c r="L55" s="27" t="s">
        <v>1430</v>
      </c>
      <c r="M55" s="28">
        <v>38800.0</v>
      </c>
      <c r="N55" s="16" t="s">
        <v>146</v>
      </c>
      <c r="O55" s="8" t="s">
        <v>1431</v>
      </c>
      <c r="P55" s="1">
        <v>0.0</v>
      </c>
      <c r="Q55" s="1">
        <v>0.0</v>
      </c>
      <c r="R55" s="1">
        <v>0.0</v>
      </c>
      <c r="S55" s="1">
        <v>0.0</v>
      </c>
      <c r="T55" s="16" t="s">
        <v>163</v>
      </c>
      <c r="U55" s="16"/>
    </row>
    <row r="56">
      <c r="A56" s="25">
        <v>45768.0</v>
      </c>
      <c r="B56" s="5" t="s">
        <v>58</v>
      </c>
      <c r="C56" s="5">
        <v>55.0</v>
      </c>
      <c r="D56" s="17" t="s">
        <v>313</v>
      </c>
      <c r="E56" s="1">
        <f>IFERROR(__xludf.DUMMYFUNCTION("IF(D56="""", 0, COUNTA(SPLIT(D56, "" "")))"),3.0)</f>
        <v>3</v>
      </c>
      <c r="F56" s="8" t="s">
        <v>1432</v>
      </c>
      <c r="G56" s="12">
        <v>16252.0</v>
      </c>
      <c r="H56" s="26">
        <f t="shared" si="1"/>
        <v>0.810403833</v>
      </c>
      <c r="I56" s="26">
        <f t="shared" si="2"/>
        <v>0</v>
      </c>
      <c r="J56" s="26">
        <f t="shared" si="3"/>
        <v>80.81040383</v>
      </c>
      <c r="K56" s="9">
        <f t="shared" si="4"/>
        <v>19.07734428</v>
      </c>
      <c r="L56" s="27" t="s">
        <v>1433</v>
      </c>
      <c r="M56" s="28">
        <v>38800.0</v>
      </c>
      <c r="N56" s="16" t="s">
        <v>146</v>
      </c>
      <c r="O56" s="8" t="s">
        <v>1434</v>
      </c>
      <c r="P56" s="1">
        <v>10.0</v>
      </c>
      <c r="Q56" s="1">
        <v>0.0</v>
      </c>
      <c r="R56" s="1">
        <v>0.0</v>
      </c>
      <c r="S56" s="1">
        <v>0.0</v>
      </c>
      <c r="T56" s="16" t="s">
        <v>167</v>
      </c>
      <c r="U56" s="16"/>
    </row>
    <row r="57">
      <c r="A57" s="25">
        <v>45768.0</v>
      </c>
      <c r="B57" s="5" t="s">
        <v>58</v>
      </c>
      <c r="C57" s="5">
        <v>56.0</v>
      </c>
      <c r="D57" s="17" t="s">
        <v>1435</v>
      </c>
      <c r="E57" s="1">
        <f>IFERROR(__xludf.DUMMYFUNCTION("IF(D57="""", 0, COUNTA(SPLIT(D57, "" "")))"),2.0)</f>
        <v>2</v>
      </c>
      <c r="F57" s="8" t="s">
        <v>1436</v>
      </c>
      <c r="G57" s="12">
        <v>14362.0</v>
      </c>
      <c r="H57" s="26">
        <f t="shared" si="1"/>
        <v>5.984941821</v>
      </c>
      <c r="I57" s="26">
        <f t="shared" si="2"/>
        <v>0</v>
      </c>
      <c r="J57" s="26">
        <f t="shared" si="3"/>
        <v>85.98494182</v>
      </c>
      <c r="K57" s="9">
        <f t="shared" si="4"/>
        <v>19.07734428</v>
      </c>
      <c r="L57" s="27" t="s">
        <v>1437</v>
      </c>
      <c r="M57" s="28">
        <v>38800.0</v>
      </c>
      <c r="N57" s="16" t="s">
        <v>146</v>
      </c>
      <c r="O57" s="8" t="s">
        <v>1438</v>
      </c>
      <c r="P57" s="1">
        <v>0.0</v>
      </c>
      <c r="Q57" s="1">
        <v>0.0</v>
      </c>
      <c r="R57" s="1">
        <v>0.0</v>
      </c>
      <c r="S57" s="1">
        <v>0.0</v>
      </c>
      <c r="T57" s="16" t="s">
        <v>204</v>
      </c>
      <c r="U57" s="16"/>
    </row>
    <row r="58">
      <c r="A58" s="25">
        <v>45768.0</v>
      </c>
      <c r="B58" s="5" t="s">
        <v>58</v>
      </c>
      <c r="C58" s="5">
        <v>57.0</v>
      </c>
      <c r="D58" s="17" t="s">
        <v>1439</v>
      </c>
      <c r="E58" s="1">
        <f>IFERROR(__xludf.DUMMYFUNCTION("IF(D58="""", 0, COUNTA(SPLIT(D58, "" "")))"),3.0)</f>
        <v>3</v>
      </c>
      <c r="F58" s="8" t="s">
        <v>1440</v>
      </c>
      <c r="G58" s="12">
        <v>11701.0</v>
      </c>
      <c r="H58" s="26">
        <f t="shared" si="1"/>
        <v>13.27036277</v>
      </c>
      <c r="I58" s="26">
        <f t="shared" si="2"/>
        <v>0</v>
      </c>
      <c r="J58" s="26">
        <f t="shared" si="3"/>
        <v>93.27036277</v>
      </c>
      <c r="K58" s="9">
        <f t="shared" si="4"/>
        <v>19.07734428</v>
      </c>
      <c r="L58" s="27" t="s">
        <v>1441</v>
      </c>
      <c r="M58" s="28">
        <v>38800.0</v>
      </c>
      <c r="N58" s="16" t="s">
        <v>146</v>
      </c>
      <c r="O58" s="8" t="s">
        <v>1442</v>
      </c>
      <c r="P58" s="1">
        <v>0.0</v>
      </c>
      <c r="Q58" s="1">
        <v>0.0</v>
      </c>
      <c r="R58" s="1">
        <v>0.0</v>
      </c>
      <c r="S58" s="1">
        <v>0.0</v>
      </c>
      <c r="T58" s="16" t="s">
        <v>406</v>
      </c>
      <c r="U58" s="16"/>
    </row>
    <row r="59">
      <c r="A59" s="25">
        <v>45768.0</v>
      </c>
      <c r="B59" s="5" t="s">
        <v>58</v>
      </c>
      <c r="C59" s="5">
        <v>58.0</v>
      </c>
      <c r="D59" s="17" t="s">
        <v>1443</v>
      </c>
      <c r="E59" s="1">
        <f>IFERROR(__xludf.DUMMYFUNCTION("IF(D59="""", 0, COUNTA(SPLIT(D59, "" "")))"),2.0)</f>
        <v>2</v>
      </c>
      <c r="F59" s="8" t="s">
        <v>1444</v>
      </c>
      <c r="G59" s="12">
        <v>12787.0</v>
      </c>
      <c r="H59" s="26">
        <f t="shared" si="1"/>
        <v>10.29705681</v>
      </c>
      <c r="I59" s="26">
        <f t="shared" si="2"/>
        <v>0</v>
      </c>
      <c r="J59" s="26">
        <f t="shared" si="3"/>
        <v>90.29705681</v>
      </c>
      <c r="K59" s="9">
        <f t="shared" si="4"/>
        <v>17.4072553</v>
      </c>
      <c r="L59" s="27" t="s">
        <v>1445</v>
      </c>
      <c r="M59" s="28">
        <v>39410.0</v>
      </c>
      <c r="N59" s="16" t="s">
        <v>146</v>
      </c>
      <c r="O59" s="8" t="s">
        <v>1446</v>
      </c>
      <c r="P59" s="1">
        <v>0.0</v>
      </c>
      <c r="Q59" s="1">
        <v>0.0</v>
      </c>
      <c r="R59" s="1">
        <v>0.0</v>
      </c>
      <c r="S59" s="1">
        <v>0.0</v>
      </c>
      <c r="T59" s="16" t="s">
        <v>27</v>
      </c>
      <c r="U59" s="16"/>
    </row>
    <row r="60">
      <c r="A60" s="25">
        <v>45768.0</v>
      </c>
      <c r="B60" s="5" t="s">
        <v>58</v>
      </c>
      <c r="C60" s="5">
        <v>59.0</v>
      </c>
      <c r="D60" s="17" t="s">
        <v>1447</v>
      </c>
      <c r="E60" s="1">
        <f>IFERROR(__xludf.DUMMYFUNCTION("IF(D60="""", 0, COUNTA(SPLIT(D60, "" "")))"),2.0)</f>
        <v>2</v>
      </c>
      <c r="F60" s="8" t="s">
        <v>1448</v>
      </c>
      <c r="G60" s="12">
        <v>15966.0</v>
      </c>
      <c r="H60" s="26">
        <f t="shared" si="1"/>
        <v>1.593429158</v>
      </c>
      <c r="I60" s="26">
        <f t="shared" si="2"/>
        <v>0</v>
      </c>
      <c r="J60" s="26">
        <f t="shared" si="3"/>
        <v>81.59342916</v>
      </c>
      <c r="K60" s="9">
        <f t="shared" si="4"/>
        <v>17.4072553</v>
      </c>
      <c r="L60" s="27" t="s">
        <v>1449</v>
      </c>
      <c r="M60" s="28">
        <v>39410.0</v>
      </c>
      <c r="N60" s="16" t="s">
        <v>146</v>
      </c>
      <c r="O60" s="8" t="s">
        <v>1450</v>
      </c>
      <c r="P60" s="1">
        <v>0.0</v>
      </c>
      <c r="Q60" s="1">
        <v>0.0</v>
      </c>
      <c r="R60" s="1">
        <v>0.0</v>
      </c>
      <c r="S60" s="1">
        <v>0.0</v>
      </c>
      <c r="T60" s="16" t="s">
        <v>27</v>
      </c>
      <c r="U60" s="16"/>
    </row>
    <row r="61">
      <c r="A61" s="25">
        <v>45768.0</v>
      </c>
      <c r="B61" s="5" t="s">
        <v>58</v>
      </c>
      <c r="C61" s="5">
        <v>60.0</v>
      </c>
      <c r="D61" s="8" t="s">
        <v>1451</v>
      </c>
      <c r="E61" s="1">
        <f>IFERROR(__xludf.DUMMYFUNCTION("IF(D61="""", 0, COUNTA(SPLIT(D61, "" "")))"),2.0)</f>
        <v>2</v>
      </c>
      <c r="F61" s="8" t="s">
        <v>1452</v>
      </c>
      <c r="G61" s="12">
        <v>16622.0</v>
      </c>
      <c r="H61" s="26">
        <f t="shared" si="1"/>
        <v>0</v>
      </c>
      <c r="I61" s="26">
        <f t="shared" si="2"/>
        <v>0.2026009582</v>
      </c>
      <c r="J61" s="26">
        <f t="shared" si="3"/>
        <v>79.79739904</v>
      </c>
      <c r="K61" s="9">
        <f t="shared" si="4"/>
        <v>17.4072553</v>
      </c>
      <c r="L61" s="27" t="s">
        <v>1453</v>
      </c>
      <c r="M61" s="28">
        <v>39410.0</v>
      </c>
      <c r="N61" s="16" t="s">
        <v>146</v>
      </c>
      <c r="O61" s="8" t="s">
        <v>1454</v>
      </c>
      <c r="P61" s="1">
        <v>0.0</v>
      </c>
      <c r="Q61" s="1">
        <v>0.0</v>
      </c>
      <c r="R61" s="1">
        <v>0.0</v>
      </c>
      <c r="S61" s="1">
        <v>0.0</v>
      </c>
      <c r="T61" s="16" t="s">
        <v>204</v>
      </c>
      <c r="U61" s="16"/>
    </row>
    <row r="62">
      <c r="A62" s="25">
        <v>45768.0</v>
      </c>
      <c r="B62" s="5" t="s">
        <v>58</v>
      </c>
      <c r="C62" s="5">
        <v>61.0</v>
      </c>
      <c r="D62" s="17" t="s">
        <v>1455</v>
      </c>
      <c r="E62" s="1">
        <f>IFERROR(__xludf.DUMMYFUNCTION("IF(D62="""", 0, COUNTA(SPLIT(D62, "" "")))"),2.0)</f>
        <v>2</v>
      </c>
      <c r="F62" s="8" t="s">
        <v>1456</v>
      </c>
      <c r="G62" s="12">
        <v>12321.0</v>
      </c>
      <c r="H62" s="26">
        <f t="shared" si="1"/>
        <v>11.57289528</v>
      </c>
      <c r="I62" s="26">
        <f t="shared" si="2"/>
        <v>0</v>
      </c>
      <c r="J62" s="26">
        <f t="shared" si="3"/>
        <v>91.57289528</v>
      </c>
      <c r="K62" s="9">
        <f t="shared" si="4"/>
        <v>17.4072553</v>
      </c>
      <c r="L62" s="27" t="s">
        <v>1457</v>
      </c>
      <c r="M62" s="28">
        <v>39410.0</v>
      </c>
      <c r="N62" s="16" t="s">
        <v>146</v>
      </c>
      <c r="O62" s="8" t="s">
        <v>1458</v>
      </c>
      <c r="P62" s="1">
        <v>0.0</v>
      </c>
      <c r="Q62" s="1">
        <v>0.0</v>
      </c>
      <c r="R62" s="1">
        <v>0.0</v>
      </c>
      <c r="S62" s="1">
        <v>0.0</v>
      </c>
      <c r="T62" s="16" t="s">
        <v>27</v>
      </c>
      <c r="U62" s="16"/>
    </row>
    <row r="63">
      <c r="A63" s="25">
        <v>45768.0</v>
      </c>
      <c r="B63" s="5" t="s">
        <v>58</v>
      </c>
      <c r="C63" s="5">
        <v>62.0</v>
      </c>
      <c r="D63" s="17" t="s">
        <v>1459</v>
      </c>
      <c r="E63" s="1">
        <f>IFERROR(__xludf.DUMMYFUNCTION("IF(D63="""", 0, COUNTA(SPLIT(D63, "" "")))"),2.0)</f>
        <v>2</v>
      </c>
      <c r="F63" s="8" t="s">
        <v>1460</v>
      </c>
      <c r="G63" s="12">
        <v>14473.0</v>
      </c>
      <c r="H63" s="26">
        <f t="shared" si="1"/>
        <v>5.681040383</v>
      </c>
      <c r="I63" s="26">
        <f t="shared" si="2"/>
        <v>0</v>
      </c>
      <c r="J63" s="26">
        <f t="shared" si="3"/>
        <v>85.68104038</v>
      </c>
      <c r="K63" s="9">
        <f t="shared" si="4"/>
        <v>17.4072553</v>
      </c>
      <c r="L63" s="27" t="s">
        <v>1461</v>
      </c>
      <c r="M63" s="28">
        <v>39410.0</v>
      </c>
      <c r="N63" s="16" t="s">
        <v>146</v>
      </c>
      <c r="O63" s="8" t="s">
        <v>1462</v>
      </c>
      <c r="P63" s="1">
        <v>0.0</v>
      </c>
      <c r="Q63" s="1">
        <v>0.0</v>
      </c>
      <c r="R63" s="1">
        <v>0.0</v>
      </c>
      <c r="S63" s="1">
        <v>0.0</v>
      </c>
      <c r="T63" s="16" t="s">
        <v>167</v>
      </c>
      <c r="U63" s="16"/>
    </row>
    <row r="64">
      <c r="A64" s="25">
        <v>45768.0</v>
      </c>
      <c r="B64" s="5" t="s">
        <v>58</v>
      </c>
      <c r="C64" s="5">
        <v>63.0</v>
      </c>
      <c r="D64" s="17" t="s">
        <v>1463</v>
      </c>
      <c r="E64" s="1">
        <f>IFERROR(__xludf.DUMMYFUNCTION("IF(D64="""", 0, COUNTA(SPLIT(D64, "" "")))"),4.0)</f>
        <v>4</v>
      </c>
      <c r="F64" s="8" t="s">
        <v>1464</v>
      </c>
      <c r="G64" s="12">
        <v>13634.0</v>
      </c>
      <c r="H64" s="26">
        <f t="shared" si="1"/>
        <v>7.978097194</v>
      </c>
      <c r="I64" s="26">
        <f t="shared" si="2"/>
        <v>0</v>
      </c>
      <c r="J64" s="26">
        <f t="shared" si="3"/>
        <v>87.97809719</v>
      </c>
      <c r="K64" s="9">
        <f t="shared" si="4"/>
        <v>17.4072553</v>
      </c>
      <c r="L64" s="27" t="s">
        <v>1465</v>
      </c>
      <c r="M64" s="28">
        <v>39410.0</v>
      </c>
      <c r="N64" s="16" t="s">
        <v>146</v>
      </c>
      <c r="O64" s="8" t="s">
        <v>1466</v>
      </c>
      <c r="P64" s="1">
        <v>0.0</v>
      </c>
      <c r="Q64" s="1">
        <v>0.0</v>
      </c>
      <c r="R64" s="1">
        <v>0.0</v>
      </c>
      <c r="S64" s="1">
        <v>0.0</v>
      </c>
      <c r="T64" s="16" t="s">
        <v>328</v>
      </c>
      <c r="U64" s="16"/>
    </row>
    <row r="65">
      <c r="A65" s="25">
        <v>45768.0</v>
      </c>
      <c r="B65" s="5" t="s">
        <v>58</v>
      </c>
      <c r="C65" s="5">
        <v>64.0</v>
      </c>
      <c r="D65" s="17" t="s">
        <v>1467</v>
      </c>
      <c r="E65" s="1">
        <f>IFERROR(__xludf.DUMMYFUNCTION("IF(D65="""", 0, COUNTA(SPLIT(D65, "" "")))"),2.0)</f>
        <v>2</v>
      </c>
      <c r="F65" s="8" t="s">
        <v>1468</v>
      </c>
      <c r="G65" s="12">
        <v>15652.0</v>
      </c>
      <c r="H65" s="26">
        <f t="shared" si="1"/>
        <v>2.453114305</v>
      </c>
      <c r="I65" s="26">
        <f t="shared" si="2"/>
        <v>0</v>
      </c>
      <c r="J65" s="26">
        <f t="shared" si="3"/>
        <v>82.45311431</v>
      </c>
      <c r="K65" s="9">
        <f t="shared" si="4"/>
        <v>17.4072553</v>
      </c>
      <c r="L65" s="27" t="s">
        <v>1469</v>
      </c>
      <c r="M65" s="28">
        <v>39410.0</v>
      </c>
      <c r="N65" s="16" t="s">
        <v>146</v>
      </c>
      <c r="O65" s="8" t="s">
        <v>1470</v>
      </c>
      <c r="P65" s="1">
        <v>0.0</v>
      </c>
      <c r="Q65" s="1">
        <v>0.0</v>
      </c>
      <c r="R65" s="1">
        <v>0.0</v>
      </c>
      <c r="S65" s="1">
        <v>0.0</v>
      </c>
      <c r="T65" s="16" t="s">
        <v>174</v>
      </c>
      <c r="U65" s="16"/>
    </row>
    <row r="66">
      <c r="A66" s="25">
        <v>45768.0</v>
      </c>
      <c r="B66" s="5" t="s">
        <v>58</v>
      </c>
      <c r="C66" s="5">
        <v>65.0</v>
      </c>
      <c r="D66" s="17" t="s">
        <v>1471</v>
      </c>
      <c r="E66" s="1">
        <f>IFERROR(__xludf.DUMMYFUNCTION("IF(D66="""", 0, COUNTA(SPLIT(D66, "" "")))"),2.0)</f>
        <v>2</v>
      </c>
      <c r="F66" s="8" t="s">
        <v>1472</v>
      </c>
      <c r="G66" s="12">
        <v>15720.0</v>
      </c>
      <c r="H66" s="26">
        <f t="shared" si="1"/>
        <v>2.266940452</v>
      </c>
      <c r="I66" s="26">
        <f t="shared" si="2"/>
        <v>0</v>
      </c>
      <c r="J66" s="26">
        <f t="shared" si="3"/>
        <v>82.26694045</v>
      </c>
      <c r="K66" s="9">
        <f t="shared" si="4"/>
        <v>17.4072553</v>
      </c>
      <c r="L66" s="27" t="s">
        <v>1473</v>
      </c>
      <c r="M66" s="28">
        <v>39410.0</v>
      </c>
      <c r="N66" s="16" t="s">
        <v>146</v>
      </c>
      <c r="O66" s="8" t="s">
        <v>1474</v>
      </c>
      <c r="P66" s="1">
        <v>0.0</v>
      </c>
      <c r="Q66" s="1">
        <v>0.0</v>
      </c>
      <c r="R66" s="1">
        <v>0.0</v>
      </c>
      <c r="S66" s="1">
        <v>0.0</v>
      </c>
      <c r="T66" s="16" t="s">
        <v>27</v>
      </c>
      <c r="U66" s="16"/>
    </row>
    <row r="67">
      <c r="A67" s="25">
        <v>45768.0</v>
      </c>
      <c r="B67" s="5" t="s">
        <v>58</v>
      </c>
      <c r="C67" s="5">
        <v>66.0</v>
      </c>
      <c r="D67" s="17" t="s">
        <v>1475</v>
      </c>
      <c r="E67" s="1">
        <f>IFERROR(__xludf.DUMMYFUNCTION("IF(D67="""", 0, COUNTA(SPLIT(D67, "" "")))"),2.0)</f>
        <v>2</v>
      </c>
      <c r="F67" s="8" t="s">
        <v>1476</v>
      </c>
      <c r="G67" s="12">
        <v>13482.0</v>
      </c>
      <c r="H67" s="26">
        <f t="shared" si="1"/>
        <v>8.394250513</v>
      </c>
      <c r="I67" s="26">
        <f t="shared" si="2"/>
        <v>0</v>
      </c>
      <c r="J67" s="26">
        <f t="shared" si="3"/>
        <v>88.39425051</v>
      </c>
      <c r="K67" s="9">
        <f t="shared" si="4"/>
        <v>17.4072553</v>
      </c>
      <c r="L67" s="27" t="s">
        <v>1477</v>
      </c>
      <c r="M67" s="28">
        <v>39410.0</v>
      </c>
      <c r="N67" s="16" t="s">
        <v>146</v>
      </c>
      <c r="O67" s="8" t="s">
        <v>1478</v>
      </c>
      <c r="P67" s="1">
        <v>0.0</v>
      </c>
      <c r="Q67" s="1">
        <v>0.0</v>
      </c>
      <c r="R67" s="1">
        <v>0.0</v>
      </c>
      <c r="S67" s="1">
        <v>0.0</v>
      </c>
      <c r="T67" s="16" t="s">
        <v>174</v>
      </c>
      <c r="U67" s="16"/>
    </row>
    <row r="68">
      <c r="A68" s="25">
        <v>45768.0</v>
      </c>
      <c r="B68" s="5" t="s">
        <v>58</v>
      </c>
      <c r="C68" s="5">
        <v>67.0</v>
      </c>
      <c r="D68" s="17" t="s">
        <v>1479</v>
      </c>
      <c r="E68" s="1">
        <f>IFERROR(__xludf.DUMMYFUNCTION("IF(D68="""", 0, COUNTA(SPLIT(D68, "" "")))"),2.0)</f>
        <v>2</v>
      </c>
      <c r="F68" s="8" t="s">
        <v>1480</v>
      </c>
      <c r="G68" s="12">
        <v>16430.0</v>
      </c>
      <c r="H68" s="26">
        <f t="shared" si="1"/>
        <v>0.3230663929</v>
      </c>
      <c r="I68" s="26">
        <f t="shared" si="2"/>
        <v>0</v>
      </c>
      <c r="J68" s="26">
        <f t="shared" si="3"/>
        <v>80.32306639</v>
      </c>
      <c r="K68" s="9">
        <f t="shared" si="4"/>
        <v>17.4072553</v>
      </c>
      <c r="L68" s="27" t="s">
        <v>1481</v>
      </c>
      <c r="M68" s="28">
        <v>39410.0</v>
      </c>
      <c r="N68" s="16" t="s">
        <v>146</v>
      </c>
      <c r="O68" s="8" t="s">
        <v>1482</v>
      </c>
      <c r="P68" s="1">
        <v>0.0</v>
      </c>
      <c r="Q68" s="1">
        <v>0.0</v>
      </c>
      <c r="R68" s="1">
        <v>0.0</v>
      </c>
      <c r="S68" s="1">
        <v>0.0</v>
      </c>
      <c r="T68" s="16" t="s">
        <v>167</v>
      </c>
      <c r="U68" s="16"/>
    </row>
    <row r="69">
      <c r="A69" s="25">
        <v>45768.0</v>
      </c>
      <c r="B69" s="5" t="s">
        <v>58</v>
      </c>
      <c r="C69" s="5">
        <v>68.0</v>
      </c>
      <c r="D69" s="8" t="s">
        <v>1483</v>
      </c>
      <c r="E69" s="1">
        <f>IFERROR(__xludf.DUMMYFUNCTION("IF(D69="""", 0, COUNTA(SPLIT(D69, "" "")))"),3.0)</f>
        <v>3</v>
      </c>
      <c r="F69" s="8" t="s">
        <v>1484</v>
      </c>
      <c r="G69" s="12">
        <v>17959.0</v>
      </c>
      <c r="H69" s="26">
        <f t="shared" si="1"/>
        <v>0</v>
      </c>
      <c r="I69" s="26">
        <f t="shared" si="2"/>
        <v>3.863107461</v>
      </c>
      <c r="J69" s="26">
        <f t="shared" si="3"/>
        <v>76.13689254</v>
      </c>
      <c r="K69" s="9">
        <f t="shared" si="4"/>
        <v>17.4072553</v>
      </c>
      <c r="L69" s="27" t="s">
        <v>1485</v>
      </c>
      <c r="M69" s="28">
        <v>39410.0</v>
      </c>
      <c r="N69" s="16" t="s">
        <v>146</v>
      </c>
      <c r="O69" s="8" t="s">
        <v>1486</v>
      </c>
      <c r="P69" s="1">
        <v>0.0</v>
      </c>
      <c r="Q69" s="1">
        <v>0.0</v>
      </c>
      <c r="R69" s="1">
        <v>0.0</v>
      </c>
      <c r="S69" s="1">
        <v>0.0</v>
      </c>
      <c r="T69" s="16" t="s">
        <v>163</v>
      </c>
      <c r="U69" s="16"/>
    </row>
    <row r="70">
      <c r="A70" s="25">
        <v>45768.0</v>
      </c>
      <c r="B70" s="5" t="s">
        <v>58</v>
      </c>
      <c r="C70" s="5">
        <v>69.0</v>
      </c>
      <c r="D70" s="8" t="s">
        <v>1487</v>
      </c>
      <c r="E70" s="1">
        <f>IFERROR(__xludf.DUMMYFUNCTION("IF(D70="""", 0, COUNTA(SPLIT(D70, "" "")))"),2.0)</f>
        <v>2</v>
      </c>
      <c r="F70" s="8" t="s">
        <v>1488</v>
      </c>
      <c r="G70" s="12">
        <v>18041.0</v>
      </c>
      <c r="H70" s="26">
        <f t="shared" si="1"/>
        <v>0</v>
      </c>
      <c r="I70" s="26">
        <f t="shared" si="2"/>
        <v>4.087611225</v>
      </c>
      <c r="J70" s="26">
        <f t="shared" si="3"/>
        <v>75.91238877</v>
      </c>
      <c r="K70" s="9">
        <f t="shared" si="4"/>
        <v>17.4072553</v>
      </c>
      <c r="L70" s="27" t="s">
        <v>1489</v>
      </c>
      <c r="M70" s="28">
        <v>39410.0</v>
      </c>
      <c r="N70" s="16" t="s">
        <v>146</v>
      </c>
      <c r="O70" s="8" t="s">
        <v>1490</v>
      </c>
      <c r="P70" s="1">
        <v>0.0</v>
      </c>
      <c r="Q70" s="1">
        <v>0.0</v>
      </c>
      <c r="R70" s="1">
        <v>0.0</v>
      </c>
      <c r="S70" s="1">
        <v>0.0</v>
      </c>
      <c r="T70" s="16" t="s">
        <v>167</v>
      </c>
      <c r="U70" s="16"/>
    </row>
    <row r="71">
      <c r="A71" s="25">
        <v>45768.0</v>
      </c>
      <c r="B71" s="5" t="s">
        <v>58</v>
      </c>
      <c r="C71" s="5">
        <v>70.0</v>
      </c>
      <c r="D71" s="8" t="s">
        <v>1491</v>
      </c>
      <c r="E71" s="1">
        <f>IFERROR(__xludf.DUMMYFUNCTION("IF(D71="""", 0, COUNTA(SPLIT(D71, "" "")))"),2.0)</f>
        <v>2</v>
      </c>
      <c r="F71" s="8" t="s">
        <v>1492</v>
      </c>
      <c r="G71" s="12">
        <v>18162.0</v>
      </c>
      <c r="H71" s="26">
        <f t="shared" si="1"/>
        <v>0</v>
      </c>
      <c r="I71" s="26">
        <f t="shared" si="2"/>
        <v>4.41889117</v>
      </c>
      <c r="J71" s="26">
        <f t="shared" si="3"/>
        <v>75.58110883</v>
      </c>
      <c r="K71" s="9">
        <f t="shared" si="4"/>
        <v>17.4072553</v>
      </c>
      <c r="L71" s="27" t="s">
        <v>1493</v>
      </c>
      <c r="M71" s="28">
        <v>39410.0</v>
      </c>
      <c r="N71" s="16" t="s">
        <v>146</v>
      </c>
      <c r="O71" s="8" t="s">
        <v>1494</v>
      </c>
      <c r="P71" s="1">
        <v>4.0</v>
      </c>
      <c r="Q71" s="1">
        <v>0.0</v>
      </c>
      <c r="R71" s="1">
        <v>0.0</v>
      </c>
      <c r="S71" s="1">
        <v>0.0</v>
      </c>
      <c r="T71" s="16" t="s">
        <v>218</v>
      </c>
      <c r="U71" s="16"/>
    </row>
    <row r="72">
      <c r="A72" s="25">
        <v>45768.0</v>
      </c>
      <c r="B72" s="5" t="s">
        <v>58</v>
      </c>
      <c r="C72" s="5">
        <v>71.0</v>
      </c>
      <c r="D72" s="8" t="s">
        <v>1495</v>
      </c>
      <c r="E72" s="1">
        <f>IFERROR(__xludf.DUMMYFUNCTION("IF(D72="""", 0, COUNTA(SPLIT(D72, "" "")))"),2.0)</f>
        <v>2</v>
      </c>
      <c r="F72" s="8" t="s">
        <v>1496</v>
      </c>
      <c r="G72" s="12">
        <v>16803.0</v>
      </c>
      <c r="H72" s="26">
        <f t="shared" si="1"/>
        <v>0</v>
      </c>
      <c r="I72" s="26">
        <f t="shared" si="2"/>
        <v>0.6981519507</v>
      </c>
      <c r="J72" s="26">
        <f t="shared" si="3"/>
        <v>79.30184805</v>
      </c>
      <c r="K72" s="9">
        <f t="shared" si="4"/>
        <v>17.4072553</v>
      </c>
      <c r="L72" s="27" t="s">
        <v>1497</v>
      </c>
      <c r="M72" s="28">
        <v>39410.0</v>
      </c>
      <c r="N72" s="16" t="s">
        <v>146</v>
      </c>
      <c r="O72" s="8" t="s">
        <v>1498</v>
      </c>
      <c r="P72" s="1">
        <v>0.0</v>
      </c>
      <c r="Q72" s="1">
        <v>0.0</v>
      </c>
      <c r="R72" s="1">
        <v>0.0</v>
      </c>
      <c r="S72" s="1">
        <v>0.0</v>
      </c>
      <c r="T72" s="16" t="s">
        <v>353</v>
      </c>
      <c r="U72" s="16"/>
    </row>
    <row r="73">
      <c r="A73" s="25">
        <v>45768.0</v>
      </c>
      <c r="B73" s="5" t="s">
        <v>58</v>
      </c>
      <c r="C73" s="5">
        <v>72.0</v>
      </c>
      <c r="D73" s="17" t="s">
        <v>1499</v>
      </c>
      <c r="E73" s="1">
        <f>IFERROR(__xludf.DUMMYFUNCTION("IF(D73="""", 0, COUNTA(SPLIT(D73, "" "")))"),3.0)</f>
        <v>3</v>
      </c>
      <c r="F73" s="8" t="s">
        <v>1500</v>
      </c>
      <c r="G73" s="12">
        <v>9535.0</v>
      </c>
      <c r="H73" s="26">
        <f t="shared" si="1"/>
        <v>19.20054757</v>
      </c>
      <c r="I73" s="26">
        <f t="shared" si="2"/>
        <v>0</v>
      </c>
      <c r="J73" s="26">
        <f t="shared" si="3"/>
        <v>99.20054757</v>
      </c>
      <c r="K73" s="9">
        <f t="shared" si="4"/>
        <v>17.4072553</v>
      </c>
      <c r="L73" s="27" t="s">
        <v>1501</v>
      </c>
      <c r="M73" s="28">
        <v>39410.0</v>
      </c>
      <c r="N73" s="16" t="s">
        <v>146</v>
      </c>
      <c r="O73" s="8" t="s">
        <v>1502</v>
      </c>
      <c r="P73" s="1">
        <v>0.0</v>
      </c>
      <c r="Q73" s="1">
        <v>0.0</v>
      </c>
      <c r="R73" s="1">
        <v>0.0</v>
      </c>
      <c r="S73" s="1">
        <v>0.0</v>
      </c>
      <c r="T73" s="16" t="s">
        <v>163</v>
      </c>
      <c r="U73" s="16"/>
    </row>
    <row r="74">
      <c r="A74" s="25">
        <v>45768.0</v>
      </c>
      <c r="B74" s="5" t="s">
        <v>58</v>
      </c>
      <c r="C74" s="5">
        <v>73.0</v>
      </c>
      <c r="D74" s="8" t="s">
        <v>1503</v>
      </c>
      <c r="E74" s="1">
        <f>IFERROR(__xludf.DUMMYFUNCTION("IF(D74="""", 0, COUNTA(SPLIT(D74, "" "")))"),2.0)</f>
        <v>2</v>
      </c>
      <c r="F74" s="8" t="s">
        <v>1504</v>
      </c>
      <c r="G74" s="12">
        <v>16603.0</v>
      </c>
      <c r="H74" s="26">
        <f t="shared" si="1"/>
        <v>0</v>
      </c>
      <c r="I74" s="26">
        <f t="shared" si="2"/>
        <v>0.1505817933</v>
      </c>
      <c r="J74" s="26">
        <f t="shared" si="3"/>
        <v>79.84941821</v>
      </c>
      <c r="K74" s="9">
        <f t="shared" si="4"/>
        <v>14.41752225</v>
      </c>
      <c r="L74" s="27" t="s">
        <v>1505</v>
      </c>
      <c r="M74" s="28">
        <v>40502.0</v>
      </c>
      <c r="N74" s="16" t="s">
        <v>146</v>
      </c>
      <c r="O74" s="8" t="s">
        <v>1506</v>
      </c>
      <c r="P74" s="1">
        <v>0.0</v>
      </c>
      <c r="Q74" s="1">
        <v>0.0</v>
      </c>
      <c r="R74" s="1">
        <v>0.0</v>
      </c>
      <c r="S74" s="1">
        <v>0.0417</v>
      </c>
      <c r="T74" s="16" t="s">
        <v>174</v>
      </c>
      <c r="U74" s="16"/>
    </row>
    <row r="75">
      <c r="A75" s="25">
        <v>45768.0</v>
      </c>
      <c r="B75" s="5" t="s">
        <v>58</v>
      </c>
      <c r="C75" s="5">
        <v>74.0</v>
      </c>
      <c r="D75" s="17" t="s">
        <v>1507</v>
      </c>
      <c r="E75" s="1">
        <f>IFERROR(__xludf.DUMMYFUNCTION("IF(D75="""", 0, COUNTA(SPLIT(D75, "" "")))"),2.0)</f>
        <v>2</v>
      </c>
      <c r="F75" s="8" t="s">
        <v>1508</v>
      </c>
      <c r="G75" s="12">
        <v>12567.0</v>
      </c>
      <c r="H75" s="26">
        <f t="shared" si="1"/>
        <v>10.89938398</v>
      </c>
      <c r="I75" s="26">
        <f t="shared" si="2"/>
        <v>0</v>
      </c>
      <c r="J75" s="26">
        <f t="shared" si="3"/>
        <v>90.89938398</v>
      </c>
      <c r="K75" s="9">
        <f t="shared" si="4"/>
        <v>14.41752225</v>
      </c>
      <c r="L75" s="27" t="s">
        <v>1509</v>
      </c>
      <c r="M75" s="28">
        <v>40502.0</v>
      </c>
      <c r="N75" s="16" t="s">
        <v>146</v>
      </c>
      <c r="O75" s="8" t="s">
        <v>1510</v>
      </c>
      <c r="P75" s="1">
        <v>0.0</v>
      </c>
      <c r="Q75" s="1">
        <v>0.0</v>
      </c>
      <c r="R75" s="1">
        <v>0.0</v>
      </c>
      <c r="S75" s="1">
        <v>0.0</v>
      </c>
      <c r="T75" s="16" t="s">
        <v>27</v>
      </c>
      <c r="U75" s="16"/>
    </row>
    <row r="76">
      <c r="A76" s="25">
        <v>45768.0</v>
      </c>
      <c r="B76" s="5" t="s">
        <v>58</v>
      </c>
      <c r="C76" s="5">
        <v>75.0</v>
      </c>
      <c r="D76" s="8" t="s">
        <v>1511</v>
      </c>
      <c r="E76" s="1">
        <f>IFERROR(__xludf.DUMMYFUNCTION("IF(D76="""", 0, COUNTA(SPLIT(D76, "" "")))"),3.0)</f>
        <v>3</v>
      </c>
      <c r="F76" s="8" t="s">
        <v>1512</v>
      </c>
      <c r="G76" s="12">
        <v>17714.0</v>
      </c>
      <c r="H76" s="26">
        <f t="shared" si="1"/>
        <v>0</v>
      </c>
      <c r="I76" s="26">
        <f t="shared" si="2"/>
        <v>3.192334018</v>
      </c>
      <c r="J76" s="26">
        <f t="shared" si="3"/>
        <v>76.80766598</v>
      </c>
      <c r="K76" s="9">
        <f t="shared" si="4"/>
        <v>14.41752225</v>
      </c>
      <c r="L76" s="27" t="s">
        <v>1513</v>
      </c>
      <c r="M76" s="28">
        <v>40502.0</v>
      </c>
      <c r="N76" s="16" t="s">
        <v>146</v>
      </c>
      <c r="O76" s="8" t="s">
        <v>1514</v>
      </c>
      <c r="P76" s="1">
        <v>0.0</v>
      </c>
      <c r="Q76" s="1">
        <v>0.0</v>
      </c>
      <c r="R76" s="1">
        <v>0.0</v>
      </c>
      <c r="S76" s="1">
        <v>0.0</v>
      </c>
      <c r="T76" s="16" t="s">
        <v>167</v>
      </c>
      <c r="U76" s="16"/>
    </row>
    <row r="77">
      <c r="A77" s="25">
        <v>45768.0</v>
      </c>
      <c r="B77" s="5" t="s">
        <v>58</v>
      </c>
      <c r="C77" s="5">
        <v>76.0</v>
      </c>
      <c r="D77" s="8" t="s">
        <v>1515</v>
      </c>
      <c r="E77" s="1">
        <f>IFERROR(__xludf.DUMMYFUNCTION("IF(D77="""", 0, COUNTA(SPLIT(D77, "" "")))"),2.0)</f>
        <v>2</v>
      </c>
      <c r="F77" s="8" t="s">
        <v>1516</v>
      </c>
      <c r="G77" s="12">
        <v>18337.0</v>
      </c>
      <c r="H77" s="26">
        <f t="shared" si="1"/>
        <v>0</v>
      </c>
      <c r="I77" s="26">
        <f t="shared" si="2"/>
        <v>4.898015058</v>
      </c>
      <c r="J77" s="26">
        <f t="shared" si="3"/>
        <v>75.10198494</v>
      </c>
      <c r="K77" s="9">
        <f t="shared" si="4"/>
        <v>14.41752225</v>
      </c>
      <c r="L77" s="27" t="s">
        <v>1517</v>
      </c>
      <c r="M77" s="28">
        <v>40502.0</v>
      </c>
      <c r="N77" s="16" t="s">
        <v>146</v>
      </c>
      <c r="O77" s="8" t="s">
        <v>1518</v>
      </c>
      <c r="P77" s="1">
        <v>0.0</v>
      </c>
      <c r="Q77" s="1">
        <v>0.0</v>
      </c>
      <c r="R77" s="1">
        <v>0.0</v>
      </c>
      <c r="S77" s="1">
        <v>0.0</v>
      </c>
      <c r="T77" s="16" t="s">
        <v>159</v>
      </c>
      <c r="U77" s="16"/>
    </row>
    <row r="78">
      <c r="A78" s="25">
        <v>45768.0</v>
      </c>
      <c r="B78" s="5" t="s">
        <v>58</v>
      </c>
      <c r="C78" s="5">
        <v>77.0</v>
      </c>
      <c r="D78" s="17" t="s">
        <v>1519</v>
      </c>
      <c r="E78" s="1">
        <f>IFERROR(__xludf.DUMMYFUNCTION("IF(D78="""", 0, COUNTA(SPLIT(D78, "" "")))"),2.0)</f>
        <v>2</v>
      </c>
      <c r="F78" s="8" t="s">
        <v>1520</v>
      </c>
      <c r="G78" s="12">
        <v>16330.0</v>
      </c>
      <c r="H78" s="26">
        <f t="shared" si="1"/>
        <v>0.5968514716</v>
      </c>
      <c r="I78" s="26">
        <f t="shared" si="2"/>
        <v>0</v>
      </c>
      <c r="J78" s="26">
        <f t="shared" si="3"/>
        <v>80.59685147</v>
      </c>
      <c r="K78" s="9">
        <f t="shared" si="4"/>
        <v>14.41752225</v>
      </c>
      <c r="L78" s="27" t="s">
        <v>1521</v>
      </c>
      <c r="M78" s="28">
        <v>40502.0</v>
      </c>
      <c r="N78" s="16" t="s">
        <v>146</v>
      </c>
      <c r="O78" s="8" t="s">
        <v>1522</v>
      </c>
      <c r="P78" s="1">
        <v>0.0</v>
      </c>
      <c r="Q78" s="1">
        <v>0.0</v>
      </c>
      <c r="R78" s="1">
        <v>0.0</v>
      </c>
      <c r="S78" s="1">
        <v>0.0</v>
      </c>
      <c r="T78" s="16" t="s">
        <v>27</v>
      </c>
      <c r="U78" s="16"/>
    </row>
    <row r="79">
      <c r="A79" s="25">
        <v>45768.0</v>
      </c>
      <c r="B79" s="5" t="s">
        <v>58</v>
      </c>
      <c r="C79" s="5">
        <v>78.0</v>
      </c>
      <c r="D79" s="17" t="s">
        <v>1523</v>
      </c>
      <c r="E79" s="1">
        <f>IFERROR(__xludf.DUMMYFUNCTION("IF(D79="""", 0, COUNTA(SPLIT(D79, "" "")))"),2.0)</f>
        <v>2</v>
      </c>
      <c r="F79" s="8" t="s">
        <v>1524</v>
      </c>
      <c r="G79" s="12">
        <v>15632.0</v>
      </c>
      <c r="H79" s="26">
        <f t="shared" si="1"/>
        <v>2.507871321</v>
      </c>
      <c r="I79" s="26">
        <f t="shared" si="2"/>
        <v>0</v>
      </c>
      <c r="J79" s="26">
        <f t="shared" si="3"/>
        <v>82.50787132</v>
      </c>
      <c r="K79" s="9">
        <f t="shared" si="4"/>
        <v>14.41752225</v>
      </c>
      <c r="L79" s="27" t="s">
        <v>1525</v>
      </c>
      <c r="M79" s="28">
        <v>40502.0</v>
      </c>
      <c r="N79" s="16" t="s">
        <v>146</v>
      </c>
      <c r="O79" s="8" t="s">
        <v>1526</v>
      </c>
      <c r="P79" s="1">
        <v>0.0</v>
      </c>
      <c r="Q79" s="1">
        <v>0.0</v>
      </c>
      <c r="R79" s="1">
        <v>0.0</v>
      </c>
      <c r="S79" s="1">
        <v>0.0</v>
      </c>
      <c r="T79" s="16" t="s">
        <v>27</v>
      </c>
      <c r="U79" s="16"/>
    </row>
    <row r="80">
      <c r="A80" s="25">
        <v>45768.0</v>
      </c>
      <c r="B80" s="5" t="s">
        <v>58</v>
      </c>
      <c r="C80" s="5">
        <v>79.0</v>
      </c>
      <c r="D80" s="17" t="s">
        <v>1527</v>
      </c>
      <c r="E80" s="1">
        <f>IFERROR(__xludf.DUMMYFUNCTION("IF(D80="""", 0, COUNTA(SPLIT(D80, "" "")))"),2.0)</f>
        <v>2</v>
      </c>
      <c r="F80" s="8" t="s">
        <v>1528</v>
      </c>
      <c r="G80" s="12">
        <v>13931.0</v>
      </c>
      <c r="H80" s="26">
        <f t="shared" si="1"/>
        <v>7.16495551</v>
      </c>
      <c r="I80" s="26">
        <f t="shared" si="2"/>
        <v>0</v>
      </c>
      <c r="J80" s="26">
        <f t="shared" si="3"/>
        <v>87.16495551</v>
      </c>
      <c r="K80" s="9">
        <f t="shared" si="4"/>
        <v>14.41752225</v>
      </c>
      <c r="L80" s="27" t="s">
        <v>1529</v>
      </c>
      <c r="M80" s="28">
        <v>40502.0</v>
      </c>
      <c r="N80" s="16" t="s">
        <v>146</v>
      </c>
      <c r="O80" s="8" t="s">
        <v>1530</v>
      </c>
      <c r="P80" s="1">
        <v>0.0</v>
      </c>
      <c r="Q80" s="1">
        <v>0.0</v>
      </c>
      <c r="R80" s="1">
        <v>0.0</v>
      </c>
      <c r="S80" s="1">
        <v>0.0</v>
      </c>
      <c r="T80" s="16" t="s">
        <v>27</v>
      </c>
      <c r="U80" s="16"/>
    </row>
    <row r="81">
      <c r="A81" s="25">
        <v>45768.0</v>
      </c>
      <c r="B81" s="5" t="s">
        <v>58</v>
      </c>
      <c r="C81" s="5">
        <v>80.0</v>
      </c>
      <c r="D81" s="17" t="s">
        <v>1531</v>
      </c>
      <c r="E81" s="1">
        <f>IFERROR(__xludf.DUMMYFUNCTION("IF(D81="""", 0, COUNTA(SPLIT(D81, "" "")))"),2.0)</f>
        <v>2</v>
      </c>
      <c r="F81" s="8" t="s">
        <v>1532</v>
      </c>
      <c r="G81" s="12">
        <v>14927.0</v>
      </c>
      <c r="H81" s="26">
        <f t="shared" si="1"/>
        <v>4.438056126</v>
      </c>
      <c r="I81" s="26">
        <f t="shared" si="2"/>
        <v>0</v>
      </c>
      <c r="J81" s="26">
        <f t="shared" si="3"/>
        <v>84.43805613</v>
      </c>
      <c r="K81" s="9">
        <f t="shared" si="4"/>
        <v>14.41752225</v>
      </c>
      <c r="L81" s="27" t="s">
        <v>1533</v>
      </c>
      <c r="M81" s="28">
        <v>40502.0</v>
      </c>
      <c r="N81" s="16" t="s">
        <v>146</v>
      </c>
      <c r="O81" s="8" t="s">
        <v>1534</v>
      </c>
      <c r="P81" s="1">
        <v>0.0</v>
      </c>
      <c r="Q81" s="1">
        <v>0.0</v>
      </c>
      <c r="R81" s="1">
        <v>0.0</v>
      </c>
      <c r="S81" s="1">
        <v>0.0</v>
      </c>
      <c r="T81" s="16" t="s">
        <v>167</v>
      </c>
      <c r="U81" s="16"/>
    </row>
    <row r="82">
      <c r="A82" s="25">
        <v>45768.0</v>
      </c>
      <c r="B82" s="5" t="s">
        <v>58</v>
      </c>
      <c r="C82" s="5">
        <v>81.0</v>
      </c>
      <c r="D82" s="17" t="s">
        <v>1535</v>
      </c>
      <c r="E82" s="1">
        <f>IFERROR(__xludf.DUMMYFUNCTION("IF(D82="""", 0, COUNTA(SPLIT(D82, "" "")))"),3.0)</f>
        <v>3</v>
      </c>
      <c r="F82" s="8" t="s">
        <v>1536</v>
      </c>
      <c r="G82" s="12">
        <v>13561.0</v>
      </c>
      <c r="H82" s="26">
        <f t="shared" si="1"/>
        <v>8.177960301</v>
      </c>
      <c r="I82" s="26">
        <f t="shared" si="2"/>
        <v>0</v>
      </c>
      <c r="J82" s="26">
        <f t="shared" si="3"/>
        <v>88.1779603</v>
      </c>
      <c r="K82" s="9">
        <f t="shared" si="4"/>
        <v>14.41752225</v>
      </c>
      <c r="L82" s="27" t="s">
        <v>1537</v>
      </c>
      <c r="M82" s="28">
        <v>40502.0</v>
      </c>
      <c r="N82" s="16" t="s">
        <v>146</v>
      </c>
      <c r="O82" s="8" t="s">
        <v>1538</v>
      </c>
      <c r="P82" s="1">
        <v>0.0</v>
      </c>
      <c r="Q82" s="1">
        <v>0.0</v>
      </c>
      <c r="R82" s="1">
        <v>0.0</v>
      </c>
      <c r="S82" s="1">
        <v>0.0</v>
      </c>
      <c r="T82" s="16" t="s">
        <v>218</v>
      </c>
      <c r="U82" s="16"/>
    </row>
    <row r="83">
      <c r="A83" s="25">
        <v>45768.0</v>
      </c>
      <c r="B83" s="5" t="s">
        <v>58</v>
      </c>
      <c r="C83" s="5">
        <v>82.0</v>
      </c>
      <c r="D83" s="8" t="s">
        <v>1539</v>
      </c>
      <c r="E83" s="1">
        <f>IFERROR(__xludf.DUMMYFUNCTION("IF(D83="""", 0, COUNTA(SPLIT(D83, "" "")))"),2.0)</f>
        <v>2</v>
      </c>
      <c r="F83" s="8" t="s">
        <v>1540</v>
      </c>
      <c r="G83" s="12">
        <v>18295.0</v>
      </c>
      <c r="H83" s="26">
        <f t="shared" si="1"/>
        <v>0</v>
      </c>
      <c r="I83" s="26">
        <f t="shared" si="2"/>
        <v>4.783025325</v>
      </c>
      <c r="J83" s="26">
        <f t="shared" si="3"/>
        <v>75.21697467</v>
      </c>
      <c r="K83" s="9">
        <f t="shared" si="4"/>
        <v>14.41752225</v>
      </c>
      <c r="L83" s="27" t="s">
        <v>1541</v>
      </c>
      <c r="M83" s="28">
        <v>40502.0</v>
      </c>
      <c r="N83" s="16" t="s">
        <v>146</v>
      </c>
      <c r="O83" s="8" t="s">
        <v>1542</v>
      </c>
      <c r="P83" s="1">
        <v>0.0</v>
      </c>
      <c r="Q83" s="1">
        <v>0.0</v>
      </c>
      <c r="R83" s="1">
        <v>0.0</v>
      </c>
      <c r="S83" s="1">
        <v>0.0</v>
      </c>
      <c r="T83" s="16" t="s">
        <v>204</v>
      </c>
      <c r="U83" s="16"/>
    </row>
    <row r="84">
      <c r="A84" s="25">
        <v>45768.0</v>
      </c>
      <c r="B84" s="5" t="s">
        <v>58</v>
      </c>
      <c r="C84" s="5">
        <v>83.0</v>
      </c>
      <c r="D84" s="8" t="s">
        <v>1543</v>
      </c>
      <c r="E84" s="1">
        <f>IFERROR(__xludf.DUMMYFUNCTION("IF(D84="""", 0, COUNTA(SPLIT(D84, "" "")))"),2.0)</f>
        <v>2</v>
      </c>
      <c r="F84" s="8" t="s">
        <v>1544</v>
      </c>
      <c r="G84" s="12">
        <v>17486.0</v>
      </c>
      <c r="H84" s="26">
        <f t="shared" si="1"/>
        <v>0</v>
      </c>
      <c r="I84" s="26">
        <f t="shared" si="2"/>
        <v>2.568104038</v>
      </c>
      <c r="J84" s="26">
        <f t="shared" si="3"/>
        <v>77.43189596</v>
      </c>
      <c r="K84" s="9">
        <f t="shared" si="4"/>
        <v>14.41752225</v>
      </c>
      <c r="L84" s="27" t="s">
        <v>1545</v>
      </c>
      <c r="M84" s="28">
        <v>40502.0</v>
      </c>
      <c r="N84" s="16" t="s">
        <v>146</v>
      </c>
      <c r="O84" s="8" t="s">
        <v>1546</v>
      </c>
      <c r="P84" s="1">
        <v>0.0</v>
      </c>
      <c r="Q84" s="1">
        <v>0.0</v>
      </c>
      <c r="R84" s="1">
        <v>0.0</v>
      </c>
      <c r="S84" s="1">
        <v>0.0</v>
      </c>
      <c r="T84" s="16" t="s">
        <v>376</v>
      </c>
      <c r="U84" s="16"/>
    </row>
    <row r="85">
      <c r="A85" s="25">
        <v>45768.0</v>
      </c>
      <c r="B85" s="5" t="s">
        <v>58</v>
      </c>
      <c r="C85" s="5">
        <v>84.0</v>
      </c>
      <c r="D85" s="8" t="s">
        <v>1547</v>
      </c>
      <c r="E85" s="1">
        <f>IFERROR(__xludf.DUMMYFUNCTION("IF(D85="""", 0, COUNTA(SPLIT(D85, "" "")))"),2.0)</f>
        <v>2</v>
      </c>
      <c r="F85" s="8" t="s">
        <v>1548</v>
      </c>
      <c r="G85" s="12">
        <v>19623.0</v>
      </c>
      <c r="H85" s="26">
        <f t="shared" si="1"/>
        <v>0</v>
      </c>
      <c r="I85" s="26">
        <f t="shared" si="2"/>
        <v>8.41889117</v>
      </c>
      <c r="J85" s="26">
        <f t="shared" si="3"/>
        <v>71.58110883</v>
      </c>
      <c r="K85" s="9">
        <f t="shared" si="4"/>
        <v>14.41752225</v>
      </c>
      <c r="L85" s="27" t="s">
        <v>1549</v>
      </c>
      <c r="M85" s="28">
        <v>40502.0</v>
      </c>
      <c r="N85" s="16" t="s">
        <v>146</v>
      </c>
      <c r="O85" s="8" t="s">
        <v>1550</v>
      </c>
      <c r="P85" s="1">
        <v>0.0</v>
      </c>
      <c r="Q85" s="1">
        <v>0.0</v>
      </c>
      <c r="R85" s="1">
        <v>0.0</v>
      </c>
      <c r="S85" s="1">
        <v>0.0</v>
      </c>
      <c r="T85" s="16" t="s">
        <v>159</v>
      </c>
      <c r="U85" s="16"/>
    </row>
    <row r="86">
      <c r="A86" s="25">
        <v>45768.0</v>
      </c>
      <c r="B86" s="5" t="s">
        <v>58</v>
      </c>
      <c r="C86" s="5">
        <v>85.0</v>
      </c>
      <c r="D86" s="17" t="s">
        <v>1551</v>
      </c>
      <c r="E86" s="1">
        <f>IFERROR(__xludf.DUMMYFUNCTION("IF(D86="""", 0, COUNTA(SPLIT(D86, "" "")))"),2.0)</f>
        <v>2</v>
      </c>
      <c r="F86" s="8" t="s">
        <v>1552</v>
      </c>
      <c r="G86" s="12">
        <v>10598.0</v>
      </c>
      <c r="H86" s="26">
        <f t="shared" si="1"/>
        <v>16.29021218</v>
      </c>
      <c r="I86" s="26">
        <f t="shared" si="2"/>
        <v>0</v>
      </c>
      <c r="J86" s="26">
        <f t="shared" si="3"/>
        <v>96.29021218</v>
      </c>
      <c r="K86" s="9">
        <f t="shared" si="4"/>
        <v>13.17180014</v>
      </c>
      <c r="L86" s="27" t="s">
        <v>1553</v>
      </c>
      <c r="M86" s="28">
        <v>40957.0</v>
      </c>
      <c r="N86" s="16" t="s">
        <v>146</v>
      </c>
      <c r="O86" s="8" t="s">
        <v>1554</v>
      </c>
      <c r="P86" s="1">
        <v>0.0</v>
      </c>
      <c r="Q86" s="1">
        <v>0.0</v>
      </c>
      <c r="R86" s="1">
        <v>0.0</v>
      </c>
      <c r="S86" s="1">
        <v>0.0</v>
      </c>
      <c r="T86" s="16" t="s">
        <v>159</v>
      </c>
      <c r="U86" s="16"/>
    </row>
    <row r="87">
      <c r="A87" s="25">
        <v>45768.0</v>
      </c>
      <c r="B87" s="5" t="s">
        <v>58</v>
      </c>
      <c r="C87" s="5">
        <v>86.0</v>
      </c>
      <c r="D87" s="17" t="s">
        <v>1555</v>
      </c>
      <c r="E87" s="1">
        <f>IFERROR(__xludf.DUMMYFUNCTION("IF(D87="""", 0, COUNTA(SPLIT(D87, "" "")))"),4.0)</f>
        <v>4</v>
      </c>
      <c r="F87" s="8" t="s">
        <v>1556</v>
      </c>
      <c r="G87" s="12">
        <v>13968.0</v>
      </c>
      <c r="H87" s="26">
        <f t="shared" si="1"/>
        <v>7.063655031</v>
      </c>
      <c r="I87" s="26">
        <f t="shared" si="2"/>
        <v>0</v>
      </c>
      <c r="J87" s="26">
        <f t="shared" si="3"/>
        <v>87.06365503</v>
      </c>
      <c r="K87" s="9">
        <f t="shared" si="4"/>
        <v>13.17180014</v>
      </c>
      <c r="L87" s="27" t="s">
        <v>1557</v>
      </c>
      <c r="M87" s="28">
        <v>40957.0</v>
      </c>
      <c r="N87" s="16" t="s">
        <v>146</v>
      </c>
      <c r="O87" s="8" t="s">
        <v>1558</v>
      </c>
      <c r="P87" s="1">
        <v>0.0</v>
      </c>
      <c r="Q87" s="1">
        <v>0.0</v>
      </c>
      <c r="R87" s="1">
        <v>0.0</v>
      </c>
      <c r="S87" s="1">
        <v>0.0</v>
      </c>
      <c r="T87" s="16" t="s">
        <v>218</v>
      </c>
      <c r="U87" s="16"/>
    </row>
    <row r="88">
      <c r="A88" s="25">
        <v>45768.0</v>
      </c>
      <c r="B88" s="5" t="s">
        <v>58</v>
      </c>
      <c r="C88" s="5">
        <v>87.0</v>
      </c>
      <c r="D88" s="17" t="s">
        <v>1559</v>
      </c>
      <c r="E88" s="1">
        <f>IFERROR(__xludf.DUMMYFUNCTION("IF(D88="""", 0, COUNTA(SPLIT(D88, "" "")))"),4.0)</f>
        <v>4</v>
      </c>
      <c r="F88" s="8" t="s">
        <v>1560</v>
      </c>
      <c r="G88" s="12">
        <v>13048.0</v>
      </c>
      <c r="H88" s="26">
        <f t="shared" si="1"/>
        <v>9.582477755</v>
      </c>
      <c r="I88" s="26">
        <f t="shared" si="2"/>
        <v>0</v>
      </c>
      <c r="J88" s="26">
        <f t="shared" si="3"/>
        <v>89.58247775</v>
      </c>
      <c r="K88" s="9">
        <f t="shared" si="4"/>
        <v>13.17180014</v>
      </c>
      <c r="L88" s="27" t="s">
        <v>1561</v>
      </c>
      <c r="M88" s="28">
        <v>40957.0</v>
      </c>
      <c r="N88" s="16" t="s">
        <v>146</v>
      </c>
      <c r="O88" s="8" t="s">
        <v>1562</v>
      </c>
      <c r="P88" s="1">
        <v>0.0</v>
      </c>
      <c r="Q88" s="1">
        <v>0.0</v>
      </c>
      <c r="R88" s="1">
        <v>0.0</v>
      </c>
      <c r="S88" s="1">
        <v>0.0</v>
      </c>
      <c r="T88" s="16" t="s">
        <v>163</v>
      </c>
      <c r="U88" s="16"/>
    </row>
    <row r="89">
      <c r="A89" s="25">
        <v>45768.0</v>
      </c>
      <c r="B89" s="5" t="s">
        <v>58</v>
      </c>
      <c r="C89" s="5">
        <v>88.0</v>
      </c>
      <c r="D89" s="17" t="s">
        <v>1563</v>
      </c>
      <c r="E89" s="1">
        <f>IFERROR(__xludf.DUMMYFUNCTION("IF(D89="""", 0, COUNTA(SPLIT(D89, "" "")))"),3.0)</f>
        <v>3</v>
      </c>
      <c r="F89" s="8" t="s">
        <v>1564</v>
      </c>
      <c r="G89" s="12">
        <v>13914.0</v>
      </c>
      <c r="H89" s="26">
        <f t="shared" si="1"/>
        <v>7.211498973</v>
      </c>
      <c r="I89" s="26">
        <f t="shared" si="2"/>
        <v>0</v>
      </c>
      <c r="J89" s="26">
        <f t="shared" si="3"/>
        <v>87.21149897</v>
      </c>
      <c r="K89" s="9">
        <f t="shared" si="4"/>
        <v>13.17180014</v>
      </c>
      <c r="L89" s="27" t="s">
        <v>1565</v>
      </c>
      <c r="M89" s="28">
        <v>40957.0</v>
      </c>
      <c r="N89" s="16" t="s">
        <v>146</v>
      </c>
      <c r="O89" s="8" t="s">
        <v>1566</v>
      </c>
      <c r="P89" s="1">
        <v>0.0</v>
      </c>
      <c r="Q89" s="1">
        <v>0.0</v>
      </c>
      <c r="R89" s="1">
        <v>0.0</v>
      </c>
      <c r="S89" s="1">
        <v>0.0</v>
      </c>
      <c r="T89" s="16" t="s">
        <v>27</v>
      </c>
      <c r="U89" s="16"/>
    </row>
    <row r="90">
      <c r="A90" s="25">
        <v>45768.0</v>
      </c>
      <c r="B90" s="5" t="s">
        <v>58</v>
      </c>
      <c r="C90" s="5">
        <v>89.0</v>
      </c>
      <c r="D90" s="17" t="s">
        <v>1567</v>
      </c>
      <c r="E90" s="1">
        <f>IFERROR(__xludf.DUMMYFUNCTION("IF(D90="""", 0, COUNTA(SPLIT(D90, "" "")))"),2.0)</f>
        <v>2</v>
      </c>
      <c r="F90" s="8" t="s">
        <v>1568</v>
      </c>
      <c r="G90" s="12">
        <v>15615.0</v>
      </c>
      <c r="H90" s="26">
        <f t="shared" si="1"/>
        <v>2.554414784</v>
      </c>
      <c r="I90" s="26">
        <f t="shared" si="2"/>
        <v>0</v>
      </c>
      <c r="J90" s="26">
        <f t="shared" si="3"/>
        <v>82.55441478</v>
      </c>
      <c r="K90" s="9">
        <f t="shared" si="4"/>
        <v>13.17180014</v>
      </c>
      <c r="L90" s="27" t="s">
        <v>1569</v>
      </c>
      <c r="M90" s="28">
        <v>40957.0</v>
      </c>
      <c r="N90" s="16" t="s">
        <v>146</v>
      </c>
      <c r="O90" s="8" t="s">
        <v>1570</v>
      </c>
      <c r="P90" s="1">
        <v>0.0</v>
      </c>
      <c r="Q90" s="1">
        <v>0.0</v>
      </c>
      <c r="R90" s="1">
        <v>0.0</v>
      </c>
      <c r="S90" s="1">
        <v>0.0</v>
      </c>
      <c r="T90" s="16" t="s">
        <v>27</v>
      </c>
      <c r="U90" s="16"/>
    </row>
    <row r="91">
      <c r="A91" s="25">
        <v>45768.0</v>
      </c>
      <c r="B91" s="5" t="s">
        <v>58</v>
      </c>
      <c r="C91" s="5">
        <v>90.0</v>
      </c>
      <c r="D91" s="17" t="s">
        <v>1571</v>
      </c>
      <c r="E91" s="1">
        <f>IFERROR(__xludf.DUMMYFUNCTION("IF(D91="""", 0, COUNTA(SPLIT(D91, "" "")))"),2.0)</f>
        <v>2</v>
      </c>
      <c r="F91" s="8" t="s">
        <v>1572</v>
      </c>
      <c r="G91" s="12">
        <v>13945.0</v>
      </c>
      <c r="H91" s="26">
        <f t="shared" si="1"/>
        <v>7.126625599</v>
      </c>
      <c r="I91" s="26">
        <f t="shared" si="2"/>
        <v>0</v>
      </c>
      <c r="J91" s="26">
        <f t="shared" si="3"/>
        <v>87.1266256</v>
      </c>
      <c r="K91" s="9">
        <f t="shared" si="4"/>
        <v>13.17180014</v>
      </c>
      <c r="L91" s="27" t="s">
        <v>1573</v>
      </c>
      <c r="M91" s="28">
        <v>40957.0</v>
      </c>
      <c r="N91" s="16" t="s">
        <v>146</v>
      </c>
      <c r="O91" s="8" t="s">
        <v>1574</v>
      </c>
      <c r="P91" s="1">
        <v>0.0</v>
      </c>
      <c r="Q91" s="1">
        <v>0.0</v>
      </c>
      <c r="R91" s="1">
        <v>0.0</v>
      </c>
      <c r="S91" s="1">
        <v>0.0</v>
      </c>
      <c r="T91" s="16" t="s">
        <v>27</v>
      </c>
      <c r="U91" s="16"/>
    </row>
    <row r="92">
      <c r="A92" s="25">
        <v>45768.0</v>
      </c>
      <c r="B92" s="5" t="s">
        <v>58</v>
      </c>
      <c r="C92" s="5">
        <v>91.0</v>
      </c>
      <c r="D92" s="8" t="s">
        <v>1575</v>
      </c>
      <c r="E92" s="1">
        <f>IFERROR(__xludf.DUMMYFUNCTION("IF(D92="""", 0, COUNTA(SPLIT(D92, "" "")))"),4.0)</f>
        <v>4</v>
      </c>
      <c r="F92" s="8" t="s">
        <v>1576</v>
      </c>
      <c r="G92" s="12">
        <v>17281.0</v>
      </c>
      <c r="H92" s="26">
        <f t="shared" si="1"/>
        <v>0</v>
      </c>
      <c r="I92" s="26">
        <f t="shared" si="2"/>
        <v>2.006844627</v>
      </c>
      <c r="J92" s="26">
        <f t="shared" si="3"/>
        <v>77.99315537</v>
      </c>
      <c r="K92" s="9">
        <f t="shared" si="4"/>
        <v>13.17180014</v>
      </c>
      <c r="L92" s="27" t="s">
        <v>1577</v>
      </c>
      <c r="M92" s="28">
        <v>40957.0</v>
      </c>
      <c r="N92" s="16" t="s">
        <v>146</v>
      </c>
      <c r="O92" s="8" t="s">
        <v>1578</v>
      </c>
      <c r="P92" s="1">
        <v>0.0</v>
      </c>
      <c r="Q92" s="1">
        <v>0.0</v>
      </c>
      <c r="R92" s="1">
        <v>0.0</v>
      </c>
      <c r="S92" s="1">
        <v>0.0</v>
      </c>
      <c r="T92" s="16" t="s">
        <v>218</v>
      </c>
      <c r="U92" s="16"/>
    </row>
    <row r="93">
      <c r="A93" s="25">
        <v>45768.0</v>
      </c>
      <c r="B93" s="5" t="s">
        <v>58</v>
      </c>
      <c r="C93" s="5">
        <v>92.0</v>
      </c>
      <c r="D93" s="17" t="s">
        <v>1579</v>
      </c>
      <c r="E93" s="1">
        <f>IFERROR(__xludf.DUMMYFUNCTION("IF(D93="""", 0, COUNTA(SPLIT(D93, "" "")))"),3.0)</f>
        <v>3</v>
      </c>
      <c r="F93" s="8" t="s">
        <v>1580</v>
      </c>
      <c r="G93" s="12">
        <v>14343.0</v>
      </c>
      <c r="H93" s="26">
        <f t="shared" si="1"/>
        <v>6.036960986</v>
      </c>
      <c r="I93" s="26">
        <f t="shared" si="2"/>
        <v>0</v>
      </c>
      <c r="J93" s="26">
        <f t="shared" si="3"/>
        <v>86.03696099</v>
      </c>
      <c r="K93" s="9">
        <f t="shared" si="4"/>
        <v>13.17180014</v>
      </c>
      <c r="L93" s="27" t="s">
        <v>1581</v>
      </c>
      <c r="M93" s="28">
        <v>40957.0</v>
      </c>
      <c r="N93" s="16" t="s">
        <v>146</v>
      </c>
      <c r="O93" s="8" t="s">
        <v>1582</v>
      </c>
      <c r="P93" s="1">
        <v>0.0</v>
      </c>
      <c r="Q93" s="1">
        <v>0.0</v>
      </c>
      <c r="R93" s="1">
        <v>0.0</v>
      </c>
      <c r="S93" s="1">
        <v>0.0</v>
      </c>
      <c r="T93" s="16" t="s">
        <v>167</v>
      </c>
      <c r="U93" s="16"/>
    </row>
    <row r="94">
      <c r="A94" s="25">
        <v>45768.0</v>
      </c>
      <c r="B94" s="5" t="s">
        <v>58</v>
      </c>
      <c r="C94" s="5">
        <v>93.0</v>
      </c>
      <c r="D94" s="17" t="s">
        <v>1583</v>
      </c>
      <c r="E94" s="1">
        <f>IFERROR(__xludf.DUMMYFUNCTION("IF(D94="""", 0, COUNTA(SPLIT(D94, "" "")))"),2.0)</f>
        <v>2</v>
      </c>
      <c r="F94" s="8" t="s">
        <v>1584</v>
      </c>
      <c r="G94" s="12">
        <v>15740.0</v>
      </c>
      <c r="H94" s="26">
        <f t="shared" si="1"/>
        <v>2.212183436</v>
      </c>
      <c r="I94" s="26">
        <f t="shared" si="2"/>
        <v>0</v>
      </c>
      <c r="J94" s="26">
        <f t="shared" si="3"/>
        <v>82.21218344</v>
      </c>
      <c r="K94" s="9">
        <f t="shared" si="4"/>
        <v>13.17180014</v>
      </c>
      <c r="L94" s="27" t="s">
        <v>1585</v>
      </c>
      <c r="M94" s="28">
        <v>40957.0</v>
      </c>
      <c r="N94" s="16" t="s">
        <v>146</v>
      </c>
      <c r="O94" s="8" t="s">
        <v>1586</v>
      </c>
      <c r="P94" s="1">
        <v>0.0</v>
      </c>
      <c r="Q94" s="1">
        <v>0.0</v>
      </c>
      <c r="R94" s="1">
        <v>0.0</v>
      </c>
      <c r="S94" s="1">
        <v>0.0</v>
      </c>
      <c r="T94" s="16" t="s">
        <v>27</v>
      </c>
      <c r="U94" s="16"/>
    </row>
    <row r="95">
      <c r="A95" s="25">
        <v>45768.0</v>
      </c>
      <c r="B95" s="5" t="s">
        <v>58</v>
      </c>
      <c r="C95" s="5">
        <v>94.0</v>
      </c>
      <c r="D95" s="17" t="s">
        <v>1587</v>
      </c>
      <c r="E95" s="1">
        <f>IFERROR(__xludf.DUMMYFUNCTION("IF(D95="""", 0, COUNTA(SPLIT(D95, "" "")))"),2.0)</f>
        <v>2</v>
      </c>
      <c r="F95" s="8" t="s">
        <v>1588</v>
      </c>
      <c r="G95" s="12">
        <v>15917.0</v>
      </c>
      <c r="H95" s="26">
        <f t="shared" si="1"/>
        <v>1.727583847</v>
      </c>
      <c r="I95" s="26">
        <f t="shared" si="2"/>
        <v>0</v>
      </c>
      <c r="J95" s="26">
        <f t="shared" si="3"/>
        <v>81.72758385</v>
      </c>
      <c r="K95" s="9">
        <f t="shared" si="4"/>
        <v>13.17180014</v>
      </c>
      <c r="L95" s="27" t="s">
        <v>1589</v>
      </c>
      <c r="M95" s="28">
        <v>40957.0</v>
      </c>
      <c r="N95" s="16" t="s">
        <v>146</v>
      </c>
      <c r="O95" s="8" t="s">
        <v>1590</v>
      </c>
      <c r="P95" s="1">
        <v>0.0</v>
      </c>
      <c r="Q95" s="1">
        <v>0.0</v>
      </c>
      <c r="R95" s="1">
        <v>0.0</v>
      </c>
      <c r="S95" s="1">
        <v>0.0</v>
      </c>
      <c r="T95" s="16" t="s">
        <v>27</v>
      </c>
      <c r="U95" s="16"/>
    </row>
    <row r="96">
      <c r="A96" s="25">
        <v>45768.0</v>
      </c>
      <c r="B96" s="5" t="s">
        <v>58</v>
      </c>
      <c r="C96" s="5">
        <v>95.0</v>
      </c>
      <c r="D96" s="17" t="s">
        <v>1591</v>
      </c>
      <c r="E96" s="1">
        <f>IFERROR(__xludf.DUMMYFUNCTION("IF(D96="""", 0, COUNTA(SPLIT(D96, "" "")))"),2.0)</f>
        <v>2</v>
      </c>
      <c r="F96" s="8" t="s">
        <v>1592</v>
      </c>
      <c r="G96" s="12">
        <v>16546.0</v>
      </c>
      <c r="H96" s="26">
        <f t="shared" si="1"/>
        <v>0.005475701574</v>
      </c>
      <c r="I96" s="26">
        <f t="shared" si="2"/>
        <v>0</v>
      </c>
      <c r="J96" s="26">
        <f t="shared" si="3"/>
        <v>80.0054757</v>
      </c>
      <c r="K96" s="9">
        <f t="shared" si="4"/>
        <v>13.17180014</v>
      </c>
      <c r="L96" s="27" t="s">
        <v>1593</v>
      </c>
      <c r="M96" s="28">
        <v>40957.0</v>
      </c>
      <c r="N96" s="16" t="s">
        <v>146</v>
      </c>
      <c r="O96" s="8" t="s">
        <v>1594</v>
      </c>
      <c r="P96" s="1">
        <v>0.0</v>
      </c>
      <c r="Q96" s="1">
        <v>0.0</v>
      </c>
      <c r="R96" s="1">
        <v>0.0</v>
      </c>
      <c r="S96" s="1">
        <v>0.0</v>
      </c>
      <c r="T96" s="16" t="s">
        <v>383</v>
      </c>
      <c r="U96" s="16"/>
    </row>
    <row r="97">
      <c r="A97" s="25">
        <v>45768.0</v>
      </c>
      <c r="B97" s="5" t="s">
        <v>58</v>
      </c>
      <c r="C97" s="5">
        <v>96.0</v>
      </c>
      <c r="D97" s="8" t="s">
        <v>1595</v>
      </c>
      <c r="E97" s="1">
        <f>IFERROR(__xludf.DUMMYFUNCTION("IF(D97="""", 0, COUNTA(SPLIT(D97, "" "")))"),2.0)</f>
        <v>2</v>
      </c>
      <c r="F97" s="8" t="s">
        <v>1596</v>
      </c>
      <c r="G97" s="12">
        <v>17183.0</v>
      </c>
      <c r="H97" s="26">
        <f t="shared" si="1"/>
        <v>0</v>
      </c>
      <c r="I97" s="26">
        <f t="shared" si="2"/>
        <v>1.73853525</v>
      </c>
      <c r="J97" s="26">
        <f t="shared" si="3"/>
        <v>78.26146475</v>
      </c>
      <c r="K97" s="9">
        <f t="shared" si="4"/>
        <v>13.17180014</v>
      </c>
      <c r="L97" s="27" t="s">
        <v>1597</v>
      </c>
      <c r="M97" s="28">
        <v>40957.0</v>
      </c>
      <c r="N97" s="16" t="s">
        <v>146</v>
      </c>
      <c r="O97" s="8" t="s">
        <v>1598</v>
      </c>
      <c r="P97" s="1">
        <v>0.0</v>
      </c>
      <c r="Q97" s="1">
        <v>0.0</v>
      </c>
      <c r="R97" s="1">
        <v>0.0</v>
      </c>
      <c r="S97" s="1">
        <v>0.0</v>
      </c>
      <c r="T97" s="16" t="s">
        <v>167</v>
      </c>
      <c r="U97" s="16"/>
    </row>
    <row r="98">
      <c r="A98" s="25">
        <v>45768.0</v>
      </c>
      <c r="B98" s="5" t="s">
        <v>58</v>
      </c>
      <c r="C98" s="5">
        <v>97.0</v>
      </c>
      <c r="D98" s="17" t="s">
        <v>1599</v>
      </c>
      <c r="E98" s="1">
        <f>IFERROR(__xludf.DUMMYFUNCTION("IF(D98="""", 0, COUNTA(SPLIT(D98, "" "")))"),2.0)</f>
        <v>2</v>
      </c>
      <c r="F98" s="8" t="s">
        <v>1600</v>
      </c>
      <c r="G98" s="12">
        <v>15822.0</v>
      </c>
      <c r="H98" s="26">
        <f t="shared" si="1"/>
        <v>1.987679671</v>
      </c>
      <c r="I98" s="26">
        <f t="shared" si="2"/>
        <v>0</v>
      </c>
      <c r="J98" s="26">
        <f t="shared" si="3"/>
        <v>81.98767967</v>
      </c>
      <c r="K98" s="9">
        <f t="shared" si="4"/>
        <v>13.17180014</v>
      </c>
      <c r="L98" s="27" t="s">
        <v>1601</v>
      </c>
      <c r="M98" s="28">
        <v>40957.0</v>
      </c>
      <c r="N98" s="16" t="s">
        <v>146</v>
      </c>
      <c r="O98" s="8" t="s">
        <v>1602</v>
      </c>
      <c r="P98" s="1">
        <v>0.0</v>
      </c>
      <c r="Q98" s="1">
        <v>0.0</v>
      </c>
      <c r="R98" s="1">
        <v>0.0</v>
      </c>
      <c r="S98" s="1">
        <v>0.0</v>
      </c>
      <c r="T98" s="16" t="s">
        <v>390</v>
      </c>
      <c r="U98" s="16"/>
    </row>
    <row r="99">
      <c r="A99" s="25">
        <v>45768.0</v>
      </c>
      <c r="B99" s="5" t="s">
        <v>58</v>
      </c>
      <c r="C99" s="5">
        <v>98.0</v>
      </c>
      <c r="D99" s="8" t="s">
        <v>1603</v>
      </c>
      <c r="E99" s="1">
        <f>IFERROR(__xludf.DUMMYFUNCTION("IF(D99="""", 0, COUNTA(SPLIT(D99, "" "")))"),2.0)</f>
        <v>2</v>
      </c>
      <c r="F99" s="8" t="s">
        <v>1604</v>
      </c>
      <c r="G99" s="12">
        <v>19532.0</v>
      </c>
      <c r="H99" s="26">
        <f t="shared" si="1"/>
        <v>0</v>
      </c>
      <c r="I99" s="26">
        <f t="shared" si="2"/>
        <v>8.169746749</v>
      </c>
      <c r="J99" s="26">
        <f t="shared" si="3"/>
        <v>71.83025325</v>
      </c>
      <c r="K99" s="9">
        <f t="shared" si="4"/>
        <v>13.17180014</v>
      </c>
      <c r="L99" s="27" t="s">
        <v>1605</v>
      </c>
      <c r="M99" s="28">
        <v>40957.0</v>
      </c>
      <c r="N99" s="16" t="s">
        <v>146</v>
      </c>
      <c r="O99" s="8" t="s">
        <v>1606</v>
      </c>
      <c r="P99" s="1">
        <v>0.0</v>
      </c>
      <c r="Q99" s="1">
        <v>0.0</v>
      </c>
      <c r="R99" s="1">
        <v>0.0</v>
      </c>
      <c r="S99" s="1">
        <v>0.0</v>
      </c>
      <c r="T99" s="16" t="s">
        <v>155</v>
      </c>
      <c r="U99" s="16"/>
    </row>
    <row r="100">
      <c r="A100" s="25">
        <v>45768.0</v>
      </c>
      <c r="B100" s="5" t="s">
        <v>58</v>
      </c>
      <c r="C100" s="5">
        <v>99.0</v>
      </c>
      <c r="D100" s="8" t="s">
        <v>1607</v>
      </c>
      <c r="E100" s="1">
        <f>IFERROR(__xludf.DUMMYFUNCTION("IF(D100="""", 0, COUNTA(SPLIT(D100, "" "")))"),2.0)</f>
        <v>2</v>
      </c>
      <c r="F100" s="8" t="s">
        <v>1608</v>
      </c>
      <c r="G100" s="12">
        <v>17223.0</v>
      </c>
      <c r="H100" s="26">
        <f t="shared" si="1"/>
        <v>0</v>
      </c>
      <c r="I100" s="26">
        <f t="shared" si="2"/>
        <v>1.848049281</v>
      </c>
      <c r="J100" s="26">
        <f t="shared" si="3"/>
        <v>78.15195072</v>
      </c>
      <c r="K100" s="9">
        <f t="shared" si="4"/>
        <v>13.17180014</v>
      </c>
      <c r="L100" s="27" t="s">
        <v>1609</v>
      </c>
      <c r="M100" s="28">
        <v>40957.0</v>
      </c>
      <c r="N100" s="16" t="s">
        <v>146</v>
      </c>
      <c r="O100" s="8" t="s">
        <v>1610</v>
      </c>
      <c r="P100" s="1">
        <v>0.0</v>
      </c>
      <c r="Q100" s="1">
        <v>0.0</v>
      </c>
      <c r="R100" s="1">
        <v>0.0</v>
      </c>
      <c r="S100" s="1">
        <v>0.0</v>
      </c>
      <c r="T100" s="16" t="s">
        <v>27</v>
      </c>
      <c r="U100" s="16"/>
    </row>
    <row r="101">
      <c r="A101" s="25">
        <v>45768.0</v>
      </c>
      <c r="B101" s="5" t="s">
        <v>58</v>
      </c>
      <c r="C101" s="5">
        <v>100.0</v>
      </c>
      <c r="D101" s="8" t="s">
        <v>1611</v>
      </c>
      <c r="E101" s="1">
        <f>IFERROR(__xludf.DUMMYFUNCTION("IF(D101="""", 0, COUNTA(SPLIT(D101, "" "")))"),3.0)</f>
        <v>3</v>
      </c>
      <c r="F101" s="8" t="s">
        <v>1612</v>
      </c>
      <c r="G101" s="12">
        <v>18300.0</v>
      </c>
      <c r="H101" s="26">
        <f t="shared" si="1"/>
        <v>0</v>
      </c>
      <c r="I101" s="26">
        <f t="shared" si="2"/>
        <v>4.796714579</v>
      </c>
      <c r="J101" s="26">
        <f t="shared" si="3"/>
        <v>75.20328542</v>
      </c>
      <c r="K101" s="9">
        <f t="shared" si="4"/>
        <v>12.40520192</v>
      </c>
      <c r="L101" s="27" t="s">
        <v>1613</v>
      </c>
      <c r="M101" s="28">
        <v>41237.0</v>
      </c>
      <c r="N101" s="16" t="s">
        <v>146</v>
      </c>
      <c r="O101" s="8" t="s">
        <v>1614</v>
      </c>
      <c r="P101" s="1">
        <v>0.0</v>
      </c>
      <c r="Q101" s="1">
        <v>0.0</v>
      </c>
      <c r="R101" s="1">
        <v>0.0</v>
      </c>
      <c r="S101" s="1">
        <v>0.0</v>
      </c>
      <c r="T101" s="16" t="s">
        <v>167</v>
      </c>
      <c r="U101" s="7"/>
      <c r="V101" s="7"/>
    </row>
    <row r="102">
      <c r="A102" s="25">
        <v>45768.0</v>
      </c>
      <c r="B102" s="5" t="s">
        <v>58</v>
      </c>
      <c r="C102" s="5">
        <v>101.0</v>
      </c>
      <c r="D102" s="8" t="s">
        <v>1615</v>
      </c>
      <c r="E102" s="1">
        <f>IFERROR(__xludf.DUMMYFUNCTION("IF(D102="""", 0, COUNTA(SPLIT(D102, "" "")))"),2.0)</f>
        <v>2</v>
      </c>
      <c r="F102" s="8" t="s">
        <v>1616</v>
      </c>
      <c r="G102" s="12">
        <v>20685.0</v>
      </c>
      <c r="H102" s="26">
        <f t="shared" si="1"/>
        <v>0</v>
      </c>
      <c r="I102" s="26">
        <f t="shared" si="2"/>
        <v>11.32648871</v>
      </c>
      <c r="J102" s="26">
        <f t="shared" si="3"/>
        <v>68.67351129</v>
      </c>
      <c r="K102" s="9">
        <f t="shared" si="4"/>
        <v>12.40520192</v>
      </c>
      <c r="L102" s="27" t="s">
        <v>1617</v>
      </c>
      <c r="M102" s="28">
        <v>41237.0</v>
      </c>
      <c r="N102" s="16" t="s">
        <v>146</v>
      </c>
      <c r="O102" s="8" t="s">
        <v>1618</v>
      </c>
      <c r="P102" s="1">
        <v>0.0</v>
      </c>
      <c r="Q102" s="1">
        <v>0.0</v>
      </c>
      <c r="R102" s="1">
        <v>0.0</v>
      </c>
      <c r="S102" s="1">
        <v>0.0</v>
      </c>
      <c r="T102" s="16" t="s">
        <v>159</v>
      </c>
      <c r="U102" s="16"/>
      <c r="V102" s="16"/>
    </row>
    <row r="103">
      <c r="A103" s="25">
        <v>45768.0</v>
      </c>
      <c r="B103" s="5" t="s">
        <v>58</v>
      </c>
      <c r="C103" s="5">
        <v>102.0</v>
      </c>
      <c r="D103" s="17" t="s">
        <v>1619</v>
      </c>
      <c r="E103" s="1">
        <f>IFERROR(__xludf.DUMMYFUNCTION("IF(D103="""", 0, COUNTA(SPLIT(D103, "" "")))"),3.0)</f>
        <v>3</v>
      </c>
      <c r="F103" s="8" t="s">
        <v>1620</v>
      </c>
      <c r="G103" s="12">
        <v>14457.0</v>
      </c>
      <c r="H103" s="26">
        <f t="shared" si="1"/>
        <v>5.724845996</v>
      </c>
      <c r="I103" s="26">
        <f t="shared" si="2"/>
        <v>0</v>
      </c>
      <c r="J103" s="26">
        <f t="shared" si="3"/>
        <v>85.724846</v>
      </c>
      <c r="K103" s="9">
        <f t="shared" si="4"/>
        <v>12.40520192</v>
      </c>
      <c r="L103" s="27" t="s">
        <v>1621</v>
      </c>
      <c r="M103" s="28">
        <v>41237.0</v>
      </c>
      <c r="N103" s="16" t="s">
        <v>146</v>
      </c>
      <c r="O103" s="8" t="s">
        <v>1622</v>
      </c>
      <c r="P103" s="1">
        <v>0.0</v>
      </c>
      <c r="Q103" s="1">
        <v>0.0</v>
      </c>
      <c r="R103" s="1">
        <v>0.0</v>
      </c>
      <c r="S103" s="1">
        <v>0.0</v>
      </c>
      <c r="T103" s="16" t="s">
        <v>406</v>
      </c>
      <c r="U103" s="16"/>
      <c r="V103" s="16"/>
    </row>
    <row r="104">
      <c r="A104" s="25">
        <v>45768.0</v>
      </c>
      <c r="B104" s="5" t="s">
        <v>58</v>
      </c>
      <c r="C104" s="5">
        <v>103.0</v>
      </c>
      <c r="D104" s="17" t="s">
        <v>1623</v>
      </c>
      <c r="E104" s="1">
        <f>IFERROR(__xludf.DUMMYFUNCTION("IF(D104="""", 0, COUNTA(SPLIT(D104, "" "")))"),2.0)</f>
        <v>2</v>
      </c>
      <c r="F104" s="8" t="s">
        <v>1624</v>
      </c>
      <c r="G104" s="12">
        <v>11466.0</v>
      </c>
      <c r="H104" s="26">
        <f t="shared" si="1"/>
        <v>13.9137577</v>
      </c>
      <c r="I104" s="26">
        <f t="shared" si="2"/>
        <v>0</v>
      </c>
      <c r="J104" s="26">
        <f t="shared" si="3"/>
        <v>93.9137577</v>
      </c>
      <c r="K104" s="9">
        <f t="shared" si="4"/>
        <v>12.40520192</v>
      </c>
      <c r="L104" s="27" t="s">
        <v>1625</v>
      </c>
      <c r="M104" s="28">
        <v>41237.0</v>
      </c>
      <c r="N104" s="16" t="s">
        <v>146</v>
      </c>
      <c r="O104" s="8" t="s">
        <v>1626</v>
      </c>
      <c r="P104" s="1">
        <v>0.0</v>
      </c>
      <c r="Q104" s="1">
        <v>0.0</v>
      </c>
      <c r="R104" s="1">
        <v>0.0</v>
      </c>
      <c r="S104" s="1">
        <v>0.0</v>
      </c>
      <c r="T104" s="16" t="s">
        <v>1627</v>
      </c>
      <c r="U104" s="16"/>
      <c r="V104" s="16"/>
    </row>
    <row r="105">
      <c r="A105" s="25">
        <v>45768.0</v>
      </c>
      <c r="B105" s="5" t="s">
        <v>58</v>
      </c>
      <c r="C105" s="5">
        <v>104.0</v>
      </c>
      <c r="D105" s="8" t="s">
        <v>1628</v>
      </c>
      <c r="E105" s="1">
        <f>IFERROR(__xludf.DUMMYFUNCTION("IF(D105="""", 0, COUNTA(SPLIT(D105, "" "")))"),3.0)</f>
        <v>3</v>
      </c>
      <c r="F105" s="8" t="s">
        <v>1629</v>
      </c>
      <c r="G105" s="12">
        <v>18191.0</v>
      </c>
      <c r="H105" s="26">
        <f t="shared" si="1"/>
        <v>0</v>
      </c>
      <c r="I105" s="26">
        <f t="shared" si="2"/>
        <v>4.498288843</v>
      </c>
      <c r="J105" s="26">
        <f t="shared" si="3"/>
        <v>75.50171116</v>
      </c>
      <c r="K105" s="9">
        <f t="shared" si="4"/>
        <v>11.15947981</v>
      </c>
      <c r="L105" s="27" t="s">
        <v>1630</v>
      </c>
      <c r="M105" s="28">
        <v>41692.0</v>
      </c>
      <c r="N105" s="16" t="s">
        <v>241</v>
      </c>
      <c r="O105" s="8" t="s">
        <v>1631</v>
      </c>
      <c r="P105" s="1">
        <v>0.0</v>
      </c>
      <c r="Q105" s="1">
        <v>0.0</v>
      </c>
      <c r="R105" s="1">
        <v>0.0</v>
      </c>
      <c r="S105" s="1">
        <v>0.0</v>
      </c>
      <c r="T105" s="16" t="s">
        <v>167</v>
      </c>
      <c r="U105" s="16"/>
      <c r="V105" s="16"/>
    </row>
    <row r="106">
      <c r="A106" s="25">
        <v>45768.0</v>
      </c>
      <c r="B106" s="5" t="s">
        <v>58</v>
      </c>
      <c r="C106" s="5">
        <v>105.0</v>
      </c>
      <c r="D106" s="8" t="s">
        <v>1632</v>
      </c>
      <c r="E106" s="1">
        <f>IFERROR(__xludf.DUMMYFUNCTION("IF(D106="""", 0, COUNTA(SPLIT(D106, "" "")))"),2.0)</f>
        <v>2</v>
      </c>
      <c r="F106" s="8" t="s">
        <v>1633</v>
      </c>
      <c r="G106" s="12">
        <v>21716.0</v>
      </c>
      <c r="H106" s="26">
        <f t="shared" si="1"/>
        <v>0</v>
      </c>
      <c r="I106" s="26">
        <f t="shared" si="2"/>
        <v>14.14921287</v>
      </c>
      <c r="J106" s="26">
        <f t="shared" si="3"/>
        <v>65.85078713</v>
      </c>
      <c r="K106" s="9">
        <f t="shared" si="4"/>
        <v>11.15947981</v>
      </c>
      <c r="L106" s="27" t="s">
        <v>1634</v>
      </c>
      <c r="M106" s="28">
        <v>41692.0</v>
      </c>
      <c r="N106" s="16" t="s">
        <v>241</v>
      </c>
      <c r="O106" s="8" t="s">
        <v>1635</v>
      </c>
      <c r="P106" s="1">
        <v>0.0</v>
      </c>
      <c r="Q106" s="1">
        <v>0.0</v>
      </c>
      <c r="R106" s="1">
        <v>0.0</v>
      </c>
      <c r="S106" s="1">
        <v>0.0</v>
      </c>
      <c r="T106" s="16" t="s">
        <v>383</v>
      </c>
      <c r="U106" s="16"/>
      <c r="V106" s="16"/>
    </row>
    <row r="107">
      <c r="A107" s="25">
        <v>45768.0</v>
      </c>
      <c r="B107" s="5" t="s">
        <v>58</v>
      </c>
      <c r="C107" s="5">
        <v>106.0</v>
      </c>
      <c r="D107" s="17" t="s">
        <v>1636</v>
      </c>
      <c r="E107" s="1">
        <f>IFERROR(__xludf.DUMMYFUNCTION("IF(D107="""", 0, COUNTA(SPLIT(D107, "" "")))"),2.0)</f>
        <v>2</v>
      </c>
      <c r="F107" s="8" t="s">
        <v>1637</v>
      </c>
      <c r="G107" s="12">
        <v>16100.0</v>
      </c>
      <c r="H107" s="26">
        <f t="shared" si="1"/>
        <v>1.226557153</v>
      </c>
      <c r="I107" s="26">
        <f t="shared" si="2"/>
        <v>0</v>
      </c>
      <c r="J107" s="26">
        <f t="shared" si="3"/>
        <v>81.22655715</v>
      </c>
      <c r="K107" s="9">
        <f t="shared" si="4"/>
        <v>11.15947981</v>
      </c>
      <c r="L107" s="27" t="s">
        <v>1638</v>
      </c>
      <c r="M107" s="28">
        <v>41692.0</v>
      </c>
      <c r="N107" s="16" t="s">
        <v>241</v>
      </c>
      <c r="O107" s="8" t="s">
        <v>1639</v>
      </c>
      <c r="P107" s="1">
        <v>0.0</v>
      </c>
      <c r="Q107" s="1">
        <v>0.0</v>
      </c>
      <c r="R107" s="1">
        <v>0.0</v>
      </c>
      <c r="S107" s="1">
        <v>0.0</v>
      </c>
      <c r="T107" s="16" t="s">
        <v>167</v>
      </c>
      <c r="U107" s="16"/>
      <c r="V107" s="16"/>
    </row>
    <row r="108">
      <c r="A108" s="25">
        <v>45768.0</v>
      </c>
      <c r="B108" s="5" t="s">
        <v>58</v>
      </c>
      <c r="C108" s="5">
        <v>107.0</v>
      </c>
      <c r="D108" s="17" t="s">
        <v>1640</v>
      </c>
      <c r="E108" s="1">
        <f>IFERROR(__xludf.DUMMYFUNCTION("IF(D108="""", 0, COUNTA(SPLIT(D108, "" "")))"),3.0)</f>
        <v>3</v>
      </c>
      <c r="F108" s="8" t="s">
        <v>1641</v>
      </c>
      <c r="G108" s="12">
        <v>15606.0</v>
      </c>
      <c r="H108" s="26">
        <f t="shared" si="1"/>
        <v>2.579055441</v>
      </c>
      <c r="I108" s="26">
        <f t="shared" si="2"/>
        <v>0</v>
      </c>
      <c r="J108" s="26">
        <f t="shared" si="3"/>
        <v>82.57905544</v>
      </c>
      <c r="K108" s="9">
        <f t="shared" si="4"/>
        <v>11.15947981</v>
      </c>
      <c r="L108" s="27" t="s">
        <v>1642</v>
      </c>
      <c r="M108" s="28">
        <v>41692.0</v>
      </c>
      <c r="N108" s="16" t="s">
        <v>241</v>
      </c>
      <c r="O108" s="8" t="s">
        <v>1643</v>
      </c>
      <c r="P108" s="1">
        <v>0.0</v>
      </c>
      <c r="Q108" s="1">
        <v>0.0</v>
      </c>
      <c r="R108" s="1">
        <v>0.0</v>
      </c>
      <c r="S108" s="1">
        <v>0.0</v>
      </c>
      <c r="T108" s="16" t="s">
        <v>163</v>
      </c>
      <c r="U108" s="16"/>
      <c r="V108" s="16"/>
    </row>
    <row r="109">
      <c r="A109" s="25">
        <v>45768.0</v>
      </c>
      <c r="B109" s="5" t="s">
        <v>58</v>
      </c>
      <c r="C109" s="5">
        <v>108.0</v>
      </c>
      <c r="D109" s="17" t="s">
        <v>1644</v>
      </c>
      <c r="E109" s="1">
        <f>IFERROR(__xludf.DUMMYFUNCTION("IF(D109="""", 0, COUNTA(SPLIT(D109, "" "")))"),2.0)</f>
        <v>2</v>
      </c>
      <c r="F109" s="8" t="s">
        <v>1645</v>
      </c>
      <c r="G109" s="12">
        <v>14883.0</v>
      </c>
      <c r="H109" s="26">
        <f t="shared" si="1"/>
        <v>4.558521561</v>
      </c>
      <c r="I109" s="26">
        <f t="shared" si="2"/>
        <v>0</v>
      </c>
      <c r="J109" s="26">
        <f t="shared" si="3"/>
        <v>84.55852156</v>
      </c>
      <c r="K109" s="9">
        <f t="shared" si="4"/>
        <v>11.15947981</v>
      </c>
      <c r="L109" s="27" t="s">
        <v>1646</v>
      </c>
      <c r="M109" s="28">
        <v>41692.0</v>
      </c>
      <c r="N109" s="16" t="s">
        <v>241</v>
      </c>
      <c r="O109" s="8" t="s">
        <v>1647</v>
      </c>
      <c r="P109" s="1">
        <v>0.0</v>
      </c>
      <c r="Q109" s="1">
        <v>0.0</v>
      </c>
      <c r="R109" s="1">
        <v>0.0</v>
      </c>
      <c r="S109" s="1">
        <v>0.0</v>
      </c>
      <c r="T109" s="16" t="s">
        <v>27</v>
      </c>
      <c r="U109" s="16"/>
      <c r="V109" s="16"/>
    </row>
    <row r="110">
      <c r="A110" s="25">
        <v>45768.0</v>
      </c>
      <c r="B110" s="5" t="s">
        <v>58</v>
      </c>
      <c r="C110" s="5">
        <v>109.0</v>
      </c>
      <c r="D110" s="8" t="s">
        <v>1648</v>
      </c>
      <c r="E110" s="1">
        <f>IFERROR(__xludf.DUMMYFUNCTION("IF(D110="""", 0, COUNTA(SPLIT(D110, "" "")))"),3.0)</f>
        <v>3</v>
      </c>
      <c r="F110" s="8" t="s">
        <v>1649</v>
      </c>
      <c r="G110" s="12">
        <v>17532.0</v>
      </c>
      <c r="H110" s="26">
        <f t="shared" si="1"/>
        <v>0</v>
      </c>
      <c r="I110" s="26">
        <f t="shared" si="2"/>
        <v>2.694045175</v>
      </c>
      <c r="J110" s="26">
        <f t="shared" si="3"/>
        <v>77.30595483</v>
      </c>
      <c r="K110" s="9">
        <f t="shared" si="4"/>
        <v>11.15947981</v>
      </c>
      <c r="L110" s="27" t="s">
        <v>1650</v>
      </c>
      <c r="M110" s="28">
        <v>41692.0</v>
      </c>
      <c r="N110" s="16" t="s">
        <v>241</v>
      </c>
      <c r="O110" s="8" t="s">
        <v>1651</v>
      </c>
      <c r="P110" s="1">
        <v>0.0</v>
      </c>
      <c r="Q110" s="1">
        <v>0.0</v>
      </c>
      <c r="R110" s="1">
        <v>0.0</v>
      </c>
      <c r="S110" s="1">
        <v>0.0</v>
      </c>
      <c r="T110" s="16" t="s">
        <v>159</v>
      </c>
      <c r="U110" s="16"/>
      <c r="V110" s="16"/>
    </row>
    <row r="111">
      <c r="A111" s="25">
        <v>45768.0</v>
      </c>
      <c r="B111" s="5" t="s">
        <v>58</v>
      </c>
      <c r="C111" s="5">
        <v>110.0</v>
      </c>
      <c r="D111" s="8" t="s">
        <v>1652</v>
      </c>
      <c r="E111" s="1">
        <f>IFERROR(__xludf.DUMMYFUNCTION("IF(D111="""", 0, COUNTA(SPLIT(D111, "" "")))"),2.0)</f>
        <v>2</v>
      </c>
      <c r="F111" s="8" t="s">
        <v>1653</v>
      </c>
      <c r="G111" s="12">
        <v>16749.0</v>
      </c>
      <c r="H111" s="26">
        <f t="shared" si="1"/>
        <v>0</v>
      </c>
      <c r="I111" s="26">
        <f t="shared" si="2"/>
        <v>0.5503080082</v>
      </c>
      <c r="J111" s="26">
        <f t="shared" si="3"/>
        <v>79.44969199</v>
      </c>
      <c r="K111" s="9">
        <f t="shared" si="4"/>
        <v>11.15947981</v>
      </c>
      <c r="L111" s="27" t="s">
        <v>1654</v>
      </c>
      <c r="M111" s="28">
        <v>41692.0</v>
      </c>
      <c r="N111" s="16" t="s">
        <v>241</v>
      </c>
      <c r="O111" s="8" t="s">
        <v>1655</v>
      </c>
      <c r="P111" s="1">
        <v>0.0</v>
      </c>
      <c r="Q111" s="1">
        <v>0.0</v>
      </c>
      <c r="R111" s="1">
        <v>0.0</v>
      </c>
      <c r="S111" s="1">
        <v>0.0</v>
      </c>
      <c r="T111" s="16" t="s">
        <v>167</v>
      </c>
      <c r="U111" s="16"/>
      <c r="V111" s="16"/>
    </row>
    <row r="112">
      <c r="A112" s="25">
        <v>45768.0</v>
      </c>
      <c r="B112" s="5" t="s">
        <v>58</v>
      </c>
      <c r="C112" s="5">
        <v>111.0</v>
      </c>
      <c r="D112" s="8" t="s">
        <v>1656</v>
      </c>
      <c r="E112" s="1">
        <f>IFERROR(__xludf.DUMMYFUNCTION("IF(D112="""", 0, COUNTA(SPLIT(D112, "" "")))"),2.0)</f>
        <v>2</v>
      </c>
      <c r="F112" s="8" t="s">
        <v>1657</v>
      </c>
      <c r="G112" s="12">
        <v>17964.0</v>
      </c>
      <c r="H112" s="26">
        <f t="shared" si="1"/>
        <v>0</v>
      </c>
      <c r="I112" s="26">
        <f t="shared" si="2"/>
        <v>3.876796715</v>
      </c>
      <c r="J112" s="26">
        <f t="shared" si="3"/>
        <v>76.12320329</v>
      </c>
      <c r="K112" s="9">
        <f t="shared" si="4"/>
        <v>11.15947981</v>
      </c>
      <c r="L112" s="27" t="s">
        <v>1658</v>
      </c>
      <c r="M112" s="28">
        <v>41692.0</v>
      </c>
      <c r="N112" s="16" t="s">
        <v>241</v>
      </c>
      <c r="O112" s="8" t="s">
        <v>1659</v>
      </c>
      <c r="P112" s="1">
        <v>0.0</v>
      </c>
      <c r="Q112" s="1">
        <v>0.0</v>
      </c>
      <c r="R112" s="1">
        <v>0.0</v>
      </c>
      <c r="S112" s="1">
        <v>0.0</v>
      </c>
      <c r="T112" s="16" t="s">
        <v>163</v>
      </c>
      <c r="U112" s="16"/>
      <c r="V112" s="16"/>
    </row>
    <row r="113">
      <c r="A113" s="25">
        <v>45768.0</v>
      </c>
      <c r="B113" s="5" t="s">
        <v>58</v>
      </c>
      <c r="C113" s="5">
        <v>112.0</v>
      </c>
      <c r="D113" s="17" t="s">
        <v>1660</v>
      </c>
      <c r="E113" s="1">
        <f>IFERROR(__xludf.DUMMYFUNCTION("IF(D113="""", 0, COUNTA(SPLIT(D113, "" "")))"),2.0)</f>
        <v>2</v>
      </c>
      <c r="F113" s="8" t="s">
        <v>1661</v>
      </c>
      <c r="G113" s="12">
        <v>21028.0</v>
      </c>
      <c r="H113" s="26">
        <f t="shared" si="1"/>
        <v>0</v>
      </c>
      <c r="I113" s="26">
        <f t="shared" si="2"/>
        <v>12.26557153</v>
      </c>
      <c r="J113" s="26">
        <f t="shared" si="3"/>
        <v>67.73442847</v>
      </c>
      <c r="K113" s="9">
        <f t="shared" si="4"/>
        <v>11.15947981</v>
      </c>
      <c r="L113" s="27" t="s">
        <v>1662</v>
      </c>
      <c r="M113" s="28">
        <v>41692.0</v>
      </c>
      <c r="N113" s="16" t="s">
        <v>241</v>
      </c>
      <c r="O113" s="8" t="s">
        <v>1663</v>
      </c>
      <c r="P113" s="1">
        <v>0.0</v>
      </c>
      <c r="Q113" s="1">
        <v>0.0</v>
      </c>
      <c r="R113" s="1">
        <v>0.0</v>
      </c>
      <c r="S113" s="1">
        <v>0.0</v>
      </c>
      <c r="T113" s="16" t="s">
        <v>174</v>
      </c>
      <c r="U113" s="16"/>
      <c r="V113" s="16"/>
    </row>
    <row r="114">
      <c r="A114" s="25">
        <v>45768.0</v>
      </c>
      <c r="B114" s="5" t="s">
        <v>58</v>
      </c>
      <c r="C114" s="5">
        <v>113.0</v>
      </c>
      <c r="D114" s="8" t="s">
        <v>1664</v>
      </c>
      <c r="E114" s="1">
        <f>IFERROR(__xludf.DUMMYFUNCTION("IF(D114="""", 0, COUNTA(SPLIT(D114, "" "")))"),2.0)</f>
        <v>2</v>
      </c>
      <c r="F114" s="8" t="s">
        <v>1665</v>
      </c>
      <c r="G114" s="12">
        <v>16793.0</v>
      </c>
      <c r="H114" s="26">
        <f t="shared" si="1"/>
        <v>0</v>
      </c>
      <c r="I114" s="26">
        <f t="shared" si="2"/>
        <v>0.6707734428</v>
      </c>
      <c r="J114" s="26">
        <f t="shared" si="3"/>
        <v>79.32922656</v>
      </c>
      <c r="K114" s="9">
        <f t="shared" si="4"/>
        <v>11.15947981</v>
      </c>
      <c r="L114" s="27" t="s">
        <v>1666</v>
      </c>
      <c r="M114" s="28">
        <v>41692.0</v>
      </c>
      <c r="N114" s="16" t="s">
        <v>241</v>
      </c>
      <c r="O114" s="8" t="s">
        <v>1667</v>
      </c>
      <c r="P114" s="1">
        <v>0.0</v>
      </c>
      <c r="Q114" s="1">
        <v>0.0</v>
      </c>
      <c r="R114" s="1">
        <v>0.0</v>
      </c>
      <c r="S114" s="1">
        <v>0.0</v>
      </c>
      <c r="T114" s="16" t="s">
        <v>174</v>
      </c>
      <c r="U114" s="16"/>
      <c r="V114" s="16"/>
    </row>
    <row r="115">
      <c r="A115" s="25">
        <v>45768.0</v>
      </c>
      <c r="B115" s="5" t="s">
        <v>58</v>
      </c>
      <c r="C115" s="5">
        <v>114.0</v>
      </c>
      <c r="D115" s="17" t="s">
        <v>1668</v>
      </c>
      <c r="E115" s="1">
        <f>IFERROR(__xludf.DUMMYFUNCTION("IF(D115="""", 0, COUNTA(SPLIT(D115, "" "")))"),3.0)</f>
        <v>3</v>
      </c>
      <c r="F115" s="8" t="s">
        <v>1669</v>
      </c>
      <c r="G115" s="12">
        <v>18437.0</v>
      </c>
      <c r="H115" s="26">
        <f t="shared" si="1"/>
        <v>0</v>
      </c>
      <c r="I115" s="26">
        <f t="shared" si="2"/>
        <v>5.171800137</v>
      </c>
      <c r="J115" s="26">
        <f t="shared" si="3"/>
        <v>74.82819986</v>
      </c>
      <c r="K115" s="9">
        <f t="shared" si="4"/>
        <v>11.15947981</v>
      </c>
      <c r="L115" s="27" t="s">
        <v>1670</v>
      </c>
      <c r="M115" s="28">
        <v>41692.0</v>
      </c>
      <c r="N115" s="16" t="s">
        <v>241</v>
      </c>
      <c r="O115" s="8" t="s">
        <v>1671</v>
      </c>
      <c r="P115" s="1">
        <v>0.0</v>
      </c>
      <c r="Q115" s="1">
        <v>0.0</v>
      </c>
      <c r="R115" s="1">
        <v>0.0</v>
      </c>
      <c r="S115" s="1">
        <v>0.0</v>
      </c>
      <c r="T115" s="16" t="s">
        <v>218</v>
      </c>
      <c r="U115" s="16"/>
      <c r="V115" s="16"/>
    </row>
    <row r="116">
      <c r="A116" s="25">
        <v>45768.0</v>
      </c>
      <c r="B116" s="5" t="s">
        <v>58</v>
      </c>
      <c r="C116" s="5">
        <v>115.0</v>
      </c>
      <c r="D116" s="17" t="s">
        <v>1672</v>
      </c>
      <c r="E116" s="1">
        <f>IFERROR(__xludf.DUMMYFUNCTION("IF(D116="""", 0, COUNTA(SPLIT(D116, "" "")))"),2.0)</f>
        <v>2</v>
      </c>
      <c r="F116" s="8" t="s">
        <v>1673</v>
      </c>
      <c r="G116" s="12">
        <v>15438.0</v>
      </c>
      <c r="H116" s="26">
        <f t="shared" si="1"/>
        <v>3.039014374</v>
      </c>
      <c r="I116" s="26">
        <f t="shared" si="2"/>
        <v>0</v>
      </c>
      <c r="J116" s="26">
        <f t="shared" si="3"/>
        <v>83.03901437</v>
      </c>
      <c r="K116" s="9">
        <f t="shared" si="4"/>
        <v>11.15947981</v>
      </c>
      <c r="L116" s="27" t="s">
        <v>1674</v>
      </c>
      <c r="M116" s="28">
        <v>41692.0</v>
      </c>
      <c r="N116" s="16" t="s">
        <v>241</v>
      </c>
      <c r="O116" s="8" t="s">
        <v>1675</v>
      </c>
      <c r="P116" s="1">
        <v>0.0</v>
      </c>
      <c r="Q116" s="1">
        <v>0.0</v>
      </c>
      <c r="R116" s="1">
        <v>0.0</v>
      </c>
      <c r="S116" s="1">
        <v>0.0</v>
      </c>
      <c r="T116" s="16" t="s">
        <v>27</v>
      </c>
      <c r="U116" s="16"/>
      <c r="V116" s="16"/>
    </row>
    <row r="117">
      <c r="A117" s="25">
        <v>45768.0</v>
      </c>
      <c r="B117" s="5" t="s">
        <v>58</v>
      </c>
      <c r="C117" s="5">
        <v>116.0</v>
      </c>
      <c r="D117" s="8" t="s">
        <v>1676</v>
      </c>
      <c r="E117" s="1">
        <f>IFERROR(__xludf.DUMMYFUNCTION("IF(D117="""", 0, COUNTA(SPLIT(D117, "" "")))"),3.0)</f>
        <v>3</v>
      </c>
      <c r="F117" s="8" t="s">
        <v>1677</v>
      </c>
      <c r="G117" s="12">
        <v>17500.0</v>
      </c>
      <c r="H117" s="26">
        <f t="shared" si="1"/>
        <v>0</v>
      </c>
      <c r="I117" s="26">
        <f t="shared" si="2"/>
        <v>2.606433949</v>
      </c>
      <c r="J117" s="26">
        <f t="shared" si="3"/>
        <v>77.39356605</v>
      </c>
      <c r="K117" s="9">
        <f t="shared" si="4"/>
        <v>11.15947981</v>
      </c>
      <c r="L117" s="27" t="s">
        <v>1678</v>
      </c>
      <c r="M117" s="28">
        <v>41692.0</v>
      </c>
      <c r="N117" s="16" t="s">
        <v>241</v>
      </c>
      <c r="O117" s="8" t="s">
        <v>1679</v>
      </c>
      <c r="P117" s="1">
        <v>0.0</v>
      </c>
      <c r="Q117" s="1">
        <v>0.0</v>
      </c>
      <c r="R117" s="1">
        <v>0.0</v>
      </c>
      <c r="S117" s="1">
        <v>0.0</v>
      </c>
      <c r="T117" s="16" t="s">
        <v>163</v>
      </c>
      <c r="U117" s="16"/>
      <c r="V117" s="16"/>
    </row>
    <row r="118">
      <c r="A118" s="25">
        <v>45768.0</v>
      </c>
      <c r="B118" s="5" t="s">
        <v>58</v>
      </c>
      <c r="C118" s="5">
        <v>117.0</v>
      </c>
      <c r="D118" s="17" t="s">
        <v>1680</v>
      </c>
      <c r="E118" s="1">
        <f>IFERROR(__xludf.DUMMYFUNCTION("IF(D118="""", 0, COUNTA(SPLIT(D118, "" "")))"),3.0)</f>
        <v>3</v>
      </c>
      <c r="F118" s="8" t="s">
        <v>1681</v>
      </c>
      <c r="G118" s="12">
        <v>16045.0</v>
      </c>
      <c r="H118" s="26">
        <f t="shared" si="1"/>
        <v>1.377138946</v>
      </c>
      <c r="I118" s="26">
        <f t="shared" si="2"/>
        <v>0</v>
      </c>
      <c r="J118" s="26">
        <f t="shared" si="3"/>
        <v>81.37713895</v>
      </c>
      <c r="K118" s="9">
        <f t="shared" si="4"/>
        <v>11.15947981</v>
      </c>
      <c r="L118" s="27" t="s">
        <v>1682</v>
      </c>
      <c r="M118" s="28">
        <v>41692.0</v>
      </c>
      <c r="N118" s="16" t="s">
        <v>241</v>
      </c>
      <c r="O118" s="8" t="s">
        <v>1683</v>
      </c>
      <c r="P118" s="1">
        <v>0.0</v>
      </c>
      <c r="Q118" s="1">
        <v>0.0</v>
      </c>
      <c r="R118" s="1">
        <v>0.0</v>
      </c>
      <c r="S118" s="1">
        <v>0.0</v>
      </c>
      <c r="T118" s="16" t="s">
        <v>1030</v>
      </c>
      <c r="U118" s="16"/>
      <c r="V118" s="16"/>
    </row>
    <row r="119">
      <c r="A119" s="25">
        <v>45768.0</v>
      </c>
      <c r="B119" s="5" t="s">
        <v>58</v>
      </c>
      <c r="C119" s="5">
        <v>118.0</v>
      </c>
      <c r="D119" s="17" t="s">
        <v>1684</v>
      </c>
      <c r="E119" s="1">
        <f>IFERROR(__xludf.DUMMYFUNCTION("IF(D119="""", 0, COUNTA(SPLIT(D119, "" "")))"),2.0)</f>
        <v>2</v>
      </c>
      <c r="F119" s="8" t="s">
        <v>1685</v>
      </c>
      <c r="G119" s="12">
        <v>15348.0</v>
      </c>
      <c r="H119" s="26">
        <f t="shared" si="1"/>
        <v>3.285420945</v>
      </c>
      <c r="I119" s="26">
        <f t="shared" si="2"/>
        <v>0</v>
      </c>
      <c r="J119" s="26">
        <f t="shared" si="3"/>
        <v>83.28542094</v>
      </c>
      <c r="K119" s="9">
        <f t="shared" si="4"/>
        <v>10.18206708</v>
      </c>
      <c r="L119" s="27" t="s">
        <v>1686</v>
      </c>
      <c r="M119" s="28">
        <v>42049.0</v>
      </c>
      <c r="N119" s="16" t="s">
        <v>241</v>
      </c>
      <c r="O119" s="8" t="s">
        <v>1687</v>
      </c>
      <c r="P119" s="1">
        <v>0.0</v>
      </c>
      <c r="Q119" s="1">
        <v>0.0</v>
      </c>
      <c r="R119" s="1">
        <v>0.0</v>
      </c>
      <c r="S119" s="1">
        <v>0.0</v>
      </c>
      <c r="T119" s="16" t="s">
        <v>163</v>
      </c>
      <c r="U119" s="16"/>
      <c r="V119" s="16"/>
    </row>
    <row r="120">
      <c r="A120" s="25">
        <v>45768.0</v>
      </c>
      <c r="B120" s="5" t="s">
        <v>58</v>
      </c>
      <c r="C120" s="5">
        <v>119.0</v>
      </c>
      <c r="D120" s="8" t="s">
        <v>1688</v>
      </c>
      <c r="E120" s="1">
        <f>IFERROR(__xludf.DUMMYFUNCTION("IF(D120="""", 0, COUNTA(SPLIT(D120, "" "")))"),2.0)</f>
        <v>2</v>
      </c>
      <c r="F120" s="8" t="s">
        <v>1689</v>
      </c>
      <c r="G120" s="12">
        <v>16802.0</v>
      </c>
      <c r="H120" s="26">
        <f t="shared" si="1"/>
        <v>0</v>
      </c>
      <c r="I120" s="26">
        <f t="shared" si="2"/>
        <v>0.6954140999</v>
      </c>
      <c r="J120" s="26">
        <f t="shared" si="3"/>
        <v>79.3045859</v>
      </c>
      <c r="K120" s="9">
        <f t="shared" si="4"/>
        <v>10.18206708</v>
      </c>
      <c r="L120" s="27" t="s">
        <v>1690</v>
      </c>
      <c r="M120" s="28">
        <v>42049.0</v>
      </c>
      <c r="N120" s="16" t="s">
        <v>241</v>
      </c>
      <c r="O120" s="8" t="s">
        <v>1691</v>
      </c>
      <c r="P120" s="1">
        <v>0.0</v>
      </c>
      <c r="Q120" s="1">
        <v>0.0</v>
      </c>
      <c r="R120" s="1">
        <v>0.0</v>
      </c>
      <c r="S120" s="1">
        <v>0.0</v>
      </c>
      <c r="T120" s="16" t="s">
        <v>174</v>
      </c>
      <c r="U120" s="16"/>
      <c r="V120" s="16"/>
    </row>
    <row r="121">
      <c r="A121" s="25">
        <v>45768.0</v>
      </c>
      <c r="B121" s="5" t="s">
        <v>58</v>
      </c>
      <c r="C121" s="5">
        <v>120.0</v>
      </c>
      <c r="D121" s="17" t="s">
        <v>1692</v>
      </c>
      <c r="E121" s="1">
        <f>IFERROR(__xludf.DUMMYFUNCTION("IF(D121="""", 0, COUNTA(SPLIT(D121, "" "")))"),2.0)</f>
        <v>2</v>
      </c>
      <c r="F121" s="8" t="s">
        <v>1693</v>
      </c>
      <c r="G121" s="12">
        <v>14315.0</v>
      </c>
      <c r="H121" s="26">
        <f t="shared" si="1"/>
        <v>6.113620808</v>
      </c>
      <c r="I121" s="26">
        <f t="shared" si="2"/>
        <v>0</v>
      </c>
      <c r="J121" s="26">
        <f t="shared" si="3"/>
        <v>86.11362081</v>
      </c>
      <c r="K121" s="9">
        <f t="shared" si="4"/>
        <v>10.18206708</v>
      </c>
      <c r="L121" s="27" t="s">
        <v>1694</v>
      </c>
      <c r="M121" s="28">
        <v>42049.0</v>
      </c>
      <c r="N121" s="16" t="s">
        <v>241</v>
      </c>
      <c r="O121" s="8" t="s">
        <v>1695</v>
      </c>
      <c r="P121" s="1">
        <v>0.0</v>
      </c>
      <c r="Q121" s="1">
        <v>0.0</v>
      </c>
      <c r="R121" s="1">
        <v>0.0</v>
      </c>
      <c r="S121" s="1">
        <v>0.0</v>
      </c>
      <c r="T121" s="16" t="s">
        <v>1696</v>
      </c>
      <c r="U121" s="16"/>
      <c r="V121" s="16"/>
    </row>
    <row r="122">
      <c r="A122" s="25">
        <v>45768.0</v>
      </c>
      <c r="B122" s="5" t="s">
        <v>58</v>
      </c>
      <c r="C122" s="5">
        <v>121.0</v>
      </c>
      <c r="D122" s="8" t="s">
        <v>1697</v>
      </c>
      <c r="E122" s="1">
        <f>IFERROR(__xludf.DUMMYFUNCTION("IF(D122="""", 0, COUNTA(SPLIT(D122, "" "")))"),2.0)</f>
        <v>2</v>
      </c>
      <c r="F122" s="8" t="s">
        <v>1698</v>
      </c>
      <c r="G122" s="12">
        <v>21518.0</v>
      </c>
      <c r="H122" s="26">
        <f t="shared" si="1"/>
        <v>0</v>
      </c>
      <c r="I122" s="26">
        <f t="shared" si="2"/>
        <v>13.60711841</v>
      </c>
      <c r="J122" s="26">
        <f t="shared" si="3"/>
        <v>66.39288159</v>
      </c>
      <c r="K122" s="9">
        <f t="shared" si="4"/>
        <v>10.18206708</v>
      </c>
      <c r="L122" s="27" t="s">
        <v>1699</v>
      </c>
      <c r="M122" s="28">
        <v>42049.0</v>
      </c>
      <c r="N122" s="16" t="s">
        <v>241</v>
      </c>
      <c r="O122" s="8" t="s">
        <v>1700</v>
      </c>
      <c r="P122" s="1">
        <v>0.0</v>
      </c>
      <c r="Q122" s="1">
        <v>0.0</v>
      </c>
      <c r="R122" s="1">
        <v>0.0</v>
      </c>
      <c r="S122" s="1">
        <v>0.0</v>
      </c>
      <c r="T122" s="16" t="s">
        <v>1701</v>
      </c>
      <c r="U122" s="16"/>
      <c r="V122" s="16"/>
    </row>
    <row r="123">
      <c r="A123" s="25">
        <v>45768.0</v>
      </c>
      <c r="B123" s="5" t="s">
        <v>58</v>
      </c>
      <c r="C123" s="5">
        <v>122.0</v>
      </c>
      <c r="D123" s="8" t="s">
        <v>1702</v>
      </c>
      <c r="E123" s="1">
        <f>IFERROR(__xludf.DUMMYFUNCTION("IF(D123="""", 0, COUNTA(SPLIT(D123, "" "")))"),2.0)</f>
        <v>2</v>
      </c>
      <c r="F123" s="8" t="s">
        <v>1703</v>
      </c>
      <c r="G123" s="12">
        <v>17730.0</v>
      </c>
      <c r="H123" s="26">
        <f t="shared" si="1"/>
        <v>0</v>
      </c>
      <c r="I123" s="26">
        <f t="shared" si="2"/>
        <v>3.23613963</v>
      </c>
      <c r="J123" s="26">
        <f t="shared" si="3"/>
        <v>76.76386037</v>
      </c>
      <c r="K123" s="9">
        <f t="shared" si="4"/>
        <v>10.18206708</v>
      </c>
      <c r="L123" s="27" t="s">
        <v>1704</v>
      </c>
      <c r="M123" s="28">
        <v>42049.0</v>
      </c>
      <c r="N123" s="16" t="s">
        <v>241</v>
      </c>
      <c r="O123" s="8" t="s">
        <v>1705</v>
      </c>
      <c r="P123" s="1">
        <v>0.0</v>
      </c>
      <c r="Q123" s="1">
        <v>0.0</v>
      </c>
      <c r="R123" s="1">
        <v>0.0</v>
      </c>
      <c r="S123" s="1">
        <v>0.0</v>
      </c>
      <c r="T123" s="16" t="s">
        <v>218</v>
      </c>
      <c r="U123" s="16"/>
      <c r="V123" s="16"/>
    </row>
    <row r="124">
      <c r="A124" s="25">
        <v>45768.0</v>
      </c>
      <c r="B124" s="5" t="s">
        <v>58</v>
      </c>
      <c r="C124" s="5">
        <v>123.0</v>
      </c>
      <c r="D124" s="17" t="s">
        <v>1706</v>
      </c>
      <c r="E124" s="1">
        <f>IFERROR(__xludf.DUMMYFUNCTION("IF(D124="""", 0, COUNTA(SPLIT(D124, "" "")))"),3.0)</f>
        <v>3</v>
      </c>
      <c r="F124" s="8" t="s">
        <v>1707</v>
      </c>
      <c r="G124" s="12">
        <v>17728.0</v>
      </c>
      <c r="H124" s="26">
        <f t="shared" si="1"/>
        <v>0</v>
      </c>
      <c r="I124" s="26">
        <f t="shared" si="2"/>
        <v>3.230663929</v>
      </c>
      <c r="J124" s="26">
        <f t="shared" si="3"/>
        <v>76.76933607</v>
      </c>
      <c r="K124" s="9">
        <f t="shared" si="4"/>
        <v>10.18206708</v>
      </c>
      <c r="L124" s="27" t="s">
        <v>1708</v>
      </c>
      <c r="M124" s="28">
        <v>42049.0</v>
      </c>
      <c r="N124" s="16" t="s">
        <v>241</v>
      </c>
      <c r="O124" s="8" t="s">
        <v>1709</v>
      </c>
      <c r="P124" s="1">
        <v>0.0</v>
      </c>
      <c r="Q124" s="1">
        <v>0.0</v>
      </c>
      <c r="R124" s="1">
        <v>0.0</v>
      </c>
      <c r="S124" s="1">
        <v>0.0</v>
      </c>
      <c r="T124" s="16" t="s">
        <v>1710</v>
      </c>
      <c r="U124" s="16"/>
      <c r="V124" s="16"/>
    </row>
    <row r="125">
      <c r="A125" s="25">
        <v>45768.0</v>
      </c>
      <c r="B125" s="5" t="s">
        <v>58</v>
      </c>
      <c r="C125" s="5">
        <v>124.0</v>
      </c>
      <c r="D125" s="8" t="s">
        <v>1711</v>
      </c>
      <c r="E125" s="1">
        <f>IFERROR(__xludf.DUMMYFUNCTION("IF(D125="""", 0, COUNTA(SPLIT(D125, "" "")))"),2.0)</f>
        <v>2</v>
      </c>
      <c r="F125" s="8" t="s">
        <v>1712</v>
      </c>
      <c r="G125" s="12">
        <v>17658.0</v>
      </c>
      <c r="H125" s="26">
        <f t="shared" si="1"/>
        <v>0</v>
      </c>
      <c r="I125" s="26">
        <f t="shared" si="2"/>
        <v>3.039014374</v>
      </c>
      <c r="J125" s="26">
        <f t="shared" si="3"/>
        <v>76.96098563</v>
      </c>
      <c r="K125" s="9">
        <f t="shared" si="4"/>
        <v>10.18206708</v>
      </c>
      <c r="L125" s="27" t="s">
        <v>1713</v>
      </c>
      <c r="M125" s="28">
        <v>42049.0</v>
      </c>
      <c r="N125" s="16" t="s">
        <v>241</v>
      </c>
      <c r="O125" s="8" t="s">
        <v>1714</v>
      </c>
      <c r="P125" s="1">
        <v>0.0</v>
      </c>
      <c r="Q125" s="1">
        <v>0.0</v>
      </c>
      <c r="R125" s="1">
        <v>0.0</v>
      </c>
      <c r="S125" s="1">
        <v>0.0</v>
      </c>
      <c r="T125" s="16" t="s">
        <v>167</v>
      </c>
      <c r="U125" s="16"/>
      <c r="V125" s="16"/>
    </row>
    <row r="126">
      <c r="A126" s="25">
        <v>45768.0</v>
      </c>
      <c r="B126" s="5" t="s">
        <v>58</v>
      </c>
      <c r="C126" s="5">
        <v>125.0</v>
      </c>
      <c r="D126" s="17" t="s">
        <v>1715</v>
      </c>
      <c r="E126" s="1">
        <f>IFERROR(__xludf.DUMMYFUNCTION("IF(D126="""", 0, COUNTA(SPLIT(D126, "" "")))"),2.0)</f>
        <v>2</v>
      </c>
      <c r="F126" s="8" t="s">
        <v>1716</v>
      </c>
      <c r="G126" s="12">
        <v>14532.0</v>
      </c>
      <c r="H126" s="26">
        <f t="shared" si="1"/>
        <v>5.519507187</v>
      </c>
      <c r="I126" s="26">
        <f t="shared" si="2"/>
        <v>0</v>
      </c>
      <c r="J126" s="26">
        <f t="shared" si="3"/>
        <v>85.51950719</v>
      </c>
      <c r="K126" s="9">
        <f t="shared" si="4"/>
        <v>10.18206708</v>
      </c>
      <c r="L126" s="27" t="s">
        <v>1717</v>
      </c>
      <c r="M126" s="28">
        <v>42049.0</v>
      </c>
      <c r="N126" s="16" t="s">
        <v>241</v>
      </c>
      <c r="O126" s="8" t="s">
        <v>1718</v>
      </c>
      <c r="P126" s="1">
        <v>0.0</v>
      </c>
      <c r="Q126" s="1">
        <v>0.0</v>
      </c>
      <c r="R126" s="1">
        <v>0.0</v>
      </c>
      <c r="S126" s="1">
        <v>0.0</v>
      </c>
      <c r="T126" s="16" t="s">
        <v>27</v>
      </c>
      <c r="U126" s="16"/>
      <c r="V126" s="16"/>
    </row>
    <row r="127">
      <c r="A127" s="25">
        <v>45768.0</v>
      </c>
      <c r="B127" s="5" t="s">
        <v>58</v>
      </c>
      <c r="C127" s="5">
        <v>126.0</v>
      </c>
      <c r="D127" s="17" t="s">
        <v>1719</v>
      </c>
      <c r="E127" s="1">
        <f>IFERROR(__xludf.DUMMYFUNCTION("IF(D127="""", 0, COUNTA(SPLIT(D127, "" "")))"),4.0)</f>
        <v>4</v>
      </c>
      <c r="F127" s="8" t="s">
        <v>1720</v>
      </c>
      <c r="G127" s="12">
        <v>13971.0</v>
      </c>
      <c r="H127" s="26">
        <f t="shared" si="1"/>
        <v>7.055441478</v>
      </c>
      <c r="I127" s="26">
        <f t="shared" si="2"/>
        <v>0</v>
      </c>
      <c r="J127" s="26">
        <f t="shared" si="3"/>
        <v>87.05544148</v>
      </c>
      <c r="K127" s="9">
        <f t="shared" si="4"/>
        <v>10.18206708</v>
      </c>
      <c r="L127" s="27" t="s">
        <v>1721</v>
      </c>
      <c r="M127" s="28">
        <v>42049.0</v>
      </c>
      <c r="N127" s="16" t="s">
        <v>241</v>
      </c>
      <c r="O127" s="8" t="s">
        <v>1722</v>
      </c>
      <c r="P127" s="1">
        <v>0.0</v>
      </c>
      <c r="Q127" s="1">
        <v>0.0</v>
      </c>
      <c r="R127" s="1">
        <v>0.0</v>
      </c>
      <c r="S127" s="1">
        <v>0.0</v>
      </c>
      <c r="T127" s="16" t="s">
        <v>290</v>
      </c>
      <c r="U127" s="16"/>
      <c r="V127" s="16"/>
    </row>
    <row r="128">
      <c r="A128" s="25">
        <v>45768.0</v>
      </c>
      <c r="B128" s="5" t="s">
        <v>58</v>
      </c>
      <c r="C128" s="5">
        <v>127.0</v>
      </c>
      <c r="D128" s="17" t="s">
        <v>1723</v>
      </c>
      <c r="E128" s="1">
        <f>IFERROR(__xludf.DUMMYFUNCTION("IF(D128="""", 0, COUNTA(SPLIT(D128, "" "")))"),3.0)</f>
        <v>3</v>
      </c>
      <c r="F128" s="8" t="s">
        <v>1724</v>
      </c>
      <c r="G128" s="12">
        <v>14275.0</v>
      </c>
      <c r="H128" s="26">
        <f t="shared" si="1"/>
        <v>6.223134839</v>
      </c>
      <c r="I128" s="26">
        <f t="shared" si="2"/>
        <v>0</v>
      </c>
      <c r="J128" s="26">
        <f t="shared" si="3"/>
        <v>86.22313484</v>
      </c>
      <c r="K128" s="9">
        <f t="shared" si="4"/>
        <v>10.18206708</v>
      </c>
      <c r="L128" s="27" t="s">
        <v>1725</v>
      </c>
      <c r="M128" s="28">
        <v>42049.0</v>
      </c>
      <c r="N128" s="16" t="s">
        <v>241</v>
      </c>
      <c r="O128" s="8" t="s">
        <v>1726</v>
      </c>
      <c r="P128" s="1">
        <v>0.0</v>
      </c>
      <c r="Q128" s="1">
        <v>0.0</v>
      </c>
      <c r="R128" s="1">
        <v>0.0</v>
      </c>
      <c r="S128" s="1">
        <v>0.0</v>
      </c>
      <c r="T128" s="16" t="s">
        <v>163</v>
      </c>
      <c r="U128" s="16"/>
      <c r="V128" s="16"/>
    </row>
    <row r="129">
      <c r="A129" s="25">
        <v>45768.0</v>
      </c>
      <c r="B129" s="5" t="s">
        <v>58</v>
      </c>
      <c r="C129" s="5">
        <v>128.0</v>
      </c>
      <c r="D129" s="17" t="s">
        <v>1727</v>
      </c>
      <c r="E129" s="1">
        <f>IFERROR(__xludf.DUMMYFUNCTION("IF(D129="""", 0, COUNTA(SPLIT(D129, "" "")))"),3.0)</f>
        <v>3</v>
      </c>
      <c r="F129" s="8" t="s">
        <v>1728</v>
      </c>
      <c r="G129" s="12">
        <v>17835.0</v>
      </c>
      <c r="H129" s="26">
        <f t="shared" si="1"/>
        <v>0</v>
      </c>
      <c r="I129" s="26">
        <f t="shared" si="2"/>
        <v>3.523613963</v>
      </c>
      <c r="J129" s="26">
        <f t="shared" si="3"/>
        <v>76.47638604</v>
      </c>
      <c r="K129" s="9">
        <f t="shared" si="4"/>
        <v>10.18206708</v>
      </c>
      <c r="L129" s="27" t="s">
        <v>1729</v>
      </c>
      <c r="M129" s="28">
        <v>42049.0</v>
      </c>
      <c r="N129" s="16" t="s">
        <v>241</v>
      </c>
      <c r="O129" s="8" t="s">
        <v>1730</v>
      </c>
      <c r="P129" s="1">
        <v>0.0</v>
      </c>
      <c r="Q129" s="1">
        <v>0.0</v>
      </c>
      <c r="R129" s="1">
        <v>0.0</v>
      </c>
      <c r="S129" s="1">
        <v>0.0</v>
      </c>
      <c r="T129" s="16" t="s">
        <v>1731</v>
      </c>
      <c r="U129" s="16"/>
      <c r="V129" s="16"/>
    </row>
    <row r="130">
      <c r="A130" s="25">
        <v>45768.0</v>
      </c>
      <c r="B130" s="5" t="s">
        <v>58</v>
      </c>
      <c r="C130" s="5">
        <v>129.0</v>
      </c>
      <c r="D130" s="8" t="s">
        <v>1732</v>
      </c>
      <c r="E130" s="1">
        <f>IFERROR(__xludf.DUMMYFUNCTION("IF(D130="""", 0, COUNTA(SPLIT(D130, "" "")))"),2.0)</f>
        <v>2</v>
      </c>
      <c r="F130" s="8" t="s">
        <v>1733</v>
      </c>
      <c r="G130" s="12">
        <v>18076.0</v>
      </c>
      <c r="H130" s="26">
        <f t="shared" si="1"/>
        <v>0</v>
      </c>
      <c r="I130" s="26">
        <f t="shared" si="2"/>
        <v>4.183436003</v>
      </c>
      <c r="J130" s="26">
        <f t="shared" si="3"/>
        <v>75.816564</v>
      </c>
      <c r="K130" s="9">
        <f t="shared" si="4"/>
        <v>10.18206708</v>
      </c>
      <c r="L130" s="27" t="s">
        <v>1734</v>
      </c>
      <c r="M130" s="28">
        <v>42049.0</v>
      </c>
      <c r="N130" s="16" t="s">
        <v>241</v>
      </c>
      <c r="O130" s="8" t="s">
        <v>1735</v>
      </c>
      <c r="P130" s="1">
        <v>0.0</v>
      </c>
      <c r="Q130" s="1">
        <v>0.0</v>
      </c>
      <c r="R130" s="1">
        <v>0.0</v>
      </c>
      <c r="S130" s="1">
        <v>0.0</v>
      </c>
      <c r="T130" s="16" t="s">
        <v>539</v>
      </c>
      <c r="U130" s="16"/>
      <c r="V130" s="16"/>
    </row>
    <row r="131">
      <c r="A131" s="25">
        <v>45768.0</v>
      </c>
      <c r="B131" s="5" t="s">
        <v>58</v>
      </c>
      <c r="C131" s="5">
        <v>130.0</v>
      </c>
      <c r="D131" s="8" t="s">
        <v>1736</v>
      </c>
      <c r="E131" s="1">
        <f>IFERROR(__xludf.DUMMYFUNCTION("IF(D131="""", 0, COUNTA(SPLIT(D131, "" "")))"),2.0)</f>
        <v>2</v>
      </c>
      <c r="F131" s="8" t="s">
        <v>1737</v>
      </c>
      <c r="G131" s="12">
        <v>16944.0</v>
      </c>
      <c r="H131" s="26">
        <f t="shared" si="1"/>
        <v>0</v>
      </c>
      <c r="I131" s="26">
        <f t="shared" si="2"/>
        <v>1.084188912</v>
      </c>
      <c r="J131" s="26">
        <f t="shared" si="3"/>
        <v>78.91581109</v>
      </c>
      <c r="K131" s="9">
        <f t="shared" si="4"/>
        <v>10.18206708</v>
      </c>
      <c r="L131" s="27" t="s">
        <v>1738</v>
      </c>
      <c r="M131" s="28">
        <v>42049.0</v>
      </c>
      <c r="N131" s="16" t="s">
        <v>241</v>
      </c>
      <c r="O131" s="8" t="s">
        <v>1739</v>
      </c>
      <c r="P131" s="1">
        <v>0.0</v>
      </c>
      <c r="Q131" s="1">
        <v>0.0</v>
      </c>
      <c r="R131" s="1">
        <v>0.0</v>
      </c>
      <c r="S131" s="1">
        <v>0.0</v>
      </c>
      <c r="T131" s="16" t="s">
        <v>27</v>
      </c>
      <c r="U131" s="16"/>
      <c r="V131" s="16"/>
    </row>
    <row r="132">
      <c r="A132" s="25">
        <v>45768.0</v>
      </c>
      <c r="B132" s="5" t="s">
        <v>58</v>
      </c>
      <c r="C132" s="5">
        <v>131.0</v>
      </c>
      <c r="D132" s="17" t="s">
        <v>1740</v>
      </c>
      <c r="E132" s="1">
        <f>IFERROR(__xludf.DUMMYFUNCTION("IF(D132="""", 0, COUNTA(SPLIT(D132, "" "")))"),2.0)</f>
        <v>2</v>
      </c>
      <c r="F132" s="8" t="s">
        <v>1741</v>
      </c>
      <c r="G132" s="12">
        <v>21735.0</v>
      </c>
      <c r="H132" s="26">
        <f t="shared" si="1"/>
        <v>0</v>
      </c>
      <c r="I132" s="26">
        <f t="shared" si="2"/>
        <v>14.20123203</v>
      </c>
      <c r="J132" s="26">
        <f t="shared" si="3"/>
        <v>65.79876797</v>
      </c>
      <c r="K132" s="9">
        <f t="shared" si="4"/>
        <v>10.18206708</v>
      </c>
      <c r="L132" s="27" t="s">
        <v>1742</v>
      </c>
      <c r="M132" s="28">
        <v>42049.0</v>
      </c>
      <c r="N132" s="16" t="s">
        <v>241</v>
      </c>
      <c r="O132" s="8" t="s">
        <v>1743</v>
      </c>
      <c r="P132" s="1">
        <v>0.0</v>
      </c>
      <c r="Q132" s="1">
        <v>0.0</v>
      </c>
      <c r="R132" s="1">
        <v>0.0</v>
      </c>
      <c r="S132" s="1">
        <v>0.0</v>
      </c>
      <c r="T132" s="16" t="s">
        <v>163</v>
      </c>
      <c r="U132" s="16"/>
      <c r="V132" s="16"/>
    </row>
    <row r="133">
      <c r="A133" s="25">
        <v>45768.0</v>
      </c>
      <c r="B133" s="5" t="s">
        <v>58</v>
      </c>
      <c r="C133" s="5">
        <v>132.0</v>
      </c>
      <c r="D133" s="17" t="s">
        <v>1744</v>
      </c>
      <c r="E133" s="1">
        <f>IFERROR(__xludf.DUMMYFUNCTION("IF(D133="""", 0, COUNTA(SPLIT(D133, "" "")))"),2.0)</f>
        <v>2</v>
      </c>
      <c r="F133" s="8" t="s">
        <v>1745</v>
      </c>
      <c r="G133" s="12">
        <v>15444.0</v>
      </c>
      <c r="H133" s="26">
        <f t="shared" si="1"/>
        <v>3.022587269</v>
      </c>
      <c r="I133" s="26">
        <f t="shared" si="2"/>
        <v>0</v>
      </c>
      <c r="J133" s="26">
        <f t="shared" si="3"/>
        <v>83.02258727</v>
      </c>
      <c r="K133" s="9">
        <f t="shared" si="4"/>
        <v>10.18206708</v>
      </c>
      <c r="L133" s="27" t="s">
        <v>1746</v>
      </c>
      <c r="M133" s="28">
        <v>42049.0</v>
      </c>
      <c r="N133" s="16" t="s">
        <v>241</v>
      </c>
      <c r="O133" s="8" t="s">
        <v>1747</v>
      </c>
      <c r="P133" s="1">
        <v>0.0</v>
      </c>
      <c r="Q133" s="1">
        <v>0.0</v>
      </c>
      <c r="R133" s="1">
        <v>0.0</v>
      </c>
      <c r="S133" s="1">
        <v>0.0</v>
      </c>
      <c r="T133" s="16" t="s">
        <v>163</v>
      </c>
      <c r="U133" s="16"/>
      <c r="V133" s="16"/>
    </row>
    <row r="134">
      <c r="A134" s="25">
        <v>45768.0</v>
      </c>
      <c r="B134" s="5" t="s">
        <v>58</v>
      </c>
      <c r="C134" s="5">
        <v>133.0</v>
      </c>
      <c r="D134" s="17" t="s">
        <v>1748</v>
      </c>
      <c r="E134" s="1">
        <f>IFERROR(__xludf.DUMMYFUNCTION("IF(D134="""", 0, COUNTA(SPLIT(D134, "" "")))"),4.0)</f>
        <v>4</v>
      </c>
      <c r="F134" s="8" t="s">
        <v>1749</v>
      </c>
      <c r="G134" s="12">
        <v>16126.0</v>
      </c>
      <c r="H134" s="26">
        <f t="shared" si="1"/>
        <v>1.155373032</v>
      </c>
      <c r="I134" s="26">
        <f t="shared" si="2"/>
        <v>0</v>
      </c>
      <c r="J134" s="26">
        <f t="shared" si="3"/>
        <v>81.15537303</v>
      </c>
      <c r="K134" s="9">
        <f t="shared" si="4"/>
        <v>10.18206708</v>
      </c>
      <c r="L134" s="27" t="s">
        <v>1750</v>
      </c>
      <c r="M134" s="28">
        <v>42049.0</v>
      </c>
      <c r="N134" s="16" t="s">
        <v>241</v>
      </c>
      <c r="O134" s="8" t="s">
        <v>1751</v>
      </c>
      <c r="P134" s="1">
        <v>0.0</v>
      </c>
      <c r="Q134" s="1">
        <v>0.0</v>
      </c>
      <c r="R134" s="1">
        <v>0.0</v>
      </c>
      <c r="S134" s="1">
        <v>0.0</v>
      </c>
      <c r="T134" s="16" t="s">
        <v>163</v>
      </c>
      <c r="U134" s="16"/>
      <c r="V134" s="16"/>
    </row>
    <row r="135">
      <c r="A135" s="25">
        <v>45768.0</v>
      </c>
      <c r="B135" s="5" t="s">
        <v>58</v>
      </c>
      <c r="C135" s="5">
        <v>134.0</v>
      </c>
      <c r="D135" s="8" t="s">
        <v>1752</v>
      </c>
      <c r="E135" s="1">
        <f>IFERROR(__xludf.DUMMYFUNCTION("IF(D135="""", 0, COUNTA(SPLIT(D135, "" "")))"),3.0)</f>
        <v>3</v>
      </c>
      <c r="F135" s="8" t="s">
        <v>1753</v>
      </c>
      <c r="G135" s="12">
        <v>18217.0</v>
      </c>
      <c r="H135" s="26">
        <f t="shared" si="1"/>
        <v>0</v>
      </c>
      <c r="I135" s="26">
        <f t="shared" si="2"/>
        <v>4.569472964</v>
      </c>
      <c r="J135" s="26">
        <f t="shared" si="3"/>
        <v>75.43052704</v>
      </c>
      <c r="K135" s="9">
        <f t="shared" si="4"/>
        <v>8.41889117</v>
      </c>
      <c r="L135" s="27" t="s">
        <v>1754</v>
      </c>
      <c r="M135" s="28">
        <v>42693.0</v>
      </c>
      <c r="N135" s="16" t="s">
        <v>241</v>
      </c>
      <c r="O135" s="8" t="s">
        <v>1755</v>
      </c>
      <c r="P135" s="1">
        <v>0.0</v>
      </c>
      <c r="Q135" s="1">
        <v>0.0</v>
      </c>
      <c r="R135" s="1">
        <v>0.0</v>
      </c>
      <c r="S135" s="1">
        <v>0.0</v>
      </c>
      <c r="T135" s="16" t="s">
        <v>218</v>
      </c>
      <c r="U135" s="16"/>
      <c r="V135" s="16"/>
    </row>
    <row r="136">
      <c r="A136" s="25">
        <v>45768.0</v>
      </c>
      <c r="B136" s="5" t="s">
        <v>58</v>
      </c>
      <c r="C136" s="5">
        <v>135.0</v>
      </c>
      <c r="D136" s="8" t="s">
        <v>1756</v>
      </c>
      <c r="E136" s="1">
        <f>IFERROR(__xludf.DUMMYFUNCTION("IF(D136="""", 0, COUNTA(SPLIT(D136, "" "")))"),4.0)</f>
        <v>4</v>
      </c>
      <c r="F136" s="8" t="s">
        <v>1757</v>
      </c>
      <c r="G136" s="12">
        <v>22634.0</v>
      </c>
      <c r="H136" s="26">
        <f t="shared" si="1"/>
        <v>0</v>
      </c>
      <c r="I136" s="26">
        <f t="shared" si="2"/>
        <v>16.66255989</v>
      </c>
      <c r="J136" s="26">
        <f t="shared" si="3"/>
        <v>63.33744011</v>
      </c>
      <c r="K136" s="9">
        <f t="shared" si="4"/>
        <v>8.41889117</v>
      </c>
      <c r="L136" s="27" t="s">
        <v>1758</v>
      </c>
      <c r="M136" s="28">
        <v>42693.0</v>
      </c>
      <c r="N136" s="16" t="s">
        <v>241</v>
      </c>
      <c r="O136" s="8" t="s">
        <v>1759</v>
      </c>
      <c r="P136" s="1">
        <v>0.0</v>
      </c>
      <c r="Q136" s="1">
        <v>0.0</v>
      </c>
      <c r="R136" s="1">
        <v>0.0</v>
      </c>
      <c r="S136" s="1">
        <v>0.0</v>
      </c>
      <c r="T136" s="16" t="s">
        <v>1760</v>
      </c>
      <c r="U136" s="16"/>
      <c r="V136" s="16"/>
    </row>
    <row r="137">
      <c r="A137" s="25">
        <v>45768.0</v>
      </c>
      <c r="B137" s="5" t="s">
        <v>58</v>
      </c>
      <c r="C137" s="5">
        <v>136.0</v>
      </c>
      <c r="D137" s="17" t="s">
        <v>1761</v>
      </c>
      <c r="E137" s="1">
        <f>IFERROR(__xludf.DUMMYFUNCTION("IF(D137="""", 0, COUNTA(SPLIT(D137, "" "")))"),3.0)</f>
        <v>3</v>
      </c>
      <c r="F137" s="8" t="s">
        <v>1762</v>
      </c>
      <c r="G137" s="12">
        <v>12703.0</v>
      </c>
      <c r="H137" s="26">
        <f t="shared" si="1"/>
        <v>10.52703628</v>
      </c>
      <c r="I137" s="26">
        <f t="shared" si="2"/>
        <v>0</v>
      </c>
      <c r="J137" s="26">
        <f t="shared" si="3"/>
        <v>90.52703628</v>
      </c>
      <c r="K137" s="9">
        <f t="shared" si="4"/>
        <v>8.41889117</v>
      </c>
      <c r="L137" s="27" t="s">
        <v>1763</v>
      </c>
      <c r="M137" s="28">
        <v>42693.0</v>
      </c>
      <c r="N137" s="16" t="s">
        <v>241</v>
      </c>
      <c r="O137" s="8" t="s">
        <v>1764</v>
      </c>
      <c r="P137" s="1">
        <v>0.0</v>
      </c>
      <c r="Q137" s="1">
        <v>0.0</v>
      </c>
      <c r="R137" s="1">
        <v>0.0</v>
      </c>
      <c r="S137" s="1">
        <v>0.0</v>
      </c>
      <c r="T137" s="16" t="s">
        <v>163</v>
      </c>
      <c r="U137" s="16"/>
      <c r="V137" s="16"/>
    </row>
    <row r="138">
      <c r="A138" s="25">
        <v>45768.0</v>
      </c>
      <c r="B138" s="5" t="s">
        <v>58</v>
      </c>
      <c r="C138" s="5">
        <v>137.0</v>
      </c>
      <c r="D138" s="17" t="s">
        <v>1765</v>
      </c>
      <c r="E138" s="1">
        <f>IFERROR(__xludf.DUMMYFUNCTION("IF(D138="""", 0, COUNTA(SPLIT(D138, "" "")))"),3.0)</f>
        <v>3</v>
      </c>
      <c r="F138" s="8" t="s">
        <v>1766</v>
      </c>
      <c r="G138" s="12">
        <v>10162.0</v>
      </c>
      <c r="H138" s="26">
        <f t="shared" si="1"/>
        <v>17.48391513</v>
      </c>
      <c r="I138" s="26">
        <f t="shared" si="2"/>
        <v>0</v>
      </c>
      <c r="J138" s="26">
        <f t="shared" si="3"/>
        <v>97.48391513</v>
      </c>
      <c r="K138" s="9">
        <f t="shared" si="4"/>
        <v>8.41889117</v>
      </c>
      <c r="L138" s="27" t="s">
        <v>1767</v>
      </c>
      <c r="M138" s="28">
        <v>42693.0</v>
      </c>
      <c r="N138" s="16" t="s">
        <v>241</v>
      </c>
      <c r="O138" s="8" t="s">
        <v>1768</v>
      </c>
      <c r="P138" s="1">
        <v>0.0</v>
      </c>
      <c r="Q138" s="1">
        <v>0.0</v>
      </c>
      <c r="R138" s="1">
        <v>0.0</v>
      </c>
      <c r="S138" s="1">
        <v>0.0</v>
      </c>
      <c r="T138" s="16" t="s">
        <v>218</v>
      </c>
      <c r="U138" s="16"/>
      <c r="V138" s="16"/>
    </row>
    <row r="139">
      <c r="A139" s="25">
        <v>45768.0</v>
      </c>
      <c r="B139" s="5" t="s">
        <v>58</v>
      </c>
      <c r="C139" s="5">
        <v>138.0</v>
      </c>
      <c r="D139" s="17" t="s">
        <v>1769</v>
      </c>
      <c r="E139" s="1">
        <f>IFERROR(__xludf.DUMMYFUNCTION("IF(D139="""", 0, COUNTA(SPLIT(D139, "" "")))"),2.0)</f>
        <v>2</v>
      </c>
      <c r="F139" s="8" t="s">
        <v>1770</v>
      </c>
      <c r="G139" s="12">
        <v>24545.0</v>
      </c>
      <c r="H139" s="26">
        <f t="shared" si="1"/>
        <v>0</v>
      </c>
      <c r="I139" s="26">
        <f t="shared" si="2"/>
        <v>21.89459274</v>
      </c>
      <c r="J139" s="26">
        <f t="shared" si="3"/>
        <v>58.10540726</v>
      </c>
      <c r="K139" s="9">
        <f t="shared" si="4"/>
        <v>8.41889117</v>
      </c>
      <c r="L139" s="27" t="s">
        <v>1771</v>
      </c>
      <c r="M139" s="28">
        <v>42693.0</v>
      </c>
      <c r="N139" s="16" t="s">
        <v>241</v>
      </c>
      <c r="O139" s="8" t="s">
        <v>1772</v>
      </c>
      <c r="P139" s="1">
        <v>0.0</v>
      </c>
      <c r="Q139" s="1">
        <v>0.0</v>
      </c>
      <c r="R139" s="1">
        <v>0.0</v>
      </c>
      <c r="S139" s="1">
        <v>0.0</v>
      </c>
      <c r="T139" s="16" t="s">
        <v>1773</v>
      </c>
      <c r="U139" s="16"/>
      <c r="V139" s="16"/>
    </row>
    <row r="140">
      <c r="A140" s="25">
        <v>45768.0</v>
      </c>
      <c r="B140" s="5" t="s">
        <v>58</v>
      </c>
      <c r="C140" s="5">
        <v>139.0</v>
      </c>
      <c r="D140" s="8" t="s">
        <v>1774</v>
      </c>
      <c r="E140" s="1">
        <f>IFERROR(__xludf.DUMMYFUNCTION("IF(D140="""", 0, COUNTA(SPLIT(D140, "" "")))"),3.0)</f>
        <v>3</v>
      </c>
      <c r="F140" s="8" t="s">
        <v>1775</v>
      </c>
      <c r="G140" s="12">
        <v>16573.0</v>
      </c>
      <c r="H140" s="26">
        <f t="shared" si="1"/>
        <v>0</v>
      </c>
      <c r="I140" s="26">
        <f t="shared" si="2"/>
        <v>0.06844626968</v>
      </c>
      <c r="J140" s="26">
        <f t="shared" si="3"/>
        <v>79.93155373</v>
      </c>
      <c r="K140" s="9">
        <f t="shared" si="4"/>
        <v>8.41889117</v>
      </c>
      <c r="L140" s="27" t="s">
        <v>1776</v>
      </c>
      <c r="M140" s="28">
        <v>42693.0</v>
      </c>
      <c r="N140" s="16" t="s">
        <v>241</v>
      </c>
      <c r="O140" s="8" t="s">
        <v>1777</v>
      </c>
      <c r="P140" s="1">
        <v>0.0</v>
      </c>
      <c r="Q140" s="1">
        <v>0.0</v>
      </c>
      <c r="R140" s="1">
        <v>0.0</v>
      </c>
      <c r="S140" s="1">
        <v>0.0</v>
      </c>
      <c r="T140" s="16" t="s">
        <v>163</v>
      </c>
      <c r="U140" s="16"/>
      <c r="V140" s="16"/>
    </row>
    <row r="141">
      <c r="A141" s="25">
        <v>45768.0</v>
      </c>
      <c r="B141" s="5" t="s">
        <v>58</v>
      </c>
      <c r="C141" s="5">
        <v>140.0</v>
      </c>
      <c r="D141" s="8" t="s">
        <v>1778</v>
      </c>
      <c r="E141" s="1">
        <f>IFERROR(__xludf.DUMMYFUNCTION("IF(D141="""", 0, COUNTA(SPLIT(D141, "" "")))"),3.0)</f>
        <v>3</v>
      </c>
      <c r="F141" s="8" t="s">
        <v>1779</v>
      </c>
      <c r="G141" s="12">
        <v>21844.0</v>
      </c>
      <c r="H141" s="26">
        <f t="shared" si="1"/>
        <v>0</v>
      </c>
      <c r="I141" s="26">
        <f t="shared" si="2"/>
        <v>14.49965777</v>
      </c>
      <c r="J141" s="26">
        <f t="shared" si="3"/>
        <v>65.50034223</v>
      </c>
      <c r="K141" s="9">
        <f t="shared" si="4"/>
        <v>8.41889117</v>
      </c>
      <c r="L141" s="27" t="s">
        <v>1780</v>
      </c>
      <c r="M141" s="28">
        <v>42693.0</v>
      </c>
      <c r="N141" s="16" t="s">
        <v>241</v>
      </c>
      <c r="O141" s="8" t="s">
        <v>1781</v>
      </c>
      <c r="P141" s="1">
        <v>0.0</v>
      </c>
      <c r="Q141" s="1">
        <v>0.0</v>
      </c>
      <c r="R141" s="1">
        <v>0.0</v>
      </c>
      <c r="S141" s="1">
        <v>0.0</v>
      </c>
      <c r="T141" s="16" t="s">
        <v>218</v>
      </c>
      <c r="U141" s="16"/>
      <c r="V141" s="16"/>
    </row>
    <row r="142">
      <c r="A142" s="25">
        <v>45768.0</v>
      </c>
      <c r="B142" s="5" t="s">
        <v>58</v>
      </c>
      <c r="C142" s="5">
        <v>141.0</v>
      </c>
      <c r="D142" s="8" t="s">
        <v>1782</v>
      </c>
      <c r="E142" s="1">
        <f>IFERROR(__xludf.DUMMYFUNCTION("IF(D142="""", 0, COUNTA(SPLIT(D142, "" "")))"),3.0)</f>
        <v>3</v>
      </c>
      <c r="F142" s="8" t="s">
        <v>1783</v>
      </c>
      <c r="G142" s="12">
        <v>17976.0</v>
      </c>
      <c r="H142" s="26">
        <f t="shared" si="1"/>
        <v>0</v>
      </c>
      <c r="I142" s="26">
        <f t="shared" si="2"/>
        <v>3.909650924</v>
      </c>
      <c r="J142" s="26">
        <f t="shared" si="3"/>
        <v>76.09034908</v>
      </c>
      <c r="K142" s="9">
        <f t="shared" si="4"/>
        <v>8.41889117</v>
      </c>
      <c r="L142" s="27" t="s">
        <v>1784</v>
      </c>
      <c r="M142" s="28">
        <v>42693.0</v>
      </c>
      <c r="N142" s="16" t="s">
        <v>241</v>
      </c>
      <c r="O142" s="8" t="s">
        <v>1785</v>
      </c>
      <c r="P142" s="1">
        <v>0.0</v>
      </c>
      <c r="Q142" s="1">
        <v>0.0</v>
      </c>
      <c r="R142" s="1">
        <v>0.0</v>
      </c>
      <c r="S142" s="1">
        <v>0.0</v>
      </c>
      <c r="T142" s="16" t="s">
        <v>167</v>
      </c>
      <c r="U142" s="16"/>
      <c r="V142" s="16"/>
    </row>
    <row r="143">
      <c r="A143" s="25">
        <v>45768.0</v>
      </c>
      <c r="B143" s="5" t="s">
        <v>58</v>
      </c>
      <c r="C143" s="5">
        <v>142.0</v>
      </c>
      <c r="D143" s="17" t="s">
        <v>1786</v>
      </c>
      <c r="E143" s="1">
        <f>IFERROR(__xludf.DUMMYFUNCTION("IF(D143="""", 0, COUNTA(SPLIT(D143, "" "")))"),2.0)</f>
        <v>2</v>
      </c>
      <c r="F143" s="8" t="s">
        <v>1787</v>
      </c>
      <c r="G143" s="12">
        <v>15980.0</v>
      </c>
      <c r="H143" s="26">
        <f t="shared" si="1"/>
        <v>1.555099247</v>
      </c>
      <c r="I143" s="26">
        <f t="shared" si="2"/>
        <v>0</v>
      </c>
      <c r="J143" s="26">
        <f t="shared" si="3"/>
        <v>81.55509925</v>
      </c>
      <c r="K143" s="9">
        <f t="shared" si="4"/>
        <v>8.41889117</v>
      </c>
      <c r="L143" s="27" t="s">
        <v>1788</v>
      </c>
      <c r="M143" s="28">
        <v>42693.0</v>
      </c>
      <c r="N143" s="16" t="s">
        <v>241</v>
      </c>
      <c r="O143" s="8" t="s">
        <v>1789</v>
      </c>
      <c r="P143" s="1">
        <v>0.0</v>
      </c>
      <c r="Q143" s="1">
        <v>0.0</v>
      </c>
      <c r="R143" s="1">
        <v>0.0</v>
      </c>
      <c r="S143" s="1">
        <v>0.0</v>
      </c>
      <c r="T143" s="16" t="s">
        <v>1790</v>
      </c>
      <c r="U143" s="16"/>
      <c r="V143" s="16"/>
    </row>
    <row r="144">
      <c r="A144" s="25">
        <v>45768.0</v>
      </c>
      <c r="B144" s="5" t="s">
        <v>58</v>
      </c>
      <c r="C144" s="5">
        <v>143.0</v>
      </c>
      <c r="D144" s="17" t="s">
        <v>1791</v>
      </c>
      <c r="E144" s="1">
        <f>IFERROR(__xludf.DUMMYFUNCTION("IF(D144="""", 0, COUNTA(SPLIT(D144, "" "")))"),4.0)</f>
        <v>4</v>
      </c>
      <c r="F144" s="8" t="s">
        <v>1792</v>
      </c>
      <c r="G144" s="12">
        <v>16355.0</v>
      </c>
      <c r="H144" s="26">
        <f t="shared" si="1"/>
        <v>0.5284052019</v>
      </c>
      <c r="I144" s="26">
        <f t="shared" si="2"/>
        <v>0</v>
      </c>
      <c r="J144" s="26">
        <f t="shared" si="3"/>
        <v>80.5284052</v>
      </c>
      <c r="K144" s="9">
        <f t="shared" si="4"/>
        <v>8.41889117</v>
      </c>
      <c r="L144" s="27" t="s">
        <v>1793</v>
      </c>
      <c r="M144" s="28">
        <v>42693.0</v>
      </c>
      <c r="N144" s="16" t="s">
        <v>241</v>
      </c>
      <c r="O144" s="8" t="s">
        <v>1794</v>
      </c>
      <c r="P144" s="1">
        <v>0.0</v>
      </c>
      <c r="Q144" s="1">
        <v>0.0</v>
      </c>
      <c r="R144" s="1">
        <v>0.0</v>
      </c>
      <c r="S144" s="1">
        <v>0.0</v>
      </c>
      <c r="T144" s="16" t="s">
        <v>163</v>
      </c>
      <c r="U144" s="16"/>
      <c r="V144" s="16"/>
    </row>
    <row r="145">
      <c r="A145" s="25">
        <v>45768.0</v>
      </c>
      <c r="B145" s="5" t="s">
        <v>58</v>
      </c>
      <c r="C145" s="5">
        <v>144.0</v>
      </c>
      <c r="D145" s="8" t="s">
        <v>1795</v>
      </c>
      <c r="E145" s="1">
        <f>IFERROR(__xludf.DUMMYFUNCTION("IF(D145="""", 0, COUNTA(SPLIT(D145, "" "")))"),3.0)</f>
        <v>3</v>
      </c>
      <c r="F145" s="8" t="s">
        <v>1796</v>
      </c>
      <c r="G145" s="12">
        <v>17335.0</v>
      </c>
      <c r="H145" s="26">
        <f t="shared" si="1"/>
        <v>0</v>
      </c>
      <c r="I145" s="26">
        <f t="shared" si="2"/>
        <v>2.154688569</v>
      </c>
      <c r="J145" s="26">
        <f t="shared" si="3"/>
        <v>77.84531143</v>
      </c>
      <c r="K145" s="9">
        <f t="shared" si="4"/>
        <v>8.41889117</v>
      </c>
      <c r="L145" s="27" t="s">
        <v>1797</v>
      </c>
      <c r="M145" s="28">
        <v>42693.0</v>
      </c>
      <c r="N145" s="16" t="s">
        <v>241</v>
      </c>
      <c r="O145" s="8" t="s">
        <v>1798</v>
      </c>
      <c r="P145" s="1">
        <v>0.0</v>
      </c>
      <c r="Q145" s="1">
        <v>0.0</v>
      </c>
      <c r="R145" s="1">
        <v>0.0</v>
      </c>
      <c r="S145" s="1">
        <v>0.0</v>
      </c>
      <c r="T145" s="16" t="s">
        <v>155</v>
      </c>
      <c r="U145" s="16"/>
      <c r="V145" s="16"/>
    </row>
    <row r="146">
      <c r="A146" s="25">
        <v>45768.0</v>
      </c>
      <c r="B146" s="5" t="s">
        <v>58</v>
      </c>
      <c r="C146" s="5">
        <v>145.0</v>
      </c>
      <c r="D146" s="17" t="s">
        <v>1799</v>
      </c>
      <c r="E146" s="1">
        <f>IFERROR(__xludf.DUMMYFUNCTION("IF(D146="""", 0, COUNTA(SPLIT(D146, "" "")))"),2.0)</f>
        <v>2</v>
      </c>
      <c r="F146" s="8" t="s">
        <v>1800</v>
      </c>
      <c r="G146" s="12">
        <v>15176.0</v>
      </c>
      <c r="H146" s="26">
        <f t="shared" si="1"/>
        <v>3.75633128</v>
      </c>
      <c r="I146" s="26">
        <f t="shared" si="2"/>
        <v>0</v>
      </c>
      <c r="J146" s="26">
        <f t="shared" si="3"/>
        <v>83.75633128</v>
      </c>
      <c r="K146" s="9">
        <f t="shared" si="4"/>
        <v>7.813826146</v>
      </c>
      <c r="L146" s="27" t="s">
        <v>1801</v>
      </c>
      <c r="M146" s="28">
        <v>42914.0</v>
      </c>
      <c r="N146" s="16" t="s">
        <v>241</v>
      </c>
      <c r="O146" s="8" t="s">
        <v>1802</v>
      </c>
      <c r="P146" s="1">
        <v>0.0</v>
      </c>
      <c r="Q146" s="1">
        <v>0.0</v>
      </c>
      <c r="R146" s="1">
        <v>0.0</v>
      </c>
      <c r="S146" s="1">
        <v>0.0</v>
      </c>
      <c r="T146" s="16" t="s">
        <v>174</v>
      </c>
      <c r="U146" s="16"/>
      <c r="V146" s="16"/>
    </row>
    <row r="147">
      <c r="A147" s="25">
        <v>45768.0</v>
      </c>
      <c r="B147" s="5" t="s">
        <v>58</v>
      </c>
      <c r="C147" s="5">
        <v>146.0</v>
      </c>
      <c r="D147" s="8" t="s">
        <v>1803</v>
      </c>
      <c r="E147" s="1">
        <f>IFERROR(__xludf.DUMMYFUNCTION("IF(D147="""", 0, COUNTA(SPLIT(D147, "" "")))"),3.0)</f>
        <v>3</v>
      </c>
      <c r="F147" s="8" t="s">
        <v>1804</v>
      </c>
      <c r="G147" s="12">
        <v>18272.0</v>
      </c>
      <c r="H147" s="26">
        <f t="shared" si="1"/>
        <v>0</v>
      </c>
      <c r="I147" s="26">
        <f t="shared" si="2"/>
        <v>4.720054757</v>
      </c>
      <c r="J147" s="26">
        <f t="shared" si="3"/>
        <v>75.27994524</v>
      </c>
      <c r="K147" s="9">
        <f t="shared" si="4"/>
        <v>7.813826146</v>
      </c>
      <c r="L147" s="27" t="s">
        <v>1805</v>
      </c>
      <c r="M147" s="28">
        <v>42914.0</v>
      </c>
      <c r="N147" s="16" t="s">
        <v>241</v>
      </c>
      <c r="O147" s="8" t="s">
        <v>1806</v>
      </c>
      <c r="P147" s="1">
        <v>0.0</v>
      </c>
      <c r="Q147" s="1">
        <v>0.0</v>
      </c>
      <c r="R147" s="1">
        <v>0.0</v>
      </c>
      <c r="S147" s="1">
        <v>0.0</v>
      </c>
      <c r="T147" s="16" t="s">
        <v>163</v>
      </c>
      <c r="U147" s="16"/>
      <c r="V147" s="16"/>
    </row>
    <row r="148">
      <c r="A148" s="25">
        <v>45768.0</v>
      </c>
      <c r="B148" s="5" t="s">
        <v>58</v>
      </c>
      <c r="C148" s="5">
        <v>147.0</v>
      </c>
      <c r="D148" s="17" t="s">
        <v>1807</v>
      </c>
      <c r="E148" s="1">
        <f>IFERROR(__xludf.DUMMYFUNCTION("IF(D148="""", 0, COUNTA(SPLIT(D148, "" "")))"),2.0)</f>
        <v>2</v>
      </c>
      <c r="F148" s="8" t="s">
        <v>1808</v>
      </c>
      <c r="G148" s="12">
        <v>20860.0</v>
      </c>
      <c r="H148" s="26">
        <f t="shared" si="1"/>
        <v>0</v>
      </c>
      <c r="I148" s="26">
        <f t="shared" si="2"/>
        <v>11.80561259</v>
      </c>
      <c r="J148" s="26">
        <f t="shared" si="3"/>
        <v>68.19438741</v>
      </c>
      <c r="K148" s="9">
        <f t="shared" si="4"/>
        <v>7.813826146</v>
      </c>
      <c r="L148" s="27" t="s">
        <v>1809</v>
      </c>
      <c r="M148" s="28">
        <v>42914.0</v>
      </c>
      <c r="N148" s="16" t="s">
        <v>241</v>
      </c>
      <c r="O148" s="8" t="s">
        <v>1810</v>
      </c>
      <c r="P148" s="1">
        <v>0.0</v>
      </c>
      <c r="Q148" s="1">
        <v>0.0</v>
      </c>
      <c r="R148" s="1">
        <v>0.0</v>
      </c>
      <c r="S148" s="1">
        <v>0.0</v>
      </c>
      <c r="T148" s="16" t="s">
        <v>1811</v>
      </c>
      <c r="U148" s="16"/>
      <c r="V148" s="16"/>
    </row>
    <row r="149">
      <c r="A149" s="25">
        <v>45768.0</v>
      </c>
      <c r="B149" s="5" t="s">
        <v>58</v>
      </c>
      <c r="C149" s="5">
        <v>148.0</v>
      </c>
      <c r="D149" s="17" t="s">
        <v>1812</v>
      </c>
      <c r="E149" s="1">
        <f>IFERROR(__xludf.DUMMYFUNCTION("IF(D149="""", 0, COUNTA(SPLIT(D149, "" "")))"),3.0)</f>
        <v>3</v>
      </c>
      <c r="F149" s="8" t="s">
        <v>1813</v>
      </c>
      <c r="G149" s="12">
        <v>19117.0</v>
      </c>
      <c r="H149" s="26">
        <f t="shared" si="1"/>
        <v>0</v>
      </c>
      <c r="I149" s="26">
        <f t="shared" si="2"/>
        <v>7.033538672</v>
      </c>
      <c r="J149" s="26">
        <f t="shared" si="3"/>
        <v>72.96646133</v>
      </c>
      <c r="K149" s="9">
        <f t="shared" si="4"/>
        <v>7.813826146</v>
      </c>
      <c r="L149" s="27" t="s">
        <v>1814</v>
      </c>
      <c r="M149" s="28">
        <v>42914.0</v>
      </c>
      <c r="N149" s="16" t="s">
        <v>241</v>
      </c>
      <c r="O149" s="8" t="s">
        <v>1815</v>
      </c>
      <c r="P149" s="1">
        <v>0.0</v>
      </c>
      <c r="Q149" s="1">
        <v>0.0</v>
      </c>
      <c r="R149" s="1">
        <v>0.0</v>
      </c>
      <c r="S149" s="1">
        <v>0.0</v>
      </c>
      <c r="T149" s="16" t="s">
        <v>167</v>
      </c>
      <c r="U149" s="16"/>
      <c r="V149" s="16"/>
    </row>
    <row r="150">
      <c r="A150" s="25">
        <v>45768.0</v>
      </c>
      <c r="B150" s="5" t="s">
        <v>58</v>
      </c>
      <c r="C150" s="5">
        <v>149.0</v>
      </c>
      <c r="D150" s="17" t="s">
        <v>1816</v>
      </c>
      <c r="E150" s="1">
        <f>IFERROR(__xludf.DUMMYFUNCTION("IF(D150="""", 0, COUNTA(SPLIT(D150, "" "")))"),2.0)</f>
        <v>2</v>
      </c>
      <c r="F150" s="8" t="s">
        <v>1817</v>
      </c>
      <c r="G150" s="12">
        <v>16067.0</v>
      </c>
      <c r="H150" s="26">
        <f t="shared" si="1"/>
        <v>1.316906229</v>
      </c>
      <c r="I150" s="26">
        <f t="shared" si="2"/>
        <v>0</v>
      </c>
      <c r="J150" s="26">
        <f t="shared" si="3"/>
        <v>81.31690623</v>
      </c>
      <c r="K150" s="9">
        <f t="shared" si="4"/>
        <v>7.813826146</v>
      </c>
      <c r="L150" s="27" t="s">
        <v>1818</v>
      </c>
      <c r="M150" s="28">
        <v>42914.0</v>
      </c>
      <c r="N150" s="16" t="s">
        <v>241</v>
      </c>
      <c r="O150" s="8" t="s">
        <v>1819</v>
      </c>
      <c r="P150" s="1">
        <v>0.0</v>
      </c>
      <c r="Q150" s="1">
        <v>0.0</v>
      </c>
      <c r="R150" s="1">
        <v>0.0</v>
      </c>
      <c r="S150" s="1">
        <v>0.0</v>
      </c>
      <c r="T150" s="16" t="s">
        <v>1820</v>
      </c>
      <c r="U150" s="16"/>
      <c r="V150" s="16"/>
    </row>
    <row r="151">
      <c r="A151" s="25">
        <v>45768.0</v>
      </c>
      <c r="B151" s="5" t="s">
        <v>58</v>
      </c>
      <c r="C151" s="5">
        <v>150.0</v>
      </c>
      <c r="D151" s="8" t="s">
        <v>1821</v>
      </c>
      <c r="E151" s="1">
        <f>IFERROR(__xludf.DUMMYFUNCTION("IF(D151="""", 0, COUNTA(SPLIT(D151, "" "")))"),3.0)</f>
        <v>3</v>
      </c>
      <c r="F151" s="8" t="s">
        <v>1822</v>
      </c>
      <c r="G151" s="12">
        <v>16913.0</v>
      </c>
      <c r="H151" s="26">
        <f t="shared" si="1"/>
        <v>0</v>
      </c>
      <c r="I151" s="26">
        <f t="shared" si="2"/>
        <v>0.9993155373</v>
      </c>
      <c r="J151" s="26">
        <f t="shared" si="3"/>
        <v>79.00068446</v>
      </c>
      <c r="K151" s="9">
        <f t="shared" si="4"/>
        <v>6.814510609</v>
      </c>
      <c r="L151" s="27" t="s">
        <v>1823</v>
      </c>
      <c r="M151" s="28">
        <v>43279.0</v>
      </c>
      <c r="N151" s="16" t="s">
        <v>241</v>
      </c>
      <c r="O151" s="8" t="s">
        <v>1824</v>
      </c>
      <c r="P151" s="1">
        <v>0.0</v>
      </c>
      <c r="Q151" s="1">
        <v>0.0</v>
      </c>
      <c r="R151" s="1">
        <v>0.0</v>
      </c>
      <c r="S151" s="1">
        <v>0.0</v>
      </c>
      <c r="T151" s="16" t="s">
        <v>163</v>
      </c>
      <c r="U151" s="7"/>
      <c r="V151" s="7"/>
    </row>
    <row r="152">
      <c r="A152" s="25">
        <v>45768.0</v>
      </c>
      <c r="B152" s="5" t="s">
        <v>58</v>
      </c>
      <c r="C152" s="5">
        <v>151.0</v>
      </c>
      <c r="D152" s="17" t="s">
        <v>1825</v>
      </c>
      <c r="E152" s="1">
        <f>IFERROR(__xludf.DUMMYFUNCTION("IF(D152="""", 0, COUNTA(SPLIT(D152, "" "")))"),2.0)</f>
        <v>2</v>
      </c>
      <c r="F152" s="8" t="s">
        <v>1826</v>
      </c>
      <c r="G152" s="12">
        <v>18165.0</v>
      </c>
      <c r="H152" s="26">
        <f t="shared" si="1"/>
        <v>0</v>
      </c>
      <c r="I152" s="26">
        <f t="shared" si="2"/>
        <v>4.427104723</v>
      </c>
      <c r="J152" s="26">
        <f t="shared" si="3"/>
        <v>75.57289528</v>
      </c>
      <c r="K152" s="9">
        <f t="shared" si="4"/>
        <v>6.814510609</v>
      </c>
      <c r="L152" s="27" t="s">
        <v>1827</v>
      </c>
      <c r="M152" s="28">
        <v>43279.0</v>
      </c>
      <c r="N152" s="16" t="s">
        <v>241</v>
      </c>
      <c r="O152" s="8" t="s">
        <v>1828</v>
      </c>
      <c r="P152" s="1">
        <v>0.0</v>
      </c>
      <c r="Q152" s="1">
        <v>0.0</v>
      </c>
      <c r="R152" s="1">
        <v>0.0</v>
      </c>
      <c r="S152" s="1">
        <v>0.0</v>
      </c>
      <c r="T152" s="16" t="s">
        <v>1829</v>
      </c>
      <c r="U152" s="16"/>
      <c r="V152" s="16"/>
    </row>
    <row r="153">
      <c r="A153" s="25">
        <v>45768.0</v>
      </c>
      <c r="B153" s="5" t="s">
        <v>58</v>
      </c>
      <c r="C153" s="5">
        <v>152.0</v>
      </c>
      <c r="D153" s="17" t="s">
        <v>1830</v>
      </c>
      <c r="E153" s="1">
        <f>IFERROR(__xludf.DUMMYFUNCTION("IF(D153="""", 0, COUNTA(SPLIT(D153, "" "")))"),3.0)</f>
        <v>3</v>
      </c>
      <c r="F153" s="8" t="s">
        <v>1831</v>
      </c>
      <c r="G153" s="12">
        <v>16170.0</v>
      </c>
      <c r="H153" s="26">
        <f t="shared" si="1"/>
        <v>1.034907598</v>
      </c>
      <c r="I153" s="26">
        <f t="shared" si="2"/>
        <v>0</v>
      </c>
      <c r="J153" s="26">
        <f t="shared" si="3"/>
        <v>81.0349076</v>
      </c>
      <c r="K153" s="9">
        <f t="shared" si="4"/>
        <v>6.814510609</v>
      </c>
      <c r="L153" s="27" t="s">
        <v>1832</v>
      </c>
      <c r="M153" s="28">
        <v>43279.0</v>
      </c>
      <c r="N153" s="16" t="s">
        <v>241</v>
      </c>
      <c r="O153" s="8" t="s">
        <v>1833</v>
      </c>
      <c r="P153" s="1">
        <v>0.0</v>
      </c>
      <c r="Q153" s="1">
        <v>0.0</v>
      </c>
      <c r="R153" s="1">
        <v>0.0</v>
      </c>
      <c r="S153" s="1">
        <v>0.0</v>
      </c>
      <c r="T153" s="16" t="s">
        <v>1834</v>
      </c>
      <c r="U153" s="16"/>
      <c r="V153" s="16"/>
    </row>
    <row r="154">
      <c r="A154" s="25">
        <v>45768.0</v>
      </c>
      <c r="B154" s="5" t="s">
        <v>58</v>
      </c>
      <c r="C154" s="5">
        <v>153.0</v>
      </c>
      <c r="D154" s="17" t="s">
        <v>1835</v>
      </c>
      <c r="E154" s="1">
        <f>IFERROR(__xludf.DUMMYFUNCTION("IF(D154="""", 0, COUNTA(SPLIT(D154, "" "")))"),3.0)</f>
        <v>3</v>
      </c>
      <c r="F154" s="8" t="s">
        <v>1836</v>
      </c>
      <c r="G154" s="12">
        <v>15587.0</v>
      </c>
      <c r="H154" s="26">
        <f t="shared" si="1"/>
        <v>2.631074606</v>
      </c>
      <c r="I154" s="26">
        <f t="shared" si="2"/>
        <v>0</v>
      </c>
      <c r="J154" s="26">
        <f t="shared" si="3"/>
        <v>82.63107461</v>
      </c>
      <c r="K154" s="9">
        <f t="shared" si="4"/>
        <v>6.814510609</v>
      </c>
      <c r="L154" s="27" t="s">
        <v>1837</v>
      </c>
      <c r="M154" s="28">
        <v>43279.0</v>
      </c>
      <c r="N154" s="16" t="s">
        <v>241</v>
      </c>
      <c r="O154" s="8" t="s">
        <v>1838</v>
      </c>
      <c r="P154" s="1">
        <v>0.0</v>
      </c>
      <c r="Q154" s="1">
        <v>0.0</v>
      </c>
      <c r="R154" s="1">
        <v>0.0</v>
      </c>
      <c r="S154" s="1">
        <v>0.0</v>
      </c>
      <c r="T154" s="16" t="s">
        <v>163</v>
      </c>
      <c r="U154" s="16"/>
      <c r="V154" s="16"/>
    </row>
    <row r="155">
      <c r="A155" s="25">
        <v>45768.0</v>
      </c>
      <c r="B155" s="5" t="s">
        <v>58</v>
      </c>
      <c r="C155" s="5">
        <v>154.0</v>
      </c>
      <c r="D155" s="8" t="s">
        <v>1839</v>
      </c>
      <c r="E155" s="1">
        <f>IFERROR(__xludf.DUMMYFUNCTION("IF(D155="""", 0, COUNTA(SPLIT(D155, "" "")))"),3.0)</f>
        <v>3</v>
      </c>
      <c r="F155" s="8" t="s">
        <v>1840</v>
      </c>
      <c r="G155" s="12">
        <v>19728.0</v>
      </c>
      <c r="H155" s="26">
        <f t="shared" si="1"/>
        <v>0</v>
      </c>
      <c r="I155" s="26">
        <f t="shared" si="2"/>
        <v>8.706365503</v>
      </c>
      <c r="J155" s="26">
        <f t="shared" si="3"/>
        <v>71.2936345</v>
      </c>
      <c r="K155" s="9">
        <f t="shared" si="4"/>
        <v>6.814510609</v>
      </c>
      <c r="L155" s="27" t="s">
        <v>1841</v>
      </c>
      <c r="M155" s="28">
        <v>43279.0</v>
      </c>
      <c r="N155" s="16" t="s">
        <v>241</v>
      </c>
      <c r="O155" s="8" t="s">
        <v>1842</v>
      </c>
      <c r="P155" s="1">
        <v>0.0</v>
      </c>
      <c r="Q155" s="1">
        <v>0.0</v>
      </c>
      <c r="R155" s="1">
        <v>0.0</v>
      </c>
      <c r="S155" s="1">
        <v>0.0</v>
      </c>
      <c r="T155" s="16" t="s">
        <v>27</v>
      </c>
      <c r="U155" s="16"/>
      <c r="V155" s="16"/>
    </row>
    <row r="156">
      <c r="A156" s="25">
        <v>45768.0</v>
      </c>
      <c r="B156" s="5" t="s">
        <v>58</v>
      </c>
      <c r="C156" s="5">
        <v>155.0</v>
      </c>
      <c r="D156" s="8" t="s">
        <v>1843</v>
      </c>
      <c r="E156" s="1">
        <f>IFERROR(__xludf.DUMMYFUNCTION("IF(D156="""", 0, COUNTA(SPLIT(D156, "" "")))"),2.0)</f>
        <v>2</v>
      </c>
      <c r="F156" s="8" t="s">
        <v>1844</v>
      </c>
      <c r="G156" s="12">
        <v>16639.0</v>
      </c>
      <c r="H156" s="26">
        <f t="shared" si="1"/>
        <v>0</v>
      </c>
      <c r="I156" s="26">
        <f t="shared" si="2"/>
        <v>0.2491444216</v>
      </c>
      <c r="J156" s="26">
        <f t="shared" si="3"/>
        <v>79.75085558</v>
      </c>
      <c r="K156" s="9">
        <f t="shared" si="4"/>
        <v>6.814510609</v>
      </c>
      <c r="L156" s="27" t="s">
        <v>1845</v>
      </c>
      <c r="M156" s="28">
        <v>43279.0</v>
      </c>
      <c r="N156" s="16" t="s">
        <v>241</v>
      </c>
      <c r="O156" s="8" t="s">
        <v>1846</v>
      </c>
      <c r="P156" s="1">
        <v>0.0</v>
      </c>
      <c r="Q156" s="1">
        <v>0.0</v>
      </c>
      <c r="R156" s="1">
        <v>0.0</v>
      </c>
      <c r="S156" s="1">
        <v>0.0</v>
      </c>
      <c r="T156" s="16" t="s">
        <v>1059</v>
      </c>
      <c r="U156" s="16"/>
      <c r="V156" s="16"/>
    </row>
    <row r="157">
      <c r="A157" s="25">
        <v>45768.0</v>
      </c>
      <c r="B157" s="5" t="s">
        <v>58</v>
      </c>
      <c r="C157" s="5">
        <v>156.0</v>
      </c>
      <c r="D157" s="8" t="s">
        <v>1847</v>
      </c>
      <c r="E157" s="1">
        <f>IFERROR(__xludf.DUMMYFUNCTION("IF(D157="""", 0, COUNTA(SPLIT(D157, "" "")))"),2.0)</f>
        <v>2</v>
      </c>
      <c r="F157" s="8" t="s">
        <v>1848</v>
      </c>
      <c r="G157" s="12">
        <v>17292.0</v>
      </c>
      <c r="H157" s="26">
        <f t="shared" si="1"/>
        <v>0</v>
      </c>
      <c r="I157" s="26">
        <f t="shared" si="2"/>
        <v>2.036960986</v>
      </c>
      <c r="J157" s="26">
        <f t="shared" si="3"/>
        <v>77.96303901</v>
      </c>
      <c r="K157" s="9">
        <f t="shared" si="4"/>
        <v>6.814510609</v>
      </c>
      <c r="L157" s="27" t="s">
        <v>1849</v>
      </c>
      <c r="M157" s="28">
        <v>43279.0</v>
      </c>
      <c r="N157" s="16" t="s">
        <v>241</v>
      </c>
      <c r="O157" s="8" t="s">
        <v>1850</v>
      </c>
      <c r="P157" s="1">
        <v>0.0</v>
      </c>
      <c r="Q157" s="1">
        <v>0.0</v>
      </c>
      <c r="R157" s="1">
        <v>0.0</v>
      </c>
      <c r="S157" s="1">
        <v>0.0</v>
      </c>
      <c r="T157" s="16" t="s">
        <v>218</v>
      </c>
      <c r="U157" s="16"/>
      <c r="V157" s="16"/>
    </row>
    <row r="158">
      <c r="A158" s="25">
        <v>45768.0</v>
      </c>
      <c r="B158" s="5" t="s">
        <v>58</v>
      </c>
      <c r="C158" s="5">
        <v>157.0</v>
      </c>
      <c r="D158" s="17" t="s">
        <v>1851</v>
      </c>
      <c r="E158" s="1">
        <f>IFERROR(__xludf.DUMMYFUNCTION("IF(D158="""", 0, COUNTA(SPLIT(D158, "" "")))"),2.0)</f>
        <v>2</v>
      </c>
      <c r="F158" s="8" t="s">
        <v>1852</v>
      </c>
      <c r="G158" s="12">
        <v>16114.0</v>
      </c>
      <c r="H158" s="26">
        <f t="shared" si="1"/>
        <v>1.188227242</v>
      </c>
      <c r="I158" s="26">
        <f t="shared" si="2"/>
        <v>0</v>
      </c>
      <c r="J158" s="26">
        <f t="shared" si="3"/>
        <v>81.18822724</v>
      </c>
      <c r="K158" s="9">
        <f t="shared" si="4"/>
        <v>6.814510609</v>
      </c>
      <c r="L158" s="27" t="s">
        <v>1853</v>
      </c>
      <c r="M158" s="28">
        <v>43279.0</v>
      </c>
      <c r="N158" s="16" t="s">
        <v>241</v>
      </c>
      <c r="O158" s="8" t="s">
        <v>1854</v>
      </c>
      <c r="P158" s="1">
        <v>0.0</v>
      </c>
      <c r="Q158" s="1">
        <v>0.0</v>
      </c>
      <c r="R158" s="1">
        <v>0.0</v>
      </c>
      <c r="S158" s="1">
        <v>0.0</v>
      </c>
      <c r="T158" s="16" t="s">
        <v>163</v>
      </c>
      <c r="U158" s="16"/>
      <c r="V158" s="16"/>
    </row>
    <row r="159">
      <c r="A159" s="25">
        <v>45768.0</v>
      </c>
      <c r="B159" s="5" t="s">
        <v>58</v>
      </c>
      <c r="C159" s="5">
        <v>158.0</v>
      </c>
      <c r="D159" s="8" t="s">
        <v>1855</v>
      </c>
      <c r="E159" s="1">
        <f>IFERROR(__xludf.DUMMYFUNCTION("IF(D159="""", 0, COUNTA(SPLIT(D159, "" "")))"),2.0)</f>
        <v>2</v>
      </c>
      <c r="F159" s="8" t="s">
        <v>1856</v>
      </c>
      <c r="G159" s="12">
        <v>19888.0</v>
      </c>
      <c r="H159" s="26">
        <f t="shared" si="1"/>
        <v>0</v>
      </c>
      <c r="I159" s="26">
        <f t="shared" si="2"/>
        <v>9.144421629</v>
      </c>
      <c r="J159" s="26">
        <f t="shared" si="3"/>
        <v>70.85557837</v>
      </c>
      <c r="K159" s="9">
        <f t="shared" si="4"/>
        <v>5.544147844</v>
      </c>
      <c r="L159" s="27" t="s">
        <v>1857</v>
      </c>
      <c r="M159" s="28">
        <v>43743.0</v>
      </c>
      <c r="N159" s="16" t="s">
        <v>241</v>
      </c>
      <c r="O159" s="8" t="s">
        <v>1858</v>
      </c>
      <c r="P159" s="1">
        <v>0.0</v>
      </c>
      <c r="Q159" s="1">
        <v>0.0</v>
      </c>
      <c r="R159" s="1">
        <v>0.0</v>
      </c>
      <c r="S159" s="1">
        <v>0.0</v>
      </c>
      <c r="T159" s="16" t="s">
        <v>656</v>
      </c>
      <c r="U159" s="16"/>
      <c r="V159" s="16"/>
    </row>
    <row r="160">
      <c r="A160" s="25">
        <v>45768.0</v>
      </c>
      <c r="B160" s="5" t="s">
        <v>58</v>
      </c>
      <c r="C160" s="5">
        <v>159.0</v>
      </c>
      <c r="D160" s="8" t="s">
        <v>1859</v>
      </c>
      <c r="E160" s="1">
        <f>IFERROR(__xludf.DUMMYFUNCTION("IF(D160="""", 0, COUNTA(SPLIT(D160, "" "")))"),2.0)</f>
        <v>2</v>
      </c>
      <c r="F160" s="8" t="s">
        <v>1860</v>
      </c>
      <c r="G160" s="12">
        <v>17764.0</v>
      </c>
      <c r="H160" s="26">
        <f t="shared" si="1"/>
        <v>0</v>
      </c>
      <c r="I160" s="26">
        <f t="shared" si="2"/>
        <v>3.329226557</v>
      </c>
      <c r="J160" s="26">
        <f t="shared" si="3"/>
        <v>76.67077344</v>
      </c>
      <c r="K160" s="9">
        <f t="shared" si="4"/>
        <v>5.544147844</v>
      </c>
      <c r="L160" s="27" t="s">
        <v>1861</v>
      </c>
      <c r="M160" s="28">
        <v>43743.0</v>
      </c>
      <c r="N160" s="16" t="s">
        <v>241</v>
      </c>
      <c r="O160" s="8" t="s">
        <v>1862</v>
      </c>
      <c r="P160" s="1">
        <v>0.0</v>
      </c>
      <c r="Q160" s="1">
        <v>0.0</v>
      </c>
      <c r="R160" s="1">
        <v>0.0</v>
      </c>
      <c r="S160" s="1">
        <v>0.0</v>
      </c>
      <c r="T160" s="16" t="s">
        <v>27</v>
      </c>
      <c r="U160" s="16"/>
      <c r="V160" s="16"/>
    </row>
    <row r="161">
      <c r="A161" s="25">
        <v>45768.0</v>
      </c>
      <c r="B161" s="5" t="s">
        <v>58</v>
      </c>
      <c r="C161" s="5">
        <v>160.0</v>
      </c>
      <c r="D161" s="8" t="s">
        <v>1863</v>
      </c>
      <c r="E161" s="1">
        <f>IFERROR(__xludf.DUMMYFUNCTION("IF(D161="""", 0, COUNTA(SPLIT(D161, "" "")))"),4.0)</f>
        <v>4</v>
      </c>
      <c r="F161" s="8" t="s">
        <v>1864</v>
      </c>
      <c r="G161" s="12">
        <v>17960.0</v>
      </c>
      <c r="H161" s="26">
        <f t="shared" si="1"/>
        <v>0</v>
      </c>
      <c r="I161" s="26">
        <f t="shared" si="2"/>
        <v>3.865845311</v>
      </c>
      <c r="J161" s="26">
        <f t="shared" si="3"/>
        <v>76.13415469</v>
      </c>
      <c r="K161" s="9">
        <f t="shared" si="4"/>
        <v>5.544147844</v>
      </c>
      <c r="L161" s="27" t="s">
        <v>1865</v>
      </c>
      <c r="M161" s="28">
        <v>43743.0</v>
      </c>
      <c r="N161" s="16" t="s">
        <v>241</v>
      </c>
      <c r="O161" s="8" t="s">
        <v>1866</v>
      </c>
      <c r="P161" s="1">
        <v>0.0</v>
      </c>
      <c r="Q161" s="1">
        <v>0.0</v>
      </c>
      <c r="R161" s="1">
        <v>0.0</v>
      </c>
      <c r="S161" s="1">
        <v>0.0</v>
      </c>
      <c r="T161" s="16" t="s">
        <v>626</v>
      </c>
      <c r="U161" s="16"/>
      <c r="V161" s="16"/>
    </row>
    <row r="162">
      <c r="A162" s="25">
        <v>45768.0</v>
      </c>
      <c r="B162" s="5" t="s">
        <v>58</v>
      </c>
      <c r="C162" s="5">
        <v>161.0</v>
      </c>
      <c r="D162" s="17" t="s">
        <v>1867</v>
      </c>
      <c r="E162" s="1">
        <f>IFERROR(__xludf.DUMMYFUNCTION("IF(D162="""", 0, COUNTA(SPLIT(D162, "" "")))"),3.0)</f>
        <v>3</v>
      </c>
      <c r="F162" s="8" t="s">
        <v>1868</v>
      </c>
      <c r="G162" s="12">
        <v>13630.0</v>
      </c>
      <c r="H162" s="26">
        <f t="shared" si="1"/>
        <v>7.989048597</v>
      </c>
      <c r="I162" s="26">
        <f t="shared" si="2"/>
        <v>0</v>
      </c>
      <c r="J162" s="26">
        <f t="shared" si="3"/>
        <v>87.9890486</v>
      </c>
      <c r="K162" s="9">
        <f t="shared" si="4"/>
        <v>5.544147844</v>
      </c>
      <c r="L162" s="27" t="s">
        <v>1869</v>
      </c>
      <c r="M162" s="28">
        <v>43743.0</v>
      </c>
      <c r="N162" s="16" t="s">
        <v>241</v>
      </c>
      <c r="O162" s="8" t="s">
        <v>1870</v>
      </c>
      <c r="P162" s="1">
        <v>0.0</v>
      </c>
      <c r="Q162" s="1">
        <v>0.0</v>
      </c>
      <c r="R162" s="1">
        <v>0.0</v>
      </c>
      <c r="S162" s="1">
        <v>0.0</v>
      </c>
      <c r="T162" s="16" t="s">
        <v>1871</v>
      </c>
      <c r="U162" s="16"/>
      <c r="V162" s="16"/>
    </row>
    <row r="163">
      <c r="A163" s="25">
        <v>45768.0</v>
      </c>
      <c r="B163" s="5" t="s">
        <v>58</v>
      </c>
      <c r="C163" s="5">
        <v>162.0</v>
      </c>
      <c r="D163" s="8" t="s">
        <v>1872</v>
      </c>
      <c r="E163" s="1">
        <f>IFERROR(__xludf.DUMMYFUNCTION("IF(D163="""", 0, COUNTA(SPLIT(D163, "" "")))"),3.0)</f>
        <v>3</v>
      </c>
      <c r="F163" s="8" t="s">
        <v>1873</v>
      </c>
      <c r="G163" s="12">
        <v>18453.0</v>
      </c>
      <c r="H163" s="26">
        <f t="shared" si="1"/>
        <v>0</v>
      </c>
      <c r="I163" s="26">
        <f t="shared" si="2"/>
        <v>5.215605749</v>
      </c>
      <c r="J163" s="26">
        <f t="shared" si="3"/>
        <v>74.78439425</v>
      </c>
      <c r="K163" s="9">
        <f t="shared" si="4"/>
        <v>5.544147844</v>
      </c>
      <c r="L163" s="27" t="s">
        <v>1874</v>
      </c>
      <c r="M163" s="28">
        <v>43743.0</v>
      </c>
      <c r="N163" s="16" t="s">
        <v>241</v>
      </c>
      <c r="O163" s="8" t="s">
        <v>1875</v>
      </c>
      <c r="P163" s="1">
        <v>0.0</v>
      </c>
      <c r="Q163" s="1">
        <v>0.0</v>
      </c>
      <c r="R163" s="1">
        <v>0.0</v>
      </c>
      <c r="S163" s="1">
        <v>0.0</v>
      </c>
      <c r="T163" s="16" t="s">
        <v>630</v>
      </c>
      <c r="U163" s="16"/>
      <c r="V163" s="16"/>
    </row>
    <row r="164">
      <c r="A164" s="25">
        <v>45768.0</v>
      </c>
      <c r="B164" s="5" t="s">
        <v>58</v>
      </c>
      <c r="C164" s="5">
        <v>163.0</v>
      </c>
      <c r="D164" s="8" t="s">
        <v>1876</v>
      </c>
      <c r="E164" s="1">
        <f>IFERROR(__xludf.DUMMYFUNCTION("IF(D164="""", 0, COUNTA(SPLIT(D164, "" "")))"),3.0)</f>
        <v>3</v>
      </c>
      <c r="F164" s="8" t="s">
        <v>1877</v>
      </c>
      <c r="G164" s="12">
        <v>17725.0</v>
      </c>
      <c r="H164" s="26">
        <f t="shared" si="1"/>
        <v>0</v>
      </c>
      <c r="I164" s="26">
        <f t="shared" si="2"/>
        <v>3.222450376</v>
      </c>
      <c r="J164" s="26">
        <f t="shared" si="3"/>
        <v>76.77754962</v>
      </c>
      <c r="K164" s="9">
        <f t="shared" si="4"/>
        <v>5.544147844</v>
      </c>
      <c r="L164" s="27" t="s">
        <v>1878</v>
      </c>
      <c r="M164" s="28">
        <v>43743.0</v>
      </c>
      <c r="N164" s="16" t="s">
        <v>241</v>
      </c>
      <c r="O164" s="8" t="s">
        <v>1879</v>
      </c>
      <c r="P164" s="1">
        <v>0.0</v>
      </c>
      <c r="Q164" s="1">
        <v>0.0</v>
      </c>
      <c r="R164" s="1">
        <v>0.0</v>
      </c>
      <c r="S164" s="1">
        <v>0.0</v>
      </c>
      <c r="T164" s="16" t="s">
        <v>163</v>
      </c>
      <c r="U164" s="16"/>
      <c r="V164" s="16"/>
    </row>
    <row r="165">
      <c r="A165" s="25">
        <v>45768.0</v>
      </c>
      <c r="B165" s="5" t="s">
        <v>58</v>
      </c>
      <c r="C165" s="5">
        <v>164.0</v>
      </c>
      <c r="D165" s="17" t="s">
        <v>1880</v>
      </c>
      <c r="E165" s="1">
        <f>IFERROR(__xludf.DUMMYFUNCTION("IF(D165="""", 0, COUNTA(SPLIT(D165, "" "")))"),3.0)</f>
        <v>3</v>
      </c>
      <c r="F165" s="8" t="s">
        <v>1881</v>
      </c>
      <c r="G165" s="12">
        <v>21939.0</v>
      </c>
      <c r="H165" s="26">
        <f t="shared" si="1"/>
        <v>0</v>
      </c>
      <c r="I165" s="26">
        <f t="shared" si="2"/>
        <v>14.75975359</v>
      </c>
      <c r="J165" s="26">
        <f t="shared" si="3"/>
        <v>65.24024641</v>
      </c>
      <c r="K165" s="9">
        <f t="shared" si="4"/>
        <v>5.544147844</v>
      </c>
      <c r="L165" s="27" t="s">
        <v>1882</v>
      </c>
      <c r="M165" s="28">
        <v>43743.0</v>
      </c>
      <c r="N165" s="16" t="s">
        <v>241</v>
      </c>
      <c r="O165" s="8" t="s">
        <v>1883</v>
      </c>
      <c r="P165" s="1">
        <v>0.0</v>
      </c>
      <c r="Q165" s="1">
        <v>1.0</v>
      </c>
      <c r="R165" s="1">
        <v>0.0</v>
      </c>
      <c r="S165" s="1">
        <v>0.0</v>
      </c>
      <c r="T165" s="16" t="s">
        <v>360</v>
      </c>
      <c r="U165" s="16"/>
      <c r="V165" s="16"/>
    </row>
    <row r="166">
      <c r="A166" s="25">
        <v>45768.0</v>
      </c>
      <c r="B166" s="5" t="s">
        <v>58</v>
      </c>
      <c r="C166" s="5">
        <v>165.0</v>
      </c>
      <c r="D166" s="17" t="s">
        <v>1884</v>
      </c>
      <c r="E166" s="1">
        <f>IFERROR(__xludf.DUMMYFUNCTION("IF(D166="""", 0, COUNTA(SPLIT(D166, "" "")))"),2.0)</f>
        <v>2</v>
      </c>
      <c r="F166" s="8" t="s">
        <v>1885</v>
      </c>
      <c r="G166" s="12">
        <v>21406.0</v>
      </c>
      <c r="H166" s="26">
        <f t="shared" si="1"/>
        <v>0</v>
      </c>
      <c r="I166" s="26">
        <f t="shared" si="2"/>
        <v>13.30047912</v>
      </c>
      <c r="J166" s="26">
        <f t="shared" si="3"/>
        <v>66.69952088</v>
      </c>
      <c r="K166" s="9">
        <f t="shared" si="4"/>
        <v>5.544147844</v>
      </c>
      <c r="L166" s="27" t="s">
        <v>1886</v>
      </c>
      <c r="M166" s="28">
        <v>43743.0</v>
      </c>
      <c r="N166" s="16" t="s">
        <v>241</v>
      </c>
      <c r="O166" s="8" t="s">
        <v>1887</v>
      </c>
      <c r="P166" s="1">
        <v>0.0</v>
      </c>
      <c r="Q166" s="1">
        <v>0.0</v>
      </c>
      <c r="R166" s="1">
        <v>0.0</v>
      </c>
      <c r="S166" s="1">
        <v>0.0</v>
      </c>
      <c r="T166" s="16" t="s">
        <v>1888</v>
      </c>
      <c r="U166" s="16"/>
      <c r="V166" s="16"/>
    </row>
    <row r="167">
      <c r="A167" s="25">
        <v>45768.0</v>
      </c>
      <c r="B167" s="5" t="s">
        <v>58</v>
      </c>
      <c r="C167" s="5">
        <v>166.0</v>
      </c>
      <c r="D167" s="8" t="s">
        <v>1889</v>
      </c>
      <c r="E167" s="1">
        <f>IFERROR(__xludf.DUMMYFUNCTION("IF(D167="""", 0, COUNTA(SPLIT(D167, "" "")))"),4.0)</f>
        <v>4</v>
      </c>
      <c r="F167" s="8" t="s">
        <v>1890</v>
      </c>
      <c r="G167" s="12">
        <v>17364.0</v>
      </c>
      <c r="H167" s="26">
        <f t="shared" si="1"/>
        <v>0</v>
      </c>
      <c r="I167" s="26">
        <f t="shared" si="2"/>
        <v>2.234086242</v>
      </c>
      <c r="J167" s="26">
        <f t="shared" si="3"/>
        <v>77.76591376</v>
      </c>
      <c r="K167" s="9">
        <f t="shared" si="4"/>
        <v>4.394250513</v>
      </c>
      <c r="L167" s="27" t="s">
        <v>1891</v>
      </c>
      <c r="M167" s="28">
        <v>44163.0</v>
      </c>
      <c r="N167" s="16" t="s">
        <v>241</v>
      </c>
      <c r="O167" s="8" t="s">
        <v>1892</v>
      </c>
      <c r="P167" s="1">
        <v>0.0</v>
      </c>
      <c r="Q167" s="1">
        <v>0.0</v>
      </c>
      <c r="R167" s="1">
        <v>0.0</v>
      </c>
      <c r="S167" s="1">
        <v>0.0</v>
      </c>
      <c r="T167" s="16" t="s">
        <v>163</v>
      </c>
      <c r="U167" s="16"/>
      <c r="V167" s="16"/>
    </row>
    <row r="168">
      <c r="A168" s="25">
        <v>45768.0</v>
      </c>
      <c r="B168" s="5" t="s">
        <v>58</v>
      </c>
      <c r="C168" s="5">
        <v>167.0</v>
      </c>
      <c r="D168" s="8" t="s">
        <v>1893</v>
      </c>
      <c r="E168" s="1">
        <f>IFERROR(__xludf.DUMMYFUNCTION("IF(D168="""", 0, COUNTA(SPLIT(D168, "" "")))"),2.0)</f>
        <v>2</v>
      </c>
      <c r="F168" s="8" t="s">
        <v>1894</v>
      </c>
      <c r="G168" s="12">
        <v>20373.0</v>
      </c>
      <c r="H168" s="26">
        <f t="shared" si="1"/>
        <v>0</v>
      </c>
      <c r="I168" s="26">
        <f t="shared" si="2"/>
        <v>10.47227926</v>
      </c>
      <c r="J168" s="26">
        <f t="shared" si="3"/>
        <v>69.52772074</v>
      </c>
      <c r="K168" s="9">
        <f t="shared" si="4"/>
        <v>4.394250513</v>
      </c>
      <c r="L168" s="27" t="s">
        <v>1895</v>
      </c>
      <c r="M168" s="28">
        <v>44163.0</v>
      </c>
      <c r="N168" s="16" t="s">
        <v>241</v>
      </c>
      <c r="O168" s="8" t="s">
        <v>1896</v>
      </c>
      <c r="P168" s="1">
        <v>0.0</v>
      </c>
      <c r="Q168" s="1">
        <v>1.0</v>
      </c>
      <c r="R168" s="1">
        <v>1.0</v>
      </c>
      <c r="S168" s="1">
        <v>0.1163</v>
      </c>
      <c r="T168" s="16" t="s">
        <v>27</v>
      </c>
      <c r="U168" s="16"/>
      <c r="V168" s="16"/>
    </row>
    <row r="169">
      <c r="A169" s="25">
        <v>45768.0</v>
      </c>
      <c r="B169" s="5" t="s">
        <v>58</v>
      </c>
      <c r="C169" s="5">
        <v>168.0</v>
      </c>
      <c r="D169" s="17" t="s">
        <v>1897</v>
      </c>
      <c r="E169" s="1">
        <f>IFERROR(__xludf.DUMMYFUNCTION("IF(D169="""", 0, COUNTA(SPLIT(D169, "" "")))"),3.0)</f>
        <v>3</v>
      </c>
      <c r="F169" s="8" t="s">
        <v>1898</v>
      </c>
      <c r="G169" s="12">
        <v>19133.0</v>
      </c>
      <c r="H169" s="26">
        <f t="shared" si="1"/>
        <v>0</v>
      </c>
      <c r="I169" s="26">
        <f t="shared" si="2"/>
        <v>7.077344285</v>
      </c>
      <c r="J169" s="26">
        <f t="shared" si="3"/>
        <v>72.92265572</v>
      </c>
      <c r="K169" s="9">
        <f t="shared" si="4"/>
        <v>4.394250513</v>
      </c>
      <c r="L169" s="27" t="s">
        <v>1899</v>
      </c>
      <c r="M169" s="28">
        <v>44163.0</v>
      </c>
      <c r="N169" s="16" t="s">
        <v>241</v>
      </c>
      <c r="O169" s="8" t="s">
        <v>1900</v>
      </c>
      <c r="P169" s="1">
        <v>0.0</v>
      </c>
      <c r="Q169" s="1">
        <v>0.0</v>
      </c>
      <c r="R169" s="1">
        <v>0.0</v>
      </c>
      <c r="S169" s="1">
        <v>0.0</v>
      </c>
      <c r="T169" s="16" t="s">
        <v>163</v>
      </c>
      <c r="U169" s="16"/>
      <c r="V169" s="16"/>
    </row>
    <row r="170">
      <c r="A170" s="25">
        <v>45768.0</v>
      </c>
      <c r="B170" s="5" t="s">
        <v>58</v>
      </c>
      <c r="C170" s="5">
        <v>169.0</v>
      </c>
      <c r="D170" s="17" t="s">
        <v>1901</v>
      </c>
      <c r="E170" s="1">
        <f>IFERROR(__xludf.DUMMYFUNCTION("IF(D170="""", 0, COUNTA(SPLIT(D170, "" "")))"),2.0)</f>
        <v>2</v>
      </c>
      <c r="F170" s="8" t="s">
        <v>1902</v>
      </c>
      <c r="G170" s="12">
        <v>14191.0</v>
      </c>
      <c r="H170" s="26">
        <f t="shared" si="1"/>
        <v>6.453114305</v>
      </c>
      <c r="I170" s="26">
        <f t="shared" si="2"/>
        <v>0</v>
      </c>
      <c r="J170" s="26">
        <f t="shared" si="3"/>
        <v>86.45311431</v>
      </c>
      <c r="K170" s="9">
        <f t="shared" si="4"/>
        <v>4.394250513</v>
      </c>
      <c r="L170" s="27" t="s">
        <v>1903</v>
      </c>
      <c r="M170" s="28">
        <v>44163.0</v>
      </c>
      <c r="N170" s="16" t="s">
        <v>241</v>
      </c>
      <c r="O170" s="8" t="s">
        <v>1904</v>
      </c>
      <c r="P170" s="1">
        <v>0.0</v>
      </c>
      <c r="Q170" s="1">
        <v>0.0</v>
      </c>
      <c r="R170" s="1">
        <v>0.0</v>
      </c>
      <c r="S170" s="1">
        <v>0.0</v>
      </c>
      <c r="T170" s="16" t="s">
        <v>222</v>
      </c>
      <c r="U170" s="16"/>
      <c r="V170" s="16"/>
    </row>
    <row r="171">
      <c r="A171" s="25">
        <v>45768.0</v>
      </c>
      <c r="B171" s="5" t="s">
        <v>58</v>
      </c>
      <c r="C171" s="5">
        <v>170.0</v>
      </c>
      <c r="D171" s="8" t="s">
        <v>1905</v>
      </c>
      <c r="E171" s="1">
        <f>IFERROR(__xludf.DUMMYFUNCTION("IF(D171="""", 0, COUNTA(SPLIT(D171, "" "")))"),2.0)</f>
        <v>2</v>
      </c>
      <c r="F171" s="8" t="s">
        <v>1906</v>
      </c>
      <c r="G171" s="12">
        <v>21499.0</v>
      </c>
      <c r="H171" s="26">
        <f t="shared" si="1"/>
        <v>0</v>
      </c>
      <c r="I171" s="26">
        <f t="shared" si="2"/>
        <v>13.55509925</v>
      </c>
      <c r="J171" s="26">
        <f t="shared" si="3"/>
        <v>66.44490075</v>
      </c>
      <c r="K171" s="9">
        <f t="shared" si="4"/>
        <v>4.394250513</v>
      </c>
      <c r="L171" s="27" t="s">
        <v>1907</v>
      </c>
      <c r="M171" s="28">
        <v>44163.0</v>
      </c>
      <c r="N171" s="16" t="s">
        <v>241</v>
      </c>
      <c r="O171" s="8" t="s">
        <v>1908</v>
      </c>
      <c r="P171" s="1">
        <v>0.0</v>
      </c>
      <c r="Q171" s="1">
        <v>0.0</v>
      </c>
      <c r="R171" s="1">
        <v>0.0</v>
      </c>
      <c r="S171" s="1">
        <v>0.0</v>
      </c>
      <c r="T171" s="16" t="s">
        <v>1909</v>
      </c>
      <c r="U171" s="16"/>
      <c r="V171" s="16"/>
    </row>
    <row r="172">
      <c r="A172" s="25">
        <v>45768.0</v>
      </c>
      <c r="B172" s="5" t="s">
        <v>58</v>
      </c>
      <c r="C172" s="5">
        <v>171.0</v>
      </c>
      <c r="D172" s="8" t="s">
        <v>1910</v>
      </c>
      <c r="E172" s="1">
        <f>IFERROR(__xludf.DUMMYFUNCTION("IF(D172="""", 0, COUNTA(SPLIT(D172, "" "")))"),3.0)</f>
        <v>3</v>
      </c>
      <c r="F172" s="8" t="s">
        <v>1911</v>
      </c>
      <c r="G172" s="12">
        <v>17508.0</v>
      </c>
      <c r="H172" s="26">
        <f t="shared" si="1"/>
        <v>0</v>
      </c>
      <c r="I172" s="26">
        <f t="shared" si="2"/>
        <v>2.628336756</v>
      </c>
      <c r="J172" s="26">
        <f t="shared" si="3"/>
        <v>77.37166324</v>
      </c>
      <c r="K172" s="9">
        <f t="shared" si="4"/>
        <v>4.394250513</v>
      </c>
      <c r="L172" s="27" t="s">
        <v>1912</v>
      </c>
      <c r="M172" s="28">
        <v>44163.0</v>
      </c>
      <c r="N172" s="16" t="s">
        <v>241</v>
      </c>
      <c r="O172" s="8" t="s">
        <v>1913</v>
      </c>
      <c r="P172" s="1">
        <v>0.0</v>
      </c>
      <c r="Q172" s="1">
        <v>0.0</v>
      </c>
      <c r="R172" s="1">
        <v>0.0</v>
      </c>
      <c r="S172" s="1">
        <v>0.0</v>
      </c>
      <c r="T172" s="16" t="s">
        <v>167</v>
      </c>
      <c r="U172" s="16"/>
      <c r="V172" s="16"/>
    </row>
    <row r="173">
      <c r="A173" s="25">
        <v>45768.0</v>
      </c>
      <c r="B173" s="5" t="s">
        <v>58</v>
      </c>
      <c r="C173" s="5">
        <v>172.0</v>
      </c>
      <c r="D173" s="17" t="s">
        <v>1914</v>
      </c>
      <c r="E173" s="1">
        <f>IFERROR(__xludf.DUMMYFUNCTION("IF(D173="""", 0, COUNTA(SPLIT(D173, "" "")))"),2.0)</f>
        <v>2</v>
      </c>
      <c r="F173" s="8" t="s">
        <v>1915</v>
      </c>
      <c r="G173" s="12">
        <v>19083.0</v>
      </c>
      <c r="H173" s="26">
        <f t="shared" si="1"/>
        <v>0</v>
      </c>
      <c r="I173" s="26">
        <f t="shared" si="2"/>
        <v>6.940451745</v>
      </c>
      <c r="J173" s="26">
        <f t="shared" si="3"/>
        <v>73.05954825</v>
      </c>
      <c r="K173" s="9">
        <f t="shared" si="4"/>
        <v>2.650239562</v>
      </c>
      <c r="L173" s="27" t="s">
        <v>1916</v>
      </c>
      <c r="M173" s="28">
        <v>44800.0</v>
      </c>
      <c r="N173" s="16" t="s">
        <v>241</v>
      </c>
      <c r="O173" s="8" t="s">
        <v>1917</v>
      </c>
      <c r="P173" s="1">
        <v>0.0</v>
      </c>
      <c r="Q173" s="1">
        <v>0.0</v>
      </c>
      <c r="R173" s="1">
        <v>0.0</v>
      </c>
      <c r="S173" s="1">
        <v>0.0</v>
      </c>
      <c r="T173" s="16" t="s">
        <v>1918</v>
      </c>
      <c r="U173" s="16"/>
      <c r="V173" s="16"/>
    </row>
    <row r="174">
      <c r="A174" s="25">
        <v>45768.0</v>
      </c>
      <c r="B174" s="5" t="s">
        <v>58</v>
      </c>
      <c r="C174" s="5">
        <v>173.0</v>
      </c>
      <c r="D174" s="17" t="s">
        <v>1919</v>
      </c>
      <c r="E174" s="1">
        <f>IFERROR(__xludf.DUMMYFUNCTION("IF(D174="""", 0, COUNTA(SPLIT(D174, "" "")))"),3.0)</f>
        <v>3</v>
      </c>
      <c r="F174" s="8" t="s">
        <v>1920</v>
      </c>
      <c r="G174" s="12">
        <v>16533.0</v>
      </c>
      <c r="H174" s="26">
        <f t="shared" si="1"/>
        <v>0.04106776181</v>
      </c>
      <c r="I174" s="26">
        <f t="shared" si="2"/>
        <v>0</v>
      </c>
      <c r="J174" s="26">
        <f t="shared" si="3"/>
        <v>80.04106776</v>
      </c>
      <c r="K174" s="9">
        <f t="shared" si="4"/>
        <v>2.650239562</v>
      </c>
      <c r="L174" s="27" t="s">
        <v>1921</v>
      </c>
      <c r="M174" s="28">
        <v>44800.0</v>
      </c>
      <c r="N174" s="16" t="s">
        <v>241</v>
      </c>
      <c r="O174" s="8" t="s">
        <v>1922</v>
      </c>
      <c r="P174" s="1">
        <v>0.0</v>
      </c>
      <c r="Q174" s="1">
        <v>0.0</v>
      </c>
      <c r="R174" s="1">
        <v>0.0</v>
      </c>
      <c r="S174" s="1">
        <v>0.0</v>
      </c>
      <c r="T174" s="16" t="s">
        <v>163</v>
      </c>
      <c r="U174" s="16"/>
      <c r="V174" s="16"/>
    </row>
    <row r="175">
      <c r="A175" s="25">
        <v>45768.0</v>
      </c>
      <c r="B175" s="5" t="s">
        <v>58</v>
      </c>
      <c r="C175" s="5">
        <v>174.0</v>
      </c>
      <c r="D175" s="8" t="s">
        <v>1923</v>
      </c>
      <c r="E175" s="1">
        <f>IFERROR(__xludf.DUMMYFUNCTION("IF(D175="""", 0, COUNTA(SPLIT(D175, "" "")))"),3.0)</f>
        <v>3</v>
      </c>
      <c r="F175" s="8" t="s">
        <v>1924</v>
      </c>
      <c r="G175" s="12">
        <v>23559.0</v>
      </c>
      <c r="H175" s="26">
        <f t="shared" si="1"/>
        <v>0</v>
      </c>
      <c r="I175" s="26">
        <f t="shared" si="2"/>
        <v>19.19507187</v>
      </c>
      <c r="J175" s="26">
        <f t="shared" si="3"/>
        <v>60.80492813</v>
      </c>
      <c r="K175" s="9">
        <f t="shared" si="4"/>
        <v>2.650239562</v>
      </c>
      <c r="L175" s="27" t="s">
        <v>1925</v>
      </c>
      <c r="M175" s="28">
        <v>44800.0</v>
      </c>
      <c r="N175" s="16" t="s">
        <v>241</v>
      </c>
      <c r="O175" s="8" t="s">
        <v>1926</v>
      </c>
      <c r="P175" s="1">
        <v>0.0</v>
      </c>
      <c r="Q175" s="1">
        <v>0.0</v>
      </c>
      <c r="R175" s="1">
        <v>0.0</v>
      </c>
      <c r="S175" s="1">
        <v>0.0</v>
      </c>
      <c r="T175" s="16" t="s">
        <v>27</v>
      </c>
      <c r="U175" s="16"/>
      <c r="V175" s="16"/>
    </row>
    <row r="176">
      <c r="A176" s="25">
        <v>45768.0</v>
      </c>
      <c r="B176" s="5" t="s">
        <v>58</v>
      </c>
      <c r="C176" s="5">
        <v>175.0</v>
      </c>
      <c r="D176" s="17" t="s">
        <v>1927</v>
      </c>
      <c r="E176" s="1">
        <f>IFERROR(__xludf.DUMMYFUNCTION("IF(D176="""", 0, COUNTA(SPLIT(D176, "" "")))"),3.0)</f>
        <v>3</v>
      </c>
      <c r="F176" s="8" t="s">
        <v>1928</v>
      </c>
      <c r="G176" s="12">
        <v>14732.0</v>
      </c>
      <c r="H176" s="26">
        <f t="shared" si="1"/>
        <v>4.971937029</v>
      </c>
      <c r="I176" s="26">
        <f t="shared" si="2"/>
        <v>0</v>
      </c>
      <c r="J176" s="26">
        <f t="shared" si="3"/>
        <v>84.97193703</v>
      </c>
      <c r="K176" s="9">
        <f t="shared" si="4"/>
        <v>2.650239562</v>
      </c>
      <c r="L176" s="27" t="s">
        <v>1929</v>
      </c>
      <c r="M176" s="28">
        <v>44800.0</v>
      </c>
      <c r="N176" s="16" t="s">
        <v>241</v>
      </c>
      <c r="O176" s="8" t="s">
        <v>1930</v>
      </c>
      <c r="P176" s="1">
        <v>0.0</v>
      </c>
      <c r="Q176" s="1">
        <v>0.0</v>
      </c>
      <c r="R176" s="1">
        <v>0.0</v>
      </c>
      <c r="S176" s="1">
        <v>0.0</v>
      </c>
      <c r="T176" s="16" t="s">
        <v>163</v>
      </c>
      <c r="U176" s="16"/>
      <c r="V176" s="16"/>
    </row>
    <row r="177">
      <c r="A177" s="25">
        <v>45768.0</v>
      </c>
      <c r="B177" s="5" t="s">
        <v>58</v>
      </c>
      <c r="C177" s="5">
        <v>176.0</v>
      </c>
      <c r="D177" s="8" t="s">
        <v>1931</v>
      </c>
      <c r="E177" s="1">
        <f>IFERROR(__xludf.DUMMYFUNCTION("IF(D177="""", 0, COUNTA(SPLIT(D177, "" "")))"),2.0)</f>
        <v>2</v>
      </c>
      <c r="F177" s="8" t="s">
        <v>1932</v>
      </c>
      <c r="G177" s="12">
        <v>21545.0</v>
      </c>
      <c r="H177" s="26">
        <f t="shared" si="1"/>
        <v>0</v>
      </c>
      <c r="I177" s="26">
        <f t="shared" si="2"/>
        <v>13.68104038</v>
      </c>
      <c r="J177" s="26">
        <f t="shared" si="3"/>
        <v>66.31895962</v>
      </c>
      <c r="K177" s="9">
        <f t="shared" si="4"/>
        <v>2.650239562</v>
      </c>
      <c r="L177" s="27" t="s">
        <v>1933</v>
      </c>
      <c r="M177" s="28">
        <v>44800.0</v>
      </c>
      <c r="N177" s="16" t="s">
        <v>241</v>
      </c>
      <c r="O177" s="8" t="s">
        <v>1934</v>
      </c>
      <c r="P177" s="1">
        <v>0.0</v>
      </c>
      <c r="Q177" s="1">
        <v>0.0</v>
      </c>
      <c r="R177" s="1">
        <v>0.0</v>
      </c>
      <c r="S177" s="1">
        <v>0.0345</v>
      </c>
      <c r="T177" s="16" t="s">
        <v>174</v>
      </c>
      <c r="U177" s="16"/>
      <c r="V177" s="16"/>
    </row>
    <row r="178">
      <c r="A178" s="25">
        <v>45768.0</v>
      </c>
      <c r="B178" s="5" t="s">
        <v>58</v>
      </c>
      <c r="C178" s="5">
        <v>177.0</v>
      </c>
      <c r="D178" s="8" t="s">
        <v>1935</v>
      </c>
      <c r="E178" s="1">
        <f>IFERROR(__xludf.DUMMYFUNCTION("IF(D178="""", 0, COUNTA(SPLIT(D178, "" "")))"),2.0)</f>
        <v>2</v>
      </c>
      <c r="F178" s="8" t="s">
        <v>1936</v>
      </c>
      <c r="G178" s="12">
        <v>23071.0</v>
      </c>
      <c r="H178" s="26">
        <f t="shared" si="1"/>
        <v>0</v>
      </c>
      <c r="I178" s="26">
        <f t="shared" si="2"/>
        <v>17.85900068</v>
      </c>
      <c r="J178" s="26">
        <f t="shared" si="3"/>
        <v>62.14099932</v>
      </c>
      <c r="K178" s="9">
        <f t="shared" si="4"/>
        <v>2.650239562</v>
      </c>
      <c r="L178" s="27" t="s">
        <v>1937</v>
      </c>
      <c r="M178" s="28">
        <v>44800.0</v>
      </c>
      <c r="N178" s="16" t="s">
        <v>241</v>
      </c>
      <c r="O178" s="8" t="s">
        <v>1938</v>
      </c>
      <c r="P178" s="1">
        <v>0.0</v>
      </c>
      <c r="Q178" s="1">
        <v>0.0</v>
      </c>
      <c r="R178" s="1">
        <v>0.0</v>
      </c>
      <c r="S178" s="1">
        <v>0.0</v>
      </c>
      <c r="T178" s="16" t="s">
        <v>561</v>
      </c>
      <c r="U178" s="16"/>
      <c r="V178" s="16"/>
    </row>
    <row r="179">
      <c r="A179" s="25">
        <v>45768.0</v>
      </c>
      <c r="B179" s="5" t="s">
        <v>58</v>
      </c>
      <c r="C179" s="5">
        <v>178.0</v>
      </c>
      <c r="D179" s="17" t="s">
        <v>1939</v>
      </c>
      <c r="E179" s="1">
        <f>IFERROR(__xludf.DUMMYFUNCTION("IF(D179="""", 0, COUNTA(SPLIT(D179, "" "")))"),3.0)</f>
        <v>3</v>
      </c>
      <c r="F179" s="8" t="s">
        <v>1940</v>
      </c>
      <c r="G179" s="12">
        <v>18573.0</v>
      </c>
      <c r="H179" s="26">
        <f t="shared" si="1"/>
        <v>0</v>
      </c>
      <c r="I179" s="26">
        <f t="shared" si="2"/>
        <v>5.544147844</v>
      </c>
      <c r="J179" s="26">
        <f t="shared" si="3"/>
        <v>74.45585216</v>
      </c>
      <c r="K179" s="9">
        <f t="shared" si="4"/>
        <v>2.650239562</v>
      </c>
      <c r="L179" s="27" t="s">
        <v>1941</v>
      </c>
      <c r="M179" s="28">
        <v>44800.0</v>
      </c>
      <c r="N179" s="16" t="s">
        <v>241</v>
      </c>
      <c r="O179" s="8" t="s">
        <v>1942</v>
      </c>
      <c r="P179" s="1">
        <v>0.0</v>
      </c>
      <c r="Q179" s="1">
        <v>0.0</v>
      </c>
      <c r="R179" s="1">
        <v>0.0</v>
      </c>
      <c r="S179" s="1">
        <v>0.0</v>
      </c>
      <c r="T179" s="16" t="s">
        <v>218</v>
      </c>
      <c r="U179" s="16"/>
      <c r="V179" s="16"/>
    </row>
    <row r="180">
      <c r="A180" s="25">
        <v>45768.0</v>
      </c>
      <c r="B180" s="5" t="s">
        <v>58</v>
      </c>
      <c r="C180" s="5">
        <v>179.0</v>
      </c>
      <c r="D180" s="8" t="s">
        <v>1943</v>
      </c>
      <c r="E180" s="1">
        <f>IFERROR(__xludf.DUMMYFUNCTION("IF(D180="""", 0, COUNTA(SPLIT(D180, "" "")))"),3.0)</f>
        <v>3</v>
      </c>
      <c r="F180" s="8" t="s">
        <v>1944</v>
      </c>
      <c r="G180" s="12">
        <v>19379.0</v>
      </c>
      <c r="H180" s="26">
        <f t="shared" si="1"/>
        <v>0</v>
      </c>
      <c r="I180" s="26">
        <f t="shared" si="2"/>
        <v>7.750855578</v>
      </c>
      <c r="J180" s="26">
        <f t="shared" si="3"/>
        <v>72.24914442</v>
      </c>
      <c r="K180" s="9">
        <f t="shared" si="4"/>
        <v>2.650239562</v>
      </c>
      <c r="L180" s="27" t="s">
        <v>1945</v>
      </c>
      <c r="M180" s="28">
        <v>44800.0</v>
      </c>
      <c r="N180" s="16" t="s">
        <v>241</v>
      </c>
      <c r="O180" s="8" t="s">
        <v>1946</v>
      </c>
      <c r="P180" s="1">
        <v>0.0</v>
      </c>
      <c r="Q180" s="1">
        <v>0.0</v>
      </c>
      <c r="R180" s="1">
        <v>0.0</v>
      </c>
      <c r="S180" s="1">
        <v>0.0</v>
      </c>
      <c r="T180" s="16" t="s">
        <v>1947</v>
      </c>
      <c r="U180" s="16"/>
      <c r="V180" s="16"/>
    </row>
    <row r="181">
      <c r="A181" s="25">
        <v>45768.0</v>
      </c>
      <c r="B181" s="5" t="s">
        <v>58</v>
      </c>
      <c r="C181" s="5">
        <v>180.0</v>
      </c>
      <c r="D181" s="8" t="s">
        <v>1948</v>
      </c>
      <c r="E181" s="1">
        <f>IFERROR(__xludf.DUMMYFUNCTION("IF(D181="""", 0, COUNTA(SPLIT(D181, "" "")))"),3.0)</f>
        <v>3</v>
      </c>
      <c r="F181" s="8" t="s">
        <v>1949</v>
      </c>
      <c r="G181" s="12">
        <v>19760.0</v>
      </c>
      <c r="H181" s="26">
        <f t="shared" si="1"/>
        <v>0</v>
      </c>
      <c r="I181" s="26">
        <f t="shared" si="2"/>
        <v>8.793976728</v>
      </c>
      <c r="J181" s="26">
        <f t="shared" si="3"/>
        <v>71.20602327</v>
      </c>
      <c r="K181" s="9">
        <f t="shared" si="4"/>
        <v>2.650239562</v>
      </c>
      <c r="L181" s="27" t="s">
        <v>1950</v>
      </c>
      <c r="M181" s="28">
        <v>44800.0</v>
      </c>
      <c r="N181" s="16" t="s">
        <v>241</v>
      </c>
      <c r="O181" s="8" t="s">
        <v>1951</v>
      </c>
      <c r="P181" s="1">
        <v>0.0</v>
      </c>
      <c r="Q181" s="1">
        <v>0.0</v>
      </c>
      <c r="R181" s="1">
        <v>0.0</v>
      </c>
      <c r="S181" s="1">
        <v>0.0</v>
      </c>
      <c r="T181" s="16" t="s">
        <v>167</v>
      </c>
      <c r="U181" s="16"/>
      <c r="V181" s="16"/>
    </row>
    <row r="182">
      <c r="A182" s="25">
        <v>45768.0</v>
      </c>
      <c r="B182" s="5" t="s">
        <v>58</v>
      </c>
      <c r="C182" s="5">
        <v>181.0</v>
      </c>
      <c r="D182" s="17" t="s">
        <v>1952</v>
      </c>
      <c r="E182" s="1">
        <f>IFERROR(__xludf.DUMMYFUNCTION("IF(D182="""", 0, COUNTA(SPLIT(D182, "" "")))"),5.0)</f>
        <v>5</v>
      </c>
      <c r="F182" s="8" t="s">
        <v>1953</v>
      </c>
      <c r="G182" s="12">
        <v>24803.0</v>
      </c>
      <c r="H182" s="26">
        <f t="shared" si="1"/>
        <v>0</v>
      </c>
      <c r="I182" s="26">
        <f t="shared" si="2"/>
        <v>22.60095825</v>
      </c>
      <c r="J182" s="26">
        <f t="shared" si="3"/>
        <v>57.39904175</v>
      </c>
      <c r="K182" s="9">
        <f t="shared" si="4"/>
        <v>2.650239562</v>
      </c>
      <c r="L182" s="27" t="s">
        <v>1954</v>
      </c>
      <c r="M182" s="28">
        <v>44800.0</v>
      </c>
      <c r="N182" s="16" t="s">
        <v>241</v>
      </c>
      <c r="O182" s="8" t="s">
        <v>1955</v>
      </c>
      <c r="P182" s="1">
        <v>0.0</v>
      </c>
      <c r="Q182" s="1">
        <v>0.0</v>
      </c>
      <c r="R182" s="1">
        <v>0.0</v>
      </c>
      <c r="S182" s="1">
        <v>0.0</v>
      </c>
      <c r="T182" s="16" t="s">
        <v>1956</v>
      </c>
      <c r="U182" s="16"/>
      <c r="V182" s="16"/>
    </row>
    <row r="183">
      <c r="A183" s="25">
        <v>45768.0</v>
      </c>
      <c r="B183" s="5" t="s">
        <v>58</v>
      </c>
      <c r="C183" s="5">
        <v>182.0</v>
      </c>
      <c r="D183" s="8" t="s">
        <v>1957</v>
      </c>
      <c r="E183" s="1">
        <f>IFERROR(__xludf.DUMMYFUNCTION("IF(D183="""", 0, COUNTA(SPLIT(D183, "" "")))"),2.0)</f>
        <v>2</v>
      </c>
      <c r="F183" s="8" t="s">
        <v>1958</v>
      </c>
      <c r="G183" s="12">
        <v>18507.0</v>
      </c>
      <c r="H183" s="26">
        <f t="shared" si="1"/>
        <v>0</v>
      </c>
      <c r="I183" s="26">
        <f t="shared" si="2"/>
        <v>5.363449692</v>
      </c>
      <c r="J183" s="26">
        <f t="shared" si="3"/>
        <v>74.63655031</v>
      </c>
      <c r="K183" s="9">
        <f t="shared" si="4"/>
        <v>2.650239562</v>
      </c>
      <c r="L183" s="27" t="s">
        <v>1959</v>
      </c>
      <c r="M183" s="28">
        <v>44800.0</v>
      </c>
      <c r="N183" s="16" t="s">
        <v>241</v>
      </c>
      <c r="O183" s="8" t="s">
        <v>1960</v>
      </c>
      <c r="P183" s="1">
        <v>0.0</v>
      </c>
      <c r="Q183" s="1">
        <v>0.0</v>
      </c>
      <c r="R183" s="1">
        <v>0.0</v>
      </c>
      <c r="S183" s="1">
        <v>0.0</v>
      </c>
      <c r="T183" s="16" t="s">
        <v>27</v>
      </c>
      <c r="U183" s="16"/>
      <c r="V183" s="16"/>
    </row>
    <row r="184">
      <c r="A184" s="25">
        <v>45768.0</v>
      </c>
      <c r="B184" s="5" t="s">
        <v>58</v>
      </c>
      <c r="C184" s="5">
        <v>183.0</v>
      </c>
      <c r="D184" s="8" t="s">
        <v>1961</v>
      </c>
      <c r="E184" s="1">
        <f>IFERROR(__xludf.DUMMYFUNCTION("IF(D184="""", 0, COUNTA(SPLIT(D184, "" "")))"),2.0)</f>
        <v>2</v>
      </c>
      <c r="F184" s="8" t="s">
        <v>1962</v>
      </c>
      <c r="G184" s="12">
        <v>22600.0</v>
      </c>
      <c r="H184" s="26">
        <f t="shared" si="1"/>
        <v>0</v>
      </c>
      <c r="I184" s="26">
        <f t="shared" si="2"/>
        <v>16.56947296</v>
      </c>
      <c r="J184" s="26">
        <f t="shared" si="3"/>
        <v>63.43052704</v>
      </c>
      <c r="K184" s="9">
        <f t="shared" si="4"/>
        <v>2.650239562</v>
      </c>
      <c r="L184" s="27" t="s">
        <v>1963</v>
      </c>
      <c r="M184" s="28">
        <v>44800.0</v>
      </c>
      <c r="N184" s="16" t="s">
        <v>241</v>
      </c>
      <c r="O184" s="8" t="s">
        <v>1964</v>
      </c>
      <c r="P184" s="1">
        <v>0.0</v>
      </c>
      <c r="Q184" s="1">
        <v>0.0</v>
      </c>
      <c r="R184" s="1">
        <v>0.0</v>
      </c>
      <c r="S184" s="1">
        <v>0.0</v>
      </c>
      <c r="T184" s="16" t="s">
        <v>1965</v>
      </c>
      <c r="U184" s="16"/>
      <c r="V184" s="16"/>
    </row>
    <row r="185">
      <c r="A185" s="25">
        <v>45768.0</v>
      </c>
      <c r="B185" s="5" t="s">
        <v>58</v>
      </c>
      <c r="C185" s="5">
        <v>184.0</v>
      </c>
      <c r="D185" s="8" t="s">
        <v>1966</v>
      </c>
      <c r="E185" s="1">
        <f>IFERROR(__xludf.DUMMYFUNCTION("IF(D185="""", 0, COUNTA(SPLIT(D185, "" "")))"),3.0)</f>
        <v>3</v>
      </c>
      <c r="F185" s="8" t="s">
        <v>1967</v>
      </c>
      <c r="G185" s="12">
        <v>24673.0</v>
      </c>
      <c r="H185" s="26">
        <f t="shared" si="1"/>
        <v>0</v>
      </c>
      <c r="I185" s="26">
        <f t="shared" si="2"/>
        <v>22.24503765</v>
      </c>
      <c r="J185" s="26">
        <f t="shared" si="3"/>
        <v>57.75496235</v>
      </c>
      <c r="K185" s="9">
        <f t="shared" si="4"/>
        <v>2.650239562</v>
      </c>
      <c r="L185" s="27" t="s">
        <v>1968</v>
      </c>
      <c r="M185" s="28">
        <v>44800.0</v>
      </c>
      <c r="N185" s="16" t="s">
        <v>241</v>
      </c>
      <c r="O185" s="8" t="s">
        <v>1969</v>
      </c>
      <c r="P185" s="1">
        <v>0.0</v>
      </c>
      <c r="Q185" s="1">
        <v>0.0</v>
      </c>
      <c r="R185" s="1">
        <v>0.0</v>
      </c>
      <c r="S185" s="1">
        <v>0.0</v>
      </c>
      <c r="T185" s="16" t="s">
        <v>218</v>
      </c>
      <c r="U185" s="16"/>
      <c r="V185" s="16"/>
    </row>
    <row r="186">
      <c r="A186" s="25">
        <v>45768.0</v>
      </c>
      <c r="B186" s="5" t="s">
        <v>58</v>
      </c>
      <c r="C186" s="5">
        <v>185.0</v>
      </c>
      <c r="D186" s="8" t="s">
        <v>1970</v>
      </c>
      <c r="E186" s="1">
        <f>IFERROR(__xludf.DUMMYFUNCTION("IF(D186="""", 0, COUNTA(SPLIT(D186, "" "")))"),2.0)</f>
        <v>2</v>
      </c>
      <c r="F186" s="8" t="s">
        <v>1971</v>
      </c>
      <c r="G186" s="12">
        <v>20996.0</v>
      </c>
      <c r="H186" s="26">
        <f t="shared" si="1"/>
        <v>0</v>
      </c>
      <c r="I186" s="26">
        <f t="shared" si="2"/>
        <v>12.1779603</v>
      </c>
      <c r="J186" s="26">
        <f t="shared" si="3"/>
        <v>67.8220397</v>
      </c>
      <c r="K186" s="9">
        <f t="shared" si="4"/>
        <v>2.650239562</v>
      </c>
      <c r="L186" s="27" t="s">
        <v>1972</v>
      </c>
      <c r="M186" s="28">
        <v>44800.0</v>
      </c>
      <c r="N186" s="16" t="s">
        <v>241</v>
      </c>
      <c r="O186" s="8" t="s">
        <v>1973</v>
      </c>
      <c r="P186" s="1">
        <v>0.0</v>
      </c>
      <c r="Q186" s="1">
        <v>0.0</v>
      </c>
      <c r="R186" s="1">
        <v>0.0</v>
      </c>
      <c r="S186" s="1">
        <v>0.0</v>
      </c>
      <c r="T186" s="16" t="s">
        <v>167</v>
      </c>
      <c r="U186" s="16"/>
      <c r="V186" s="16"/>
    </row>
    <row r="187">
      <c r="A187" s="25">
        <v>45768.0</v>
      </c>
      <c r="B187" s="5" t="s">
        <v>58</v>
      </c>
      <c r="C187" s="5">
        <v>186.0</v>
      </c>
      <c r="D187" s="8" t="s">
        <v>1974</v>
      </c>
      <c r="E187" s="1">
        <f>IFERROR(__xludf.DUMMYFUNCTION("IF(D187="""", 0, COUNTA(SPLIT(D187, "" "")))"),3.0)</f>
        <v>3</v>
      </c>
      <c r="F187" s="8" t="s">
        <v>1975</v>
      </c>
      <c r="G187" s="12">
        <v>18817.0</v>
      </c>
      <c r="H187" s="26">
        <f t="shared" si="1"/>
        <v>0</v>
      </c>
      <c r="I187" s="26">
        <f t="shared" si="2"/>
        <v>6.212183436</v>
      </c>
      <c r="J187" s="26">
        <f t="shared" si="3"/>
        <v>73.78781656</v>
      </c>
      <c r="K187" s="9">
        <f t="shared" si="4"/>
        <v>1.557837098</v>
      </c>
      <c r="L187" s="27" t="s">
        <v>1976</v>
      </c>
      <c r="M187" s="28">
        <v>45199.0</v>
      </c>
      <c r="N187" s="16" t="s">
        <v>241</v>
      </c>
      <c r="O187" s="8" t="s">
        <v>1977</v>
      </c>
      <c r="P187" s="1">
        <v>0.0</v>
      </c>
      <c r="Q187" s="1">
        <v>0.0</v>
      </c>
      <c r="R187" s="1">
        <v>0.0</v>
      </c>
      <c r="S187" s="1">
        <v>0.0</v>
      </c>
      <c r="T187" s="16" t="s">
        <v>163</v>
      </c>
      <c r="U187" s="16"/>
      <c r="V187" s="16"/>
    </row>
    <row r="188">
      <c r="A188" s="25">
        <v>45768.0</v>
      </c>
      <c r="B188" s="5" t="s">
        <v>58</v>
      </c>
      <c r="C188" s="5">
        <v>187.0</v>
      </c>
      <c r="D188" s="17" t="s">
        <v>1978</v>
      </c>
      <c r="E188" s="1">
        <f>IFERROR(__xludf.DUMMYFUNCTION("IF(D188="""", 0, COUNTA(SPLIT(D188, "" "")))"),2.0)</f>
        <v>2</v>
      </c>
      <c r="F188" s="8" t="s">
        <v>1979</v>
      </c>
      <c r="G188" s="12">
        <v>27187.0</v>
      </c>
      <c r="H188" s="26">
        <f t="shared" si="1"/>
        <v>0</v>
      </c>
      <c r="I188" s="26">
        <f t="shared" si="2"/>
        <v>29.12799452</v>
      </c>
      <c r="J188" s="26">
        <f t="shared" si="3"/>
        <v>50.87200548</v>
      </c>
      <c r="K188" s="9">
        <f t="shared" si="4"/>
        <v>1.557837098</v>
      </c>
      <c r="L188" s="27" t="s">
        <v>1980</v>
      </c>
      <c r="M188" s="28">
        <v>45199.0</v>
      </c>
      <c r="N188" s="16" t="s">
        <v>241</v>
      </c>
      <c r="O188" s="8" t="s">
        <v>1981</v>
      </c>
      <c r="P188" s="1">
        <v>0.0</v>
      </c>
      <c r="Q188" s="1">
        <v>0.0</v>
      </c>
      <c r="R188" s="1">
        <v>0.0</v>
      </c>
      <c r="S188" s="1">
        <v>0.0</v>
      </c>
      <c r="T188" s="16" t="s">
        <v>27</v>
      </c>
      <c r="U188" s="16"/>
      <c r="V188" s="16"/>
    </row>
    <row r="189">
      <c r="A189" s="25">
        <v>45768.0</v>
      </c>
      <c r="B189" s="5" t="s">
        <v>58</v>
      </c>
      <c r="C189" s="5">
        <v>188.0</v>
      </c>
      <c r="D189" s="17" t="s">
        <v>1982</v>
      </c>
      <c r="E189" s="1">
        <f>IFERROR(__xludf.DUMMYFUNCTION("IF(D189="""", 0, COUNTA(SPLIT(D189, "" "")))"),5.0)</f>
        <v>5</v>
      </c>
      <c r="F189" s="8" t="s">
        <v>1983</v>
      </c>
      <c r="G189" s="12">
        <v>15429.0</v>
      </c>
      <c r="H189" s="26">
        <f t="shared" si="1"/>
        <v>3.063655031</v>
      </c>
      <c r="I189" s="26">
        <f t="shared" si="2"/>
        <v>0</v>
      </c>
      <c r="J189" s="26">
        <f t="shared" si="3"/>
        <v>83.06365503</v>
      </c>
      <c r="K189" s="9">
        <f t="shared" si="4"/>
        <v>1.557837098</v>
      </c>
      <c r="L189" s="27" t="s">
        <v>1984</v>
      </c>
      <c r="M189" s="28">
        <v>45199.0</v>
      </c>
      <c r="N189" s="16" t="s">
        <v>241</v>
      </c>
      <c r="O189" s="8" t="s">
        <v>1985</v>
      </c>
      <c r="P189" s="1">
        <v>0.0</v>
      </c>
      <c r="Q189" s="1">
        <v>0.0</v>
      </c>
      <c r="R189" s="1">
        <v>0.0</v>
      </c>
      <c r="S189" s="1">
        <v>0.0</v>
      </c>
      <c r="T189" s="16" t="s">
        <v>163</v>
      </c>
      <c r="U189" s="16"/>
      <c r="V189" s="16"/>
    </row>
    <row r="190">
      <c r="A190" s="25">
        <v>45768.0</v>
      </c>
      <c r="B190" s="5" t="s">
        <v>58</v>
      </c>
      <c r="C190" s="5">
        <v>189.0</v>
      </c>
      <c r="D190" s="17" t="s">
        <v>1986</v>
      </c>
      <c r="E190" s="1">
        <f>IFERROR(__xludf.DUMMYFUNCTION("IF(D190="""", 0, COUNTA(SPLIT(D190, "" "")))"),2.0)</f>
        <v>2</v>
      </c>
      <c r="F190" s="8" t="s">
        <v>1987</v>
      </c>
      <c r="G190" s="12">
        <v>15540.0</v>
      </c>
      <c r="H190" s="26">
        <f t="shared" si="1"/>
        <v>2.759753593</v>
      </c>
      <c r="I190" s="26">
        <f t="shared" si="2"/>
        <v>0</v>
      </c>
      <c r="J190" s="26">
        <f t="shared" si="3"/>
        <v>82.75975359</v>
      </c>
      <c r="K190" s="9">
        <f t="shared" si="4"/>
        <v>1.557837098</v>
      </c>
      <c r="L190" s="27" t="s">
        <v>1988</v>
      </c>
      <c r="M190" s="28">
        <v>45199.0</v>
      </c>
      <c r="N190" s="16" t="s">
        <v>241</v>
      </c>
      <c r="O190" s="8" t="s">
        <v>1989</v>
      </c>
      <c r="P190" s="1">
        <v>0.0</v>
      </c>
      <c r="Q190" s="1">
        <v>0.0</v>
      </c>
      <c r="R190" s="1">
        <v>0.0</v>
      </c>
      <c r="S190" s="1">
        <v>0.0</v>
      </c>
      <c r="T190" s="16" t="s">
        <v>27</v>
      </c>
      <c r="U190" s="16"/>
      <c r="V190" s="16"/>
    </row>
    <row r="191">
      <c r="A191" s="25">
        <v>45768.0</v>
      </c>
      <c r="B191" s="5" t="s">
        <v>58</v>
      </c>
      <c r="C191" s="5">
        <v>190.0</v>
      </c>
      <c r="D191" s="29" t="s">
        <v>1990</v>
      </c>
      <c r="E191" s="1">
        <f>IFERROR(__xludf.DUMMYFUNCTION("IF(D191="""", 0, COUNTA(SPLIT(D191, "" "")))"),2.0)</f>
        <v>2</v>
      </c>
      <c r="F191" s="8" t="s">
        <v>1991</v>
      </c>
      <c r="G191" s="12">
        <v>23853.0</v>
      </c>
      <c r="H191" s="26">
        <f t="shared" si="1"/>
        <v>0</v>
      </c>
      <c r="I191" s="26">
        <f t="shared" si="2"/>
        <v>20</v>
      </c>
      <c r="J191" s="26">
        <f t="shared" si="3"/>
        <v>60</v>
      </c>
      <c r="K191" s="9">
        <f t="shared" si="4"/>
        <v>1.557837098</v>
      </c>
      <c r="L191" s="27" t="s">
        <v>1992</v>
      </c>
      <c r="M191" s="28">
        <v>45199.0</v>
      </c>
      <c r="N191" s="16" t="s">
        <v>241</v>
      </c>
      <c r="O191" s="8" t="s">
        <v>1993</v>
      </c>
      <c r="P191" s="1">
        <v>0.0</v>
      </c>
      <c r="Q191" s="1">
        <v>0.0</v>
      </c>
      <c r="R191" s="1">
        <v>0.0</v>
      </c>
      <c r="S191" s="1">
        <v>0.0741</v>
      </c>
      <c r="T191" s="16" t="s">
        <v>27</v>
      </c>
      <c r="U191" s="16"/>
      <c r="V191" s="16"/>
    </row>
    <row r="192">
      <c r="A192" s="25">
        <v>45768.0</v>
      </c>
      <c r="B192" s="5" t="s">
        <v>58</v>
      </c>
      <c r="C192" s="5">
        <v>191.0</v>
      </c>
      <c r="D192" s="8" t="s">
        <v>1994</v>
      </c>
      <c r="E192" s="1">
        <f>IFERROR(__xludf.DUMMYFUNCTION("IF(D192="""", 0, COUNTA(SPLIT(D192, "" "")))"),2.0)</f>
        <v>2</v>
      </c>
      <c r="F192" s="8" t="s">
        <v>1995</v>
      </c>
      <c r="G192" s="12">
        <v>20722.0</v>
      </c>
      <c r="H192" s="26">
        <f t="shared" si="1"/>
        <v>0</v>
      </c>
      <c r="I192" s="26">
        <f t="shared" si="2"/>
        <v>11.42778919</v>
      </c>
      <c r="J192" s="26">
        <f t="shared" si="3"/>
        <v>68.57221081</v>
      </c>
      <c r="K192" s="9">
        <f t="shared" si="4"/>
        <v>1.557837098</v>
      </c>
      <c r="L192" s="27" t="s">
        <v>1996</v>
      </c>
      <c r="M192" s="28">
        <v>45199.0</v>
      </c>
      <c r="N192" s="16" t="s">
        <v>241</v>
      </c>
      <c r="O192" s="8" t="s">
        <v>1997</v>
      </c>
      <c r="P192" s="1">
        <v>0.0</v>
      </c>
      <c r="Q192" s="1">
        <v>0.0</v>
      </c>
      <c r="R192" s="1">
        <v>0.0</v>
      </c>
      <c r="S192" s="1">
        <v>0.0</v>
      </c>
      <c r="T192" s="16" t="s">
        <v>167</v>
      </c>
      <c r="U192" s="16"/>
      <c r="V192" s="16"/>
    </row>
    <row r="193">
      <c r="A193" s="25">
        <v>45768.0</v>
      </c>
      <c r="B193" s="5" t="s">
        <v>58</v>
      </c>
      <c r="C193" s="5">
        <v>192.0</v>
      </c>
      <c r="D193" s="17" t="s">
        <v>1998</v>
      </c>
      <c r="E193" s="1">
        <f>IFERROR(__xludf.DUMMYFUNCTION("IF(D193="""", 0, COUNTA(SPLIT(D193, "" "")))"),3.0)</f>
        <v>3</v>
      </c>
      <c r="F193" s="8" t="s">
        <v>1999</v>
      </c>
      <c r="G193" s="12">
        <v>21408.0</v>
      </c>
      <c r="H193" s="26">
        <f t="shared" si="1"/>
        <v>0</v>
      </c>
      <c r="I193" s="26">
        <f t="shared" si="2"/>
        <v>13.30595483</v>
      </c>
      <c r="J193" s="26">
        <f t="shared" si="3"/>
        <v>66.69404517</v>
      </c>
      <c r="K193" s="9">
        <f t="shared" si="4"/>
        <v>1.557837098</v>
      </c>
      <c r="L193" s="27" t="s">
        <v>2000</v>
      </c>
      <c r="M193" s="28">
        <v>45199.0</v>
      </c>
      <c r="N193" s="16" t="s">
        <v>241</v>
      </c>
      <c r="O193" s="8" t="s">
        <v>2001</v>
      </c>
      <c r="P193" s="1">
        <v>0.0</v>
      </c>
      <c r="Q193" s="1">
        <v>0.0</v>
      </c>
      <c r="R193" s="1">
        <v>0.0</v>
      </c>
      <c r="S193" s="1">
        <v>0.0</v>
      </c>
      <c r="T193" s="16" t="s">
        <v>163</v>
      </c>
      <c r="U193" s="16"/>
      <c r="V193" s="16"/>
    </row>
    <row r="194">
      <c r="A194" s="25">
        <v>45768.0</v>
      </c>
      <c r="B194" s="5" t="s">
        <v>58</v>
      </c>
      <c r="C194" s="5">
        <v>193.0</v>
      </c>
      <c r="D194" s="8" t="s">
        <v>2002</v>
      </c>
      <c r="E194" s="1">
        <f>IFERROR(__xludf.DUMMYFUNCTION("IF(D194="""", 0, COUNTA(SPLIT(D194, "" "")))"),4.0)</f>
        <v>4</v>
      </c>
      <c r="F194" s="8" t="s">
        <v>2003</v>
      </c>
      <c r="G194" s="12">
        <v>22708.0</v>
      </c>
      <c r="H194" s="26">
        <f t="shared" si="1"/>
        <v>0</v>
      </c>
      <c r="I194" s="26">
        <f t="shared" si="2"/>
        <v>16.86516085</v>
      </c>
      <c r="J194" s="26">
        <f t="shared" si="3"/>
        <v>63.13483915</v>
      </c>
      <c r="K194" s="9">
        <f t="shared" si="4"/>
        <v>1.557837098</v>
      </c>
      <c r="L194" s="27" t="s">
        <v>2004</v>
      </c>
      <c r="M194" s="28">
        <v>45199.0</v>
      </c>
      <c r="N194" s="16" t="s">
        <v>241</v>
      </c>
      <c r="O194" s="8" t="s">
        <v>2005</v>
      </c>
      <c r="P194" s="1">
        <v>0.0</v>
      </c>
      <c r="Q194" s="1">
        <v>0.0</v>
      </c>
      <c r="R194" s="1">
        <v>0.0</v>
      </c>
      <c r="S194" s="1">
        <v>0.0</v>
      </c>
      <c r="T194" s="16" t="s">
        <v>163</v>
      </c>
      <c r="U194" s="16"/>
      <c r="V194" s="16"/>
    </row>
    <row r="195">
      <c r="A195" s="25">
        <v>45768.0</v>
      </c>
      <c r="B195" s="5" t="s">
        <v>58</v>
      </c>
      <c r="C195" s="5">
        <v>194.0</v>
      </c>
      <c r="D195" s="8" t="s">
        <v>2006</v>
      </c>
      <c r="E195" s="1">
        <f>IFERROR(__xludf.DUMMYFUNCTION("IF(D195="""", 0, COUNTA(SPLIT(D195, "" "")))"),2.0)</f>
        <v>2</v>
      </c>
      <c r="F195" s="8" t="s">
        <v>2007</v>
      </c>
      <c r="G195" s="12">
        <v>23416.0</v>
      </c>
      <c r="H195" s="26">
        <f t="shared" si="1"/>
        <v>0</v>
      </c>
      <c r="I195" s="26">
        <f t="shared" si="2"/>
        <v>18.80355921</v>
      </c>
      <c r="J195" s="26">
        <f t="shared" si="3"/>
        <v>61.19644079</v>
      </c>
      <c r="K195" s="9">
        <f t="shared" si="4"/>
        <v>1.557837098</v>
      </c>
      <c r="L195" s="27" t="s">
        <v>2008</v>
      </c>
      <c r="M195" s="28">
        <v>45199.0</v>
      </c>
      <c r="N195" s="16" t="s">
        <v>241</v>
      </c>
      <c r="O195" s="8" t="s">
        <v>2009</v>
      </c>
      <c r="P195" s="1">
        <v>0.0</v>
      </c>
      <c r="Q195" s="1">
        <v>0.0</v>
      </c>
      <c r="R195" s="1">
        <v>0.0</v>
      </c>
      <c r="S195" s="1">
        <v>0.0</v>
      </c>
      <c r="T195" s="16" t="s">
        <v>204</v>
      </c>
      <c r="U195" s="16"/>
      <c r="V195" s="16"/>
    </row>
    <row r="196">
      <c r="A196" s="25">
        <v>45768.0</v>
      </c>
      <c r="B196" s="5" t="s">
        <v>58</v>
      </c>
      <c r="C196" s="5">
        <v>195.0</v>
      </c>
      <c r="D196" s="8" t="s">
        <v>2010</v>
      </c>
      <c r="E196" s="1">
        <f>IFERROR(__xludf.DUMMYFUNCTION("IF(D196="""", 0, COUNTA(SPLIT(D196, "" "")))"),4.0)</f>
        <v>4</v>
      </c>
      <c r="F196" s="8" t="s">
        <v>2011</v>
      </c>
      <c r="G196" s="12">
        <v>23386.0</v>
      </c>
      <c r="H196" s="26">
        <f t="shared" si="1"/>
        <v>0</v>
      </c>
      <c r="I196" s="26">
        <f t="shared" si="2"/>
        <v>18.72142368</v>
      </c>
      <c r="J196" s="26">
        <f t="shared" si="3"/>
        <v>61.27857632</v>
      </c>
      <c r="K196" s="9">
        <f t="shared" si="4"/>
        <v>1.557837098</v>
      </c>
      <c r="L196" s="27" t="s">
        <v>2012</v>
      </c>
      <c r="M196" s="28">
        <v>45199.0</v>
      </c>
      <c r="N196" s="16" t="s">
        <v>241</v>
      </c>
      <c r="O196" s="8" t="s">
        <v>2013</v>
      </c>
      <c r="P196" s="1">
        <v>0.0</v>
      </c>
      <c r="Q196" s="1">
        <v>0.0</v>
      </c>
      <c r="R196" s="1">
        <v>0.0</v>
      </c>
      <c r="S196" s="1">
        <v>0.0</v>
      </c>
      <c r="T196" s="16" t="s">
        <v>2014</v>
      </c>
      <c r="U196" s="16"/>
      <c r="V196" s="16"/>
    </row>
    <row r="197">
      <c r="A197" s="25">
        <v>45768.0</v>
      </c>
      <c r="B197" s="5" t="s">
        <v>58</v>
      </c>
      <c r="C197" s="5">
        <v>196.0</v>
      </c>
      <c r="D197" s="8" t="s">
        <v>2015</v>
      </c>
      <c r="E197" s="1">
        <f>IFERROR(__xludf.DUMMYFUNCTION("IF(D197="""", 0, COUNTA(SPLIT(D197, "" "")))"),3.0)</f>
        <v>3</v>
      </c>
      <c r="F197" s="8" t="s">
        <v>2016</v>
      </c>
      <c r="G197" s="12">
        <v>24005.0</v>
      </c>
      <c r="H197" s="26">
        <f t="shared" si="1"/>
        <v>0</v>
      </c>
      <c r="I197" s="26">
        <f t="shared" si="2"/>
        <v>20.41615332</v>
      </c>
      <c r="J197" s="26">
        <f t="shared" si="3"/>
        <v>59.58384668</v>
      </c>
      <c r="K197" s="9">
        <f t="shared" si="4"/>
        <v>1.557837098</v>
      </c>
      <c r="L197" s="27" t="s">
        <v>2017</v>
      </c>
      <c r="M197" s="28">
        <v>45199.0</v>
      </c>
      <c r="N197" s="16" t="s">
        <v>241</v>
      </c>
      <c r="O197" s="8" t="s">
        <v>2018</v>
      </c>
      <c r="P197" s="1">
        <v>0.0</v>
      </c>
      <c r="Q197" s="1">
        <v>0.0</v>
      </c>
      <c r="R197" s="1">
        <v>0.0</v>
      </c>
      <c r="S197" s="1">
        <v>0.0</v>
      </c>
      <c r="T197" s="16" t="s">
        <v>163</v>
      </c>
      <c r="U197" s="16"/>
      <c r="V197" s="16"/>
    </row>
    <row r="198">
      <c r="A198" s="25">
        <v>45768.0</v>
      </c>
      <c r="B198" s="5" t="s">
        <v>58</v>
      </c>
      <c r="C198" s="5">
        <v>197.0</v>
      </c>
      <c r="D198" s="8" t="s">
        <v>2019</v>
      </c>
      <c r="E198" s="1">
        <f>IFERROR(__xludf.DUMMYFUNCTION("IF(D198="""", 0, COUNTA(SPLIT(D198, "" "")))"),2.0)</f>
        <v>2</v>
      </c>
      <c r="F198" s="8" t="s">
        <v>2020</v>
      </c>
      <c r="G198" s="12">
        <v>22067.0</v>
      </c>
      <c r="H198" s="26">
        <f t="shared" si="1"/>
        <v>0</v>
      </c>
      <c r="I198" s="26">
        <f t="shared" si="2"/>
        <v>15.11019849</v>
      </c>
      <c r="J198" s="26">
        <f t="shared" si="3"/>
        <v>64.88980151</v>
      </c>
      <c r="K198" s="9">
        <f t="shared" si="4"/>
        <v>1.557837098</v>
      </c>
      <c r="L198" s="27" t="s">
        <v>2021</v>
      </c>
      <c r="M198" s="28">
        <v>45199.0</v>
      </c>
      <c r="N198" s="16" t="s">
        <v>241</v>
      </c>
      <c r="O198" s="8" t="s">
        <v>2022</v>
      </c>
      <c r="P198" s="1">
        <v>0.0</v>
      </c>
      <c r="Q198" s="1">
        <v>0.0</v>
      </c>
      <c r="R198" s="1">
        <v>0.0</v>
      </c>
      <c r="S198" s="1">
        <v>0.0</v>
      </c>
      <c r="T198" s="16" t="s">
        <v>2023</v>
      </c>
      <c r="U198" s="16"/>
      <c r="V198" s="16"/>
    </row>
    <row r="199">
      <c r="A199" s="25">
        <v>45768.0</v>
      </c>
      <c r="B199" s="5" t="s">
        <v>58</v>
      </c>
      <c r="C199" s="5">
        <v>198.0</v>
      </c>
      <c r="D199" s="8" t="s">
        <v>2024</v>
      </c>
      <c r="E199" s="1">
        <f>IFERROR(__xludf.DUMMYFUNCTION("IF(D199="""", 0, COUNTA(SPLIT(D199, "" "")))"),2.0)</f>
        <v>2</v>
      </c>
      <c r="F199" s="8" t="s">
        <v>2025</v>
      </c>
      <c r="G199" s="12">
        <v>18943.0</v>
      </c>
      <c r="H199" s="26">
        <f t="shared" si="1"/>
        <v>0</v>
      </c>
      <c r="I199" s="26">
        <f t="shared" si="2"/>
        <v>6.557152635</v>
      </c>
      <c r="J199" s="26">
        <f t="shared" si="3"/>
        <v>73.44284736</v>
      </c>
      <c r="K199" s="9">
        <f t="shared" si="4"/>
        <v>1.557837098</v>
      </c>
      <c r="L199" s="27" t="s">
        <v>2026</v>
      </c>
      <c r="M199" s="28">
        <v>45199.0</v>
      </c>
      <c r="N199" s="16" t="s">
        <v>241</v>
      </c>
      <c r="O199" s="8" t="s">
        <v>2027</v>
      </c>
      <c r="P199" s="1">
        <v>0.0</v>
      </c>
      <c r="Q199" s="1">
        <v>0.0</v>
      </c>
      <c r="R199" s="1">
        <v>0.0</v>
      </c>
      <c r="S199" s="1">
        <v>0.0</v>
      </c>
      <c r="T199" s="16" t="s">
        <v>167</v>
      </c>
      <c r="U199" s="16"/>
      <c r="V199" s="16"/>
    </row>
    <row r="200">
      <c r="A200" s="25">
        <v>45768.0</v>
      </c>
      <c r="B200" s="5" t="s">
        <v>58</v>
      </c>
      <c r="C200" s="5">
        <v>199.0</v>
      </c>
      <c r="D200" s="17" t="s">
        <v>2028</v>
      </c>
      <c r="E200" s="1">
        <f>IFERROR(__xludf.DUMMYFUNCTION("IF(D200="""", 0, COUNTA(SPLIT(D200, "" "")))"),3.0)</f>
        <v>3</v>
      </c>
      <c r="F200" s="8" t="s">
        <v>2029</v>
      </c>
      <c r="G200" s="12">
        <v>21769.0</v>
      </c>
      <c r="H200" s="26">
        <f t="shared" si="1"/>
        <v>0</v>
      </c>
      <c r="I200" s="26">
        <f t="shared" si="2"/>
        <v>14.29431896</v>
      </c>
      <c r="J200" s="26">
        <f t="shared" si="3"/>
        <v>65.70568104</v>
      </c>
      <c r="K200" s="9">
        <f t="shared" si="4"/>
        <v>0.3696098563</v>
      </c>
      <c r="L200" s="27" t="s">
        <v>2030</v>
      </c>
      <c r="M200" s="28">
        <v>45633.0</v>
      </c>
      <c r="N200" s="16" t="s">
        <v>241</v>
      </c>
      <c r="O200" s="8" t="s">
        <v>2031</v>
      </c>
      <c r="P200" s="1">
        <v>0.0</v>
      </c>
      <c r="Q200" s="1">
        <v>0.0</v>
      </c>
      <c r="R200" s="1">
        <v>0.0</v>
      </c>
      <c r="S200" s="1">
        <v>0.0</v>
      </c>
      <c r="T200" s="16" t="s">
        <v>406</v>
      </c>
      <c r="U200" s="16"/>
      <c r="V200" s="16"/>
    </row>
    <row r="201">
      <c r="A201" s="25">
        <v>45768.0</v>
      </c>
      <c r="B201" s="5" t="s">
        <v>58</v>
      </c>
      <c r="C201" s="5">
        <v>200.0</v>
      </c>
      <c r="D201" s="17" t="s">
        <v>2032</v>
      </c>
      <c r="E201" s="1">
        <f>IFERROR(__xludf.DUMMYFUNCTION("IF(D201="""", 0, COUNTA(SPLIT(D201, "" "")))"),2.0)</f>
        <v>2</v>
      </c>
      <c r="F201" s="8" t="s">
        <v>2033</v>
      </c>
      <c r="G201" s="12">
        <v>25165.0</v>
      </c>
      <c r="H201" s="26">
        <f t="shared" si="1"/>
        <v>0</v>
      </c>
      <c r="I201" s="26">
        <f t="shared" si="2"/>
        <v>23.59206023</v>
      </c>
      <c r="J201" s="26">
        <f t="shared" si="3"/>
        <v>56.40793977</v>
      </c>
      <c r="K201" s="9">
        <f t="shared" si="4"/>
        <v>0.3696098563</v>
      </c>
      <c r="L201" s="27" t="s">
        <v>2034</v>
      </c>
      <c r="M201" s="28">
        <v>45633.0</v>
      </c>
      <c r="N201" s="16" t="s">
        <v>241</v>
      </c>
      <c r="O201" s="8" t="s">
        <v>2035</v>
      </c>
      <c r="P201" s="1">
        <v>0.0</v>
      </c>
      <c r="Q201" s="1">
        <v>0.0</v>
      </c>
      <c r="R201" s="1">
        <v>0.0</v>
      </c>
      <c r="S201" s="1">
        <v>0.0</v>
      </c>
      <c r="T201" s="16" t="s">
        <v>174</v>
      </c>
      <c r="U201" s="7"/>
      <c r="V201" s="7"/>
    </row>
    <row r="202">
      <c r="A202" s="25">
        <v>45768.0</v>
      </c>
      <c r="B202" s="5" t="s">
        <v>58</v>
      </c>
      <c r="C202" s="5">
        <v>201.0</v>
      </c>
      <c r="D202" s="8" t="s">
        <v>2036</v>
      </c>
      <c r="E202" s="1">
        <f>IFERROR(__xludf.DUMMYFUNCTION("IF(D202="""", 0, COUNTA(SPLIT(D202, "" "")))"),2.0)</f>
        <v>2</v>
      </c>
      <c r="F202" s="8" t="s">
        <v>2037</v>
      </c>
      <c r="G202" s="12">
        <v>27010.0</v>
      </c>
      <c r="H202" s="26">
        <f t="shared" si="1"/>
        <v>0</v>
      </c>
      <c r="I202" s="26">
        <f t="shared" si="2"/>
        <v>28.64339493</v>
      </c>
      <c r="J202" s="26">
        <f t="shared" si="3"/>
        <v>51.35660507</v>
      </c>
      <c r="K202" s="9">
        <f t="shared" si="4"/>
        <v>0.3696098563</v>
      </c>
      <c r="L202" s="27" t="s">
        <v>2038</v>
      </c>
      <c r="M202" s="28">
        <v>45633.0</v>
      </c>
      <c r="N202" s="16" t="s">
        <v>241</v>
      </c>
      <c r="O202" s="8" t="s">
        <v>2039</v>
      </c>
      <c r="P202" s="1">
        <v>0.0</v>
      </c>
      <c r="Q202" s="1">
        <v>0.0</v>
      </c>
      <c r="R202" s="1">
        <v>0.0</v>
      </c>
      <c r="S202" s="1">
        <v>0.0</v>
      </c>
      <c r="T202" s="16" t="s">
        <v>218</v>
      </c>
      <c r="U202" s="16"/>
      <c r="V202" s="16"/>
    </row>
    <row r="203">
      <c r="A203" s="25">
        <v>45768.0</v>
      </c>
      <c r="B203" s="5" t="s">
        <v>58</v>
      </c>
      <c r="C203" s="5">
        <v>202.0</v>
      </c>
      <c r="D203" s="17" t="s">
        <v>2040</v>
      </c>
      <c r="E203" s="1">
        <f>IFERROR(__xludf.DUMMYFUNCTION("IF(D203="""", 0, COUNTA(SPLIT(D203, "" "")))"),4.0)</f>
        <v>4</v>
      </c>
      <c r="F203" s="8" t="s">
        <v>2041</v>
      </c>
      <c r="G203" s="12">
        <v>14382.0</v>
      </c>
      <c r="H203" s="26">
        <f t="shared" si="1"/>
        <v>5.930184805</v>
      </c>
      <c r="I203" s="26">
        <f t="shared" si="2"/>
        <v>0</v>
      </c>
      <c r="J203" s="26">
        <f t="shared" si="3"/>
        <v>85.9301848</v>
      </c>
      <c r="K203" s="9">
        <f t="shared" si="4"/>
        <v>0.3696098563</v>
      </c>
      <c r="L203" s="27" t="s">
        <v>2042</v>
      </c>
      <c r="M203" s="28">
        <v>45633.0</v>
      </c>
      <c r="N203" s="16" t="s">
        <v>241</v>
      </c>
      <c r="O203" s="8" t="s">
        <v>2043</v>
      </c>
      <c r="P203" s="1">
        <v>0.0</v>
      </c>
      <c r="Q203" s="1">
        <v>0.0</v>
      </c>
      <c r="R203" s="1">
        <v>0.0</v>
      </c>
      <c r="S203" s="1">
        <v>0.0</v>
      </c>
      <c r="T203" s="16" t="s">
        <v>163</v>
      </c>
      <c r="U203" s="16"/>
      <c r="V203" s="16"/>
    </row>
    <row r="204">
      <c r="A204" s="25">
        <v>45768.0</v>
      </c>
      <c r="B204" s="5" t="s">
        <v>58</v>
      </c>
      <c r="C204" s="5">
        <v>203.0</v>
      </c>
      <c r="D204" s="8" t="s">
        <v>2044</v>
      </c>
      <c r="E204" s="1">
        <f>IFERROR(__xludf.DUMMYFUNCTION("IF(D204="""", 0, COUNTA(SPLIT(D204, "" "")))"),3.0)</f>
        <v>3</v>
      </c>
      <c r="F204" s="8" t="s">
        <v>2045</v>
      </c>
      <c r="G204" s="12">
        <v>18322.0</v>
      </c>
      <c r="H204" s="26">
        <f t="shared" si="1"/>
        <v>0</v>
      </c>
      <c r="I204" s="26">
        <f t="shared" si="2"/>
        <v>4.856947296</v>
      </c>
      <c r="J204" s="26">
        <f t="shared" si="3"/>
        <v>75.1430527</v>
      </c>
      <c r="K204" s="9">
        <f t="shared" si="4"/>
        <v>0.3696098563</v>
      </c>
      <c r="L204" s="27" t="s">
        <v>2046</v>
      </c>
      <c r="M204" s="28">
        <v>45633.0</v>
      </c>
      <c r="N204" s="16" t="s">
        <v>241</v>
      </c>
      <c r="O204" s="8" t="s">
        <v>2047</v>
      </c>
      <c r="P204" s="1">
        <v>0.0</v>
      </c>
      <c r="Q204" s="1">
        <v>0.0</v>
      </c>
      <c r="R204" s="1">
        <v>0.0</v>
      </c>
      <c r="S204" s="1">
        <v>0.0</v>
      </c>
      <c r="T204" s="16" t="s">
        <v>163</v>
      </c>
      <c r="U204" s="16"/>
      <c r="V204" s="16"/>
    </row>
    <row r="205">
      <c r="A205" s="25">
        <v>45768.0</v>
      </c>
      <c r="B205" s="5" t="s">
        <v>58</v>
      </c>
      <c r="C205" s="5">
        <v>204.0</v>
      </c>
      <c r="D205" s="17" t="s">
        <v>2048</v>
      </c>
      <c r="E205" s="1">
        <f>IFERROR(__xludf.DUMMYFUNCTION("IF(D205="""", 0, COUNTA(SPLIT(D205, "" "")))"),3.0)</f>
        <v>3</v>
      </c>
      <c r="F205" s="8" t="s">
        <v>2049</v>
      </c>
      <c r="G205" s="12">
        <v>19156.0</v>
      </c>
      <c r="H205" s="26">
        <f t="shared" si="1"/>
        <v>0</v>
      </c>
      <c r="I205" s="26">
        <f t="shared" si="2"/>
        <v>7.140314853</v>
      </c>
      <c r="J205" s="26">
        <f t="shared" si="3"/>
        <v>72.85968515</v>
      </c>
      <c r="K205" s="9">
        <f t="shared" si="4"/>
        <v>0.3696098563</v>
      </c>
      <c r="L205" s="27" t="s">
        <v>2050</v>
      </c>
      <c r="M205" s="28">
        <v>45633.0</v>
      </c>
      <c r="N205" s="16" t="s">
        <v>241</v>
      </c>
      <c r="O205" s="8" t="s">
        <v>2051</v>
      </c>
      <c r="P205" s="1">
        <v>0.0</v>
      </c>
      <c r="Q205" s="1">
        <v>0.0</v>
      </c>
      <c r="R205" s="1">
        <v>0.0</v>
      </c>
      <c r="S205" s="1">
        <v>0.0</v>
      </c>
      <c r="T205" s="16" t="s">
        <v>163</v>
      </c>
      <c r="U205" s="16"/>
      <c r="V205" s="16"/>
    </row>
    <row r="206">
      <c r="A206" s="25">
        <v>45768.0</v>
      </c>
      <c r="B206" s="5" t="s">
        <v>58</v>
      </c>
      <c r="C206" s="5">
        <v>205.0</v>
      </c>
      <c r="D206" s="17" t="s">
        <v>2052</v>
      </c>
      <c r="E206" s="1">
        <f>IFERROR(__xludf.DUMMYFUNCTION("IF(D206="""", 0, COUNTA(SPLIT(D206, "" "")))"),3.0)</f>
        <v>3</v>
      </c>
      <c r="F206" s="8" t="s">
        <v>2053</v>
      </c>
      <c r="G206" s="12">
        <v>20373.0</v>
      </c>
      <c r="H206" s="26">
        <f t="shared" si="1"/>
        <v>0</v>
      </c>
      <c r="I206" s="26">
        <f t="shared" si="2"/>
        <v>10.47227926</v>
      </c>
      <c r="J206" s="26">
        <f t="shared" si="3"/>
        <v>69.52772074</v>
      </c>
      <c r="K206" s="9">
        <f t="shared" si="4"/>
        <v>0.3696098563</v>
      </c>
      <c r="L206" s="27" t="s">
        <v>2054</v>
      </c>
      <c r="M206" s="28">
        <v>45633.0</v>
      </c>
      <c r="N206" s="16" t="s">
        <v>241</v>
      </c>
      <c r="O206" s="8" t="s">
        <v>2055</v>
      </c>
      <c r="P206" s="1">
        <v>0.0</v>
      </c>
      <c r="Q206" s="1">
        <v>0.0</v>
      </c>
      <c r="R206" s="1">
        <v>0.0</v>
      </c>
      <c r="S206" s="1">
        <v>0.0</v>
      </c>
      <c r="T206" s="16" t="s">
        <v>163</v>
      </c>
      <c r="U206" s="16"/>
      <c r="V206" s="16"/>
    </row>
    <row r="207">
      <c r="A207" s="25">
        <v>45768.0</v>
      </c>
      <c r="B207" s="5" t="s">
        <v>58</v>
      </c>
      <c r="C207" s="5">
        <v>206.0</v>
      </c>
      <c r="D207" s="8" t="s">
        <v>2056</v>
      </c>
      <c r="E207" s="1">
        <f>IFERROR(__xludf.DUMMYFUNCTION("IF(D207="""", 0, COUNTA(SPLIT(D207, "" "")))"),3.0)</f>
        <v>3</v>
      </c>
      <c r="F207" s="8" t="s">
        <v>2057</v>
      </c>
      <c r="G207" s="12">
        <v>20889.0</v>
      </c>
      <c r="H207" s="26">
        <f t="shared" si="1"/>
        <v>0</v>
      </c>
      <c r="I207" s="26">
        <f t="shared" si="2"/>
        <v>11.88501027</v>
      </c>
      <c r="J207" s="26">
        <f t="shared" si="3"/>
        <v>68.11498973</v>
      </c>
      <c r="K207" s="9">
        <f t="shared" si="4"/>
        <v>0.3696098563</v>
      </c>
      <c r="L207" s="27" t="s">
        <v>2058</v>
      </c>
      <c r="M207" s="28">
        <v>45633.0</v>
      </c>
      <c r="N207" s="16" t="s">
        <v>241</v>
      </c>
      <c r="O207" s="8" t="s">
        <v>2059</v>
      </c>
      <c r="P207" s="1">
        <v>0.0</v>
      </c>
      <c r="Q207" s="1">
        <v>0.0</v>
      </c>
      <c r="R207" s="1">
        <v>0.0</v>
      </c>
      <c r="S207" s="1">
        <v>0.0</v>
      </c>
      <c r="T207" s="16" t="s">
        <v>163</v>
      </c>
      <c r="U207" s="16"/>
      <c r="V207" s="16"/>
    </row>
    <row r="208">
      <c r="A208" s="25">
        <v>45768.0</v>
      </c>
      <c r="B208" s="5" t="s">
        <v>58</v>
      </c>
      <c r="C208" s="5">
        <v>207.0</v>
      </c>
      <c r="D208" s="17" t="s">
        <v>2060</v>
      </c>
      <c r="E208" s="1">
        <f>IFERROR(__xludf.DUMMYFUNCTION("IF(D208="""", 0, COUNTA(SPLIT(D208, "" "")))"),3.0)</f>
        <v>3</v>
      </c>
      <c r="F208" s="8" t="s">
        <v>2061</v>
      </c>
      <c r="G208" s="12">
        <v>21490.0</v>
      </c>
      <c r="H208" s="26">
        <f t="shared" si="1"/>
        <v>0</v>
      </c>
      <c r="I208" s="26">
        <f t="shared" si="2"/>
        <v>13.53045859</v>
      </c>
      <c r="J208" s="26">
        <f t="shared" si="3"/>
        <v>66.46954141</v>
      </c>
      <c r="K208" s="9">
        <f t="shared" si="4"/>
        <v>0.3696098563</v>
      </c>
      <c r="L208" s="27" t="s">
        <v>2062</v>
      </c>
      <c r="M208" s="28">
        <v>45633.0</v>
      </c>
      <c r="N208" s="16" t="s">
        <v>241</v>
      </c>
      <c r="O208" s="8" t="s">
        <v>2063</v>
      </c>
      <c r="P208" s="1">
        <v>0.0</v>
      </c>
      <c r="Q208" s="1">
        <v>0.0</v>
      </c>
      <c r="R208" s="1">
        <v>0.0</v>
      </c>
      <c r="S208" s="1">
        <v>0.0</v>
      </c>
      <c r="T208" s="16" t="s">
        <v>626</v>
      </c>
      <c r="U208" s="16"/>
      <c r="V208" s="16"/>
    </row>
    <row r="209">
      <c r="A209" s="25">
        <v>45768.0</v>
      </c>
      <c r="B209" s="5" t="s">
        <v>58</v>
      </c>
      <c r="C209" s="5">
        <v>208.0</v>
      </c>
      <c r="D209" s="8" t="s">
        <v>2064</v>
      </c>
      <c r="E209" s="1">
        <f>IFERROR(__xludf.DUMMYFUNCTION("IF(D209="""", 0, COUNTA(SPLIT(D209, "" "")))"),3.0)</f>
        <v>3</v>
      </c>
      <c r="F209" s="8" t="s">
        <v>2065</v>
      </c>
      <c r="G209" s="12">
        <v>21611.0</v>
      </c>
      <c r="H209" s="26">
        <f t="shared" si="1"/>
        <v>0</v>
      </c>
      <c r="I209" s="26">
        <f t="shared" si="2"/>
        <v>13.86173854</v>
      </c>
      <c r="J209" s="26">
        <f t="shared" si="3"/>
        <v>66.13826146</v>
      </c>
      <c r="K209" s="9">
        <f t="shared" si="4"/>
        <v>0.3696098563</v>
      </c>
      <c r="L209" s="27" t="s">
        <v>2066</v>
      </c>
      <c r="M209" s="28">
        <v>45633.0</v>
      </c>
      <c r="N209" s="16" t="s">
        <v>241</v>
      </c>
      <c r="O209" s="8" t="s">
        <v>2067</v>
      </c>
      <c r="P209" s="1">
        <v>0.0</v>
      </c>
      <c r="Q209" s="1">
        <v>0.0</v>
      </c>
      <c r="R209" s="1">
        <v>0.0</v>
      </c>
      <c r="S209" s="1">
        <v>0.0</v>
      </c>
      <c r="T209" s="16" t="s">
        <v>419</v>
      </c>
      <c r="U209" s="16"/>
      <c r="V209" s="16"/>
    </row>
    <row r="210">
      <c r="A210" s="25">
        <v>45768.0</v>
      </c>
      <c r="B210" s="5" t="s">
        <v>58</v>
      </c>
      <c r="C210" s="5">
        <v>209.0</v>
      </c>
      <c r="D210" s="17" t="s">
        <v>2068</v>
      </c>
      <c r="E210" s="1">
        <f>IFERROR(__xludf.DUMMYFUNCTION("IF(D210="""", 0, COUNTA(SPLIT(D210, "" "")))"),2.0)</f>
        <v>2</v>
      </c>
      <c r="F210" s="8" t="s">
        <v>2069</v>
      </c>
      <c r="G210" s="12">
        <v>20705.0</v>
      </c>
      <c r="H210" s="26">
        <f t="shared" si="1"/>
        <v>0</v>
      </c>
      <c r="I210" s="26">
        <f t="shared" si="2"/>
        <v>11.38124572</v>
      </c>
      <c r="J210" s="26">
        <f t="shared" si="3"/>
        <v>68.61875428</v>
      </c>
      <c r="K210" s="9">
        <f t="shared" si="4"/>
        <v>0.3696098563</v>
      </c>
      <c r="L210" s="27" t="s">
        <v>2070</v>
      </c>
      <c r="M210" s="28">
        <v>45633.0</v>
      </c>
      <c r="N210" s="16" t="s">
        <v>241</v>
      </c>
      <c r="O210" s="8" t="s">
        <v>2071</v>
      </c>
      <c r="P210" s="1">
        <v>0.0</v>
      </c>
      <c r="Q210" s="1">
        <v>0.0</v>
      </c>
      <c r="R210" s="1">
        <v>0.0</v>
      </c>
      <c r="S210" s="1">
        <v>0.0</v>
      </c>
      <c r="T210" s="16" t="s">
        <v>2072</v>
      </c>
      <c r="U210" s="16"/>
      <c r="V210" s="16"/>
    </row>
    <row r="211">
      <c r="A211" s="25">
        <v>45768.0</v>
      </c>
      <c r="B211" s="5" t="s">
        <v>58</v>
      </c>
      <c r="C211" s="5">
        <v>210.0</v>
      </c>
      <c r="D211" s="17" t="s">
        <v>2073</v>
      </c>
      <c r="E211" s="1">
        <f>IFERROR(__xludf.DUMMYFUNCTION("IF(D211="""", 0, COUNTA(SPLIT(D211, "" "")))"),2.0)</f>
        <v>2</v>
      </c>
      <c r="F211" s="8" t="s">
        <v>2074</v>
      </c>
      <c r="G211" s="12">
        <v>22165.0</v>
      </c>
      <c r="H211" s="26">
        <f t="shared" si="1"/>
        <v>0</v>
      </c>
      <c r="I211" s="26">
        <f t="shared" si="2"/>
        <v>15.37850787</v>
      </c>
      <c r="J211" s="26">
        <f t="shared" si="3"/>
        <v>64.62149213</v>
      </c>
      <c r="K211" s="9">
        <f t="shared" si="4"/>
        <v>0.3696098563</v>
      </c>
      <c r="L211" s="27" t="s">
        <v>2075</v>
      </c>
      <c r="M211" s="28">
        <v>45633.0</v>
      </c>
      <c r="N211" s="16" t="s">
        <v>241</v>
      </c>
      <c r="O211" s="8" t="s">
        <v>2076</v>
      </c>
      <c r="P211" s="1">
        <v>0.0</v>
      </c>
      <c r="Q211" s="1">
        <v>0.0</v>
      </c>
      <c r="R211" s="1">
        <v>0.0</v>
      </c>
      <c r="S211" s="1">
        <v>0.0</v>
      </c>
      <c r="T211" s="16" t="s">
        <v>218</v>
      </c>
      <c r="U211" s="16"/>
      <c r="V211" s="16"/>
    </row>
    <row r="212">
      <c r="A212" s="25">
        <v>45768.0</v>
      </c>
      <c r="B212" s="5" t="s">
        <v>58</v>
      </c>
      <c r="C212" s="5">
        <v>211.0</v>
      </c>
      <c r="D212" s="8" t="s">
        <v>2077</v>
      </c>
      <c r="E212" s="1">
        <f>IFERROR(__xludf.DUMMYFUNCTION("IF(D212="""", 0, COUNTA(SPLIT(D212, "" "")))"),3.0)</f>
        <v>3</v>
      </c>
      <c r="F212" s="8" t="s">
        <v>2078</v>
      </c>
      <c r="G212" s="12">
        <v>22510.0</v>
      </c>
      <c r="H212" s="26">
        <f t="shared" si="1"/>
        <v>0</v>
      </c>
      <c r="I212" s="26">
        <f t="shared" si="2"/>
        <v>16.32306639</v>
      </c>
      <c r="J212" s="26">
        <f t="shared" si="3"/>
        <v>63.67693361</v>
      </c>
      <c r="K212" s="9">
        <f t="shared" si="4"/>
        <v>0.3696098563</v>
      </c>
      <c r="L212" s="27" t="s">
        <v>2079</v>
      </c>
      <c r="M212" s="28">
        <v>45633.0</v>
      </c>
      <c r="N212" s="16" t="s">
        <v>241</v>
      </c>
      <c r="O212" s="8" t="s">
        <v>2080</v>
      </c>
      <c r="P212" s="1">
        <v>0.0</v>
      </c>
      <c r="Q212" s="1">
        <v>0.0</v>
      </c>
      <c r="R212" s="1">
        <v>0.0</v>
      </c>
      <c r="S212" s="1">
        <v>0.0</v>
      </c>
      <c r="T212" s="16" t="s">
        <v>174</v>
      </c>
      <c r="U212" s="16"/>
      <c r="V212" s="16"/>
    </row>
    <row r="213">
      <c r="A213" s="25">
        <v>45768.0</v>
      </c>
      <c r="B213" s="5" t="s">
        <v>58</v>
      </c>
      <c r="C213" s="5">
        <v>212.0</v>
      </c>
      <c r="D213" s="17" t="s">
        <v>2081</v>
      </c>
      <c r="E213" s="1">
        <f>IFERROR(__xludf.DUMMYFUNCTION("IF(D213="""", 0, COUNTA(SPLIT(D213, "" "")))"),2.0)</f>
        <v>2</v>
      </c>
      <c r="F213" s="8" t="s">
        <v>2082</v>
      </c>
      <c r="G213" s="12">
        <v>22715.0</v>
      </c>
      <c r="H213" s="26">
        <f t="shared" si="1"/>
        <v>0</v>
      </c>
      <c r="I213" s="26">
        <f t="shared" si="2"/>
        <v>16.8843258</v>
      </c>
      <c r="J213" s="26">
        <f t="shared" si="3"/>
        <v>63.1156742</v>
      </c>
      <c r="K213" s="9">
        <f t="shared" si="4"/>
        <v>0.3696098563</v>
      </c>
      <c r="L213" s="27" t="s">
        <v>2083</v>
      </c>
      <c r="M213" s="28">
        <v>45633.0</v>
      </c>
      <c r="N213" s="16" t="s">
        <v>241</v>
      </c>
      <c r="O213" s="8" t="s">
        <v>2084</v>
      </c>
      <c r="P213" s="1">
        <v>0.0</v>
      </c>
      <c r="Q213" s="1">
        <v>0.0</v>
      </c>
      <c r="R213" s="1">
        <v>0.0</v>
      </c>
      <c r="S213" s="1">
        <v>0.0</v>
      </c>
      <c r="T213" s="16" t="s">
        <v>174</v>
      </c>
      <c r="U213" s="16"/>
      <c r="V213" s="16"/>
    </row>
    <row r="214">
      <c r="A214" s="25">
        <v>45768.0</v>
      </c>
      <c r="B214" s="5" t="s">
        <v>58</v>
      </c>
      <c r="C214" s="5">
        <v>213.0</v>
      </c>
      <c r="D214" s="17" t="s">
        <v>2085</v>
      </c>
      <c r="E214" s="1">
        <f>IFERROR(__xludf.DUMMYFUNCTION("IF(D214="""", 0, COUNTA(SPLIT(D214, "" "")))"),2.0)</f>
        <v>2</v>
      </c>
      <c r="F214" s="8" t="s">
        <v>2086</v>
      </c>
      <c r="G214" s="12">
        <v>23175.0</v>
      </c>
      <c r="H214" s="26">
        <f t="shared" si="1"/>
        <v>0</v>
      </c>
      <c r="I214" s="26">
        <f t="shared" si="2"/>
        <v>18.14373717</v>
      </c>
      <c r="J214" s="26">
        <f t="shared" si="3"/>
        <v>61.85626283</v>
      </c>
      <c r="K214" s="9">
        <f t="shared" si="4"/>
        <v>0.3696098563</v>
      </c>
      <c r="L214" s="27" t="s">
        <v>2087</v>
      </c>
      <c r="M214" s="28">
        <v>45633.0</v>
      </c>
      <c r="N214" s="16" t="s">
        <v>241</v>
      </c>
      <c r="O214" s="8" t="s">
        <v>2088</v>
      </c>
      <c r="P214" s="1">
        <v>0.0</v>
      </c>
      <c r="Q214" s="1">
        <v>0.0</v>
      </c>
      <c r="R214" s="1">
        <v>0.0</v>
      </c>
      <c r="S214" s="1">
        <v>0.0</v>
      </c>
      <c r="T214" s="16" t="s">
        <v>174</v>
      </c>
      <c r="U214" s="16"/>
      <c r="V214" s="16"/>
    </row>
    <row r="215">
      <c r="A215" s="25">
        <v>45768.0</v>
      </c>
      <c r="B215" s="5" t="s">
        <v>58</v>
      </c>
      <c r="C215" s="5">
        <v>214.0</v>
      </c>
      <c r="D215" s="8" t="s">
        <v>2089</v>
      </c>
      <c r="E215" s="1">
        <f>IFERROR(__xludf.DUMMYFUNCTION("IF(D215="""", 0, COUNTA(SPLIT(D215, "" "")))"),2.0)</f>
        <v>2</v>
      </c>
      <c r="F215" s="8" t="s">
        <v>2090</v>
      </c>
      <c r="G215" s="12">
        <v>24501.0</v>
      </c>
      <c r="H215" s="26">
        <f t="shared" si="1"/>
        <v>0</v>
      </c>
      <c r="I215" s="26">
        <f t="shared" si="2"/>
        <v>21.77412731</v>
      </c>
      <c r="J215" s="26">
        <f t="shared" si="3"/>
        <v>58.22587269</v>
      </c>
      <c r="K215" s="9">
        <f t="shared" si="4"/>
        <v>0.3696098563</v>
      </c>
      <c r="L215" s="27" t="s">
        <v>2091</v>
      </c>
      <c r="M215" s="28">
        <v>45633.0</v>
      </c>
      <c r="N215" s="16" t="s">
        <v>241</v>
      </c>
      <c r="O215" s="8" t="s">
        <v>2092</v>
      </c>
      <c r="P215" s="1">
        <v>0.0</v>
      </c>
      <c r="Q215" s="1">
        <v>0.0</v>
      </c>
      <c r="R215" s="1">
        <v>0.0</v>
      </c>
      <c r="S215" s="1">
        <v>0.0</v>
      </c>
      <c r="T215" s="16" t="s">
        <v>27</v>
      </c>
      <c r="U215" s="16"/>
      <c r="V215" s="16"/>
    </row>
    <row r="216">
      <c r="A216" s="25">
        <v>45768.0</v>
      </c>
      <c r="B216" s="5" t="s">
        <v>58</v>
      </c>
      <c r="C216" s="5">
        <v>215.0</v>
      </c>
      <c r="D216" s="8" t="s">
        <v>2093</v>
      </c>
      <c r="E216" s="1">
        <f>IFERROR(__xludf.DUMMYFUNCTION("IF(D216="""", 0, COUNTA(SPLIT(D216, "" "")))"),2.0)</f>
        <v>2</v>
      </c>
      <c r="F216" s="8" t="s">
        <v>2094</v>
      </c>
      <c r="G216" s="12">
        <v>25898.0</v>
      </c>
      <c r="H216" s="26">
        <f t="shared" si="1"/>
        <v>0</v>
      </c>
      <c r="I216" s="26">
        <f t="shared" si="2"/>
        <v>25.59890486</v>
      </c>
      <c r="J216" s="26">
        <f t="shared" si="3"/>
        <v>54.40109514</v>
      </c>
      <c r="K216" s="9">
        <f t="shared" si="4"/>
        <v>0.3696098563</v>
      </c>
      <c r="L216" s="27" t="s">
        <v>2095</v>
      </c>
      <c r="M216" s="28">
        <v>45633.0</v>
      </c>
      <c r="N216" s="16" t="s">
        <v>241</v>
      </c>
      <c r="O216" s="8" t="s">
        <v>2096</v>
      </c>
      <c r="P216" s="1">
        <v>0.0</v>
      </c>
      <c r="Q216" s="1">
        <v>0.0</v>
      </c>
      <c r="R216" s="1">
        <v>0.0</v>
      </c>
      <c r="S216" s="1">
        <v>0.0</v>
      </c>
      <c r="T216" s="16" t="s">
        <v>27</v>
      </c>
      <c r="U216" s="16"/>
      <c r="V216" s="16"/>
    </row>
    <row r="217">
      <c r="A217" s="25">
        <v>45768.0</v>
      </c>
      <c r="B217" s="5" t="s">
        <v>58</v>
      </c>
      <c r="C217" s="5">
        <v>216.0</v>
      </c>
      <c r="D217" s="8" t="s">
        <v>2097</v>
      </c>
      <c r="E217" s="1">
        <f>IFERROR(__xludf.DUMMYFUNCTION("IF(D217="""", 0, COUNTA(SPLIT(D217, "" "")))"),2.0)</f>
        <v>2</v>
      </c>
      <c r="F217" s="8" t="s">
        <v>2098</v>
      </c>
      <c r="G217" s="12">
        <v>26114.0</v>
      </c>
      <c r="H217" s="26">
        <f t="shared" si="1"/>
        <v>0</v>
      </c>
      <c r="I217" s="26">
        <f t="shared" si="2"/>
        <v>26.19028063</v>
      </c>
      <c r="J217" s="26">
        <f t="shared" si="3"/>
        <v>53.80971937</v>
      </c>
      <c r="K217" s="9">
        <f t="shared" si="4"/>
        <v>0.3696098563</v>
      </c>
      <c r="L217" s="27" t="s">
        <v>2099</v>
      </c>
      <c r="M217" s="28">
        <v>45633.0</v>
      </c>
      <c r="N217" s="16" t="s">
        <v>241</v>
      </c>
      <c r="O217" s="8" t="s">
        <v>2100</v>
      </c>
      <c r="P217" s="1">
        <v>0.0</v>
      </c>
      <c r="Q217" s="1">
        <v>0.0</v>
      </c>
      <c r="R217" s="1">
        <v>0.0</v>
      </c>
      <c r="S217" s="1">
        <v>0.0</v>
      </c>
      <c r="T217" s="16" t="s">
        <v>167</v>
      </c>
      <c r="U217" s="16"/>
      <c r="V217" s="16"/>
    </row>
    <row r="218">
      <c r="A218" s="25">
        <v>45768.0</v>
      </c>
      <c r="B218" s="5" t="s">
        <v>58</v>
      </c>
      <c r="C218" s="5">
        <v>217.0</v>
      </c>
      <c r="D218" s="17" t="s">
        <v>2101</v>
      </c>
      <c r="E218" s="1">
        <f>IFERROR(__xludf.DUMMYFUNCTION("IF(D218="""", 0, COUNTA(SPLIT(D218, "" "")))"),2.0)</f>
        <v>2</v>
      </c>
      <c r="F218" s="8" t="s">
        <v>2102</v>
      </c>
      <c r="G218" s="12">
        <v>29264.0</v>
      </c>
      <c r="H218" s="26">
        <f t="shared" si="1"/>
        <v>0</v>
      </c>
      <c r="I218" s="26">
        <f t="shared" si="2"/>
        <v>34.81451061</v>
      </c>
      <c r="J218" s="26">
        <f t="shared" si="3"/>
        <v>45.18548939</v>
      </c>
      <c r="K218" s="9">
        <f t="shared" si="4"/>
        <v>0.3696098563</v>
      </c>
      <c r="L218" s="27" t="s">
        <v>2103</v>
      </c>
      <c r="M218" s="28">
        <v>45633.0</v>
      </c>
      <c r="N218" s="16" t="s">
        <v>241</v>
      </c>
      <c r="O218" s="8" t="s">
        <v>2104</v>
      </c>
      <c r="P218" s="1">
        <v>0.0</v>
      </c>
      <c r="Q218" s="1">
        <v>0.0</v>
      </c>
      <c r="R218" s="1">
        <v>0.0</v>
      </c>
      <c r="S218" s="1">
        <v>0.0</v>
      </c>
      <c r="T218" s="16" t="s">
        <v>755</v>
      </c>
      <c r="U218" s="16"/>
      <c r="V218" s="16"/>
    </row>
    <row r="219">
      <c r="A219" s="25">
        <v>45768.0</v>
      </c>
      <c r="B219" s="5" t="s">
        <v>58</v>
      </c>
      <c r="C219" s="5">
        <v>218.0</v>
      </c>
      <c r="D219" s="8" t="s">
        <v>2105</v>
      </c>
      <c r="E219" s="1">
        <f>IFERROR(__xludf.DUMMYFUNCTION("IF(D219="""", 0, COUNTA(SPLIT(D219, "" "")))"),2.0)</f>
        <v>2</v>
      </c>
      <c r="F219" s="8" t="s">
        <v>2106</v>
      </c>
      <c r="G219" s="12">
        <v>23031.0</v>
      </c>
      <c r="H219" s="26">
        <f t="shared" si="1"/>
        <v>0</v>
      </c>
      <c r="I219" s="26">
        <f t="shared" si="2"/>
        <v>17.74948665</v>
      </c>
      <c r="J219" s="26">
        <f t="shared" si="3"/>
        <v>62.25051335</v>
      </c>
      <c r="K219" s="9">
        <f t="shared" si="4"/>
        <v>0.3696098563</v>
      </c>
      <c r="L219" s="27" t="s">
        <v>2107</v>
      </c>
      <c r="M219" s="28">
        <v>45633.0</v>
      </c>
      <c r="N219" s="16" t="s">
        <v>241</v>
      </c>
      <c r="O219" s="8" t="s">
        <v>2108</v>
      </c>
      <c r="P219" s="1">
        <v>0.0</v>
      </c>
      <c r="Q219" s="1">
        <v>0.0</v>
      </c>
      <c r="R219" s="1">
        <v>0.0</v>
      </c>
      <c r="S219" s="1">
        <v>0.0</v>
      </c>
      <c r="T219" s="16" t="s">
        <v>27</v>
      </c>
      <c r="U219" s="16"/>
      <c r="V219" s="16"/>
    </row>
    <row r="220">
      <c r="A220" s="25">
        <v>45768.0</v>
      </c>
      <c r="B220" s="5" t="s">
        <v>58</v>
      </c>
      <c r="C220" s="5">
        <v>219.0</v>
      </c>
      <c r="D220" s="8" t="s">
        <v>2109</v>
      </c>
      <c r="E220" s="1">
        <f>IFERROR(__xludf.DUMMYFUNCTION("IF(D220="""", 0, COUNTA(SPLIT(D220, "" "")))"),2.0)</f>
        <v>2</v>
      </c>
      <c r="F220" s="8" t="s">
        <v>2110</v>
      </c>
      <c r="G220" s="12">
        <v>19060.0</v>
      </c>
      <c r="H220" s="26">
        <f t="shared" si="1"/>
        <v>0</v>
      </c>
      <c r="I220" s="26">
        <f t="shared" si="2"/>
        <v>6.877481177</v>
      </c>
      <c r="J220" s="26">
        <f t="shared" si="3"/>
        <v>73.12251882</v>
      </c>
      <c r="K220" s="9">
        <f t="shared" si="4"/>
        <v>10.18206708</v>
      </c>
      <c r="L220" s="27" t="s">
        <v>2111</v>
      </c>
      <c r="M220" s="28">
        <v>42049.0</v>
      </c>
      <c r="N220" s="16" t="s">
        <v>241</v>
      </c>
      <c r="O220" s="8" t="s">
        <v>2112</v>
      </c>
      <c r="P220" s="1">
        <v>0.0</v>
      </c>
      <c r="Q220" s="1">
        <v>0.0</v>
      </c>
      <c r="R220" s="1">
        <v>0.0</v>
      </c>
      <c r="S220" s="1">
        <v>0.0</v>
      </c>
      <c r="T220" s="16" t="s">
        <v>174</v>
      </c>
      <c r="U220" s="16"/>
      <c r="V220" s="16"/>
    </row>
    <row r="221">
      <c r="A221" s="25">
        <v>45768.0</v>
      </c>
      <c r="B221" s="5" t="s">
        <v>58</v>
      </c>
      <c r="C221" s="5">
        <v>220.0</v>
      </c>
      <c r="D221" s="8" t="s">
        <v>2113</v>
      </c>
      <c r="E221" s="1">
        <f>IFERROR(__xludf.DUMMYFUNCTION("IF(D221="""", 0, COUNTA(SPLIT(D221, "" "")))"),2.0)</f>
        <v>2</v>
      </c>
      <c r="F221" s="8" t="s">
        <v>2114</v>
      </c>
      <c r="G221" s="12">
        <v>16807.0</v>
      </c>
      <c r="H221" s="26">
        <f t="shared" si="1"/>
        <v>0</v>
      </c>
      <c r="I221" s="26">
        <f t="shared" si="2"/>
        <v>0.7091033539</v>
      </c>
      <c r="J221" s="26">
        <f t="shared" si="3"/>
        <v>79.29089665</v>
      </c>
      <c r="K221" s="9">
        <f t="shared" si="4"/>
        <v>8.41889117</v>
      </c>
      <c r="L221" s="27" t="s">
        <v>2115</v>
      </c>
      <c r="M221" s="28">
        <v>42693.0</v>
      </c>
      <c r="N221" s="16" t="s">
        <v>241</v>
      </c>
      <c r="O221" s="8" t="s">
        <v>2116</v>
      </c>
      <c r="P221" s="1">
        <v>0.0</v>
      </c>
      <c r="Q221" s="1">
        <v>0.0</v>
      </c>
      <c r="R221" s="1">
        <v>0.0</v>
      </c>
      <c r="S221" s="1">
        <v>0.0</v>
      </c>
      <c r="T221" s="16" t="s">
        <v>27</v>
      </c>
      <c r="U221" s="16"/>
      <c r="V221" s="16"/>
    </row>
    <row r="222">
      <c r="A222" s="25">
        <v>45768.0</v>
      </c>
      <c r="B222" s="5" t="s">
        <v>58</v>
      </c>
      <c r="C222" s="5">
        <v>221.0</v>
      </c>
      <c r="D222" s="8" t="s">
        <v>2117</v>
      </c>
      <c r="E222" s="1">
        <f>IFERROR(__xludf.DUMMYFUNCTION("IF(D222="""", 0, COUNTA(SPLIT(D222, "" "")))"),2.0)</f>
        <v>2</v>
      </c>
      <c r="F222" s="8" t="s">
        <v>2118</v>
      </c>
      <c r="G222" s="12">
        <v>17412.0</v>
      </c>
      <c r="H222" s="26">
        <f t="shared" si="1"/>
        <v>0</v>
      </c>
      <c r="I222" s="26">
        <f t="shared" si="2"/>
        <v>2.36550308</v>
      </c>
      <c r="J222" s="26">
        <f t="shared" si="3"/>
        <v>77.63449692</v>
      </c>
      <c r="K222" s="9">
        <f t="shared" si="4"/>
        <v>8.41889117</v>
      </c>
      <c r="L222" s="27" t="s">
        <v>2119</v>
      </c>
      <c r="M222" s="28">
        <v>42693.0</v>
      </c>
      <c r="N222" s="16" t="s">
        <v>241</v>
      </c>
      <c r="O222" s="8" t="s">
        <v>2120</v>
      </c>
      <c r="P222" s="1">
        <v>0.0</v>
      </c>
      <c r="Q222" s="1">
        <v>0.0</v>
      </c>
      <c r="R222" s="1">
        <v>0.0</v>
      </c>
      <c r="S222" s="1">
        <v>0.0</v>
      </c>
      <c r="T222" s="16" t="s">
        <v>167</v>
      </c>
      <c r="U222" s="16"/>
      <c r="V222" s="16"/>
    </row>
    <row r="223">
      <c r="A223" s="25">
        <v>45768.0</v>
      </c>
      <c r="B223" s="5" t="s">
        <v>58</v>
      </c>
      <c r="C223" s="5">
        <v>222.0</v>
      </c>
      <c r="D223" s="17" t="s">
        <v>2121</v>
      </c>
      <c r="E223" s="1">
        <f>IFERROR(__xludf.DUMMYFUNCTION("IF(D223="""", 0, COUNTA(SPLIT(D223, "" "")))"),2.0)</f>
        <v>2</v>
      </c>
      <c r="F223" s="8" t="s">
        <v>2122</v>
      </c>
      <c r="G223" s="12">
        <v>10519.0</v>
      </c>
      <c r="H223" s="26">
        <f t="shared" si="1"/>
        <v>16.5065024</v>
      </c>
      <c r="I223" s="26">
        <f t="shared" si="2"/>
        <v>0</v>
      </c>
      <c r="J223" s="26">
        <f t="shared" si="3"/>
        <v>96.5065024</v>
      </c>
      <c r="K223" s="9">
        <f t="shared" si="4"/>
        <v>8.41889117</v>
      </c>
      <c r="L223" s="27" t="s">
        <v>2123</v>
      </c>
      <c r="M223" s="28">
        <v>42693.0</v>
      </c>
      <c r="N223" s="16" t="s">
        <v>241</v>
      </c>
      <c r="O223" s="8" t="s">
        <v>2124</v>
      </c>
      <c r="P223" s="1">
        <v>0.0</v>
      </c>
      <c r="Q223" s="1">
        <v>0.0</v>
      </c>
      <c r="R223" s="1">
        <v>0.0</v>
      </c>
      <c r="S223" s="1">
        <v>0.0</v>
      </c>
      <c r="T223" s="16" t="s">
        <v>2125</v>
      </c>
      <c r="U223" s="16"/>
      <c r="V223" s="16"/>
    </row>
    <row r="224">
      <c r="A224" s="25">
        <v>45768.0</v>
      </c>
      <c r="B224" s="5" t="s">
        <v>58</v>
      </c>
      <c r="C224" s="5">
        <v>223.0</v>
      </c>
      <c r="D224" s="17" t="s">
        <v>2126</v>
      </c>
      <c r="E224" s="1">
        <f>IFERROR(__xludf.DUMMYFUNCTION("IF(D224="""", 0, COUNTA(SPLIT(D224, "" "")))"),3.0)</f>
        <v>3</v>
      </c>
      <c r="F224" s="8" t="s">
        <v>2127</v>
      </c>
      <c r="G224" s="12">
        <v>16181.0</v>
      </c>
      <c r="H224" s="26">
        <f t="shared" si="1"/>
        <v>1.004791239</v>
      </c>
      <c r="I224" s="26">
        <f t="shared" si="2"/>
        <v>0</v>
      </c>
      <c r="J224" s="26">
        <f t="shared" si="3"/>
        <v>81.00479124</v>
      </c>
      <c r="K224" s="9">
        <f t="shared" si="4"/>
        <v>6.814510609</v>
      </c>
      <c r="L224" s="27" t="s">
        <v>2128</v>
      </c>
      <c r="M224" s="28">
        <v>43279.0</v>
      </c>
      <c r="N224" s="16" t="s">
        <v>241</v>
      </c>
      <c r="O224" s="8" t="s">
        <v>2129</v>
      </c>
      <c r="P224" s="1">
        <v>0.0</v>
      </c>
      <c r="Q224" s="1">
        <v>0.0</v>
      </c>
      <c r="R224" s="1">
        <v>0.0</v>
      </c>
      <c r="S224" s="1">
        <v>0.0</v>
      </c>
      <c r="T224" s="16" t="s">
        <v>163</v>
      </c>
      <c r="U224" s="16"/>
      <c r="V224" s="16"/>
    </row>
    <row r="225">
      <c r="A225" s="25">
        <v>45768.0</v>
      </c>
      <c r="B225" s="5" t="s">
        <v>58</v>
      </c>
      <c r="C225" s="5">
        <v>224.0</v>
      </c>
      <c r="D225" s="17" t="s">
        <v>2130</v>
      </c>
      <c r="E225" s="1">
        <f>IFERROR(__xludf.DUMMYFUNCTION("IF(D225="""", 0, COUNTA(SPLIT(D225, "" "")))"),3.0)</f>
        <v>3</v>
      </c>
      <c r="F225" s="8" t="s">
        <v>2131</v>
      </c>
      <c r="G225" s="12">
        <v>17686.0</v>
      </c>
      <c r="H225" s="26">
        <f t="shared" si="1"/>
        <v>0</v>
      </c>
      <c r="I225" s="26">
        <f t="shared" si="2"/>
        <v>3.115674196</v>
      </c>
      <c r="J225" s="26">
        <f t="shared" si="3"/>
        <v>76.8843258</v>
      </c>
      <c r="K225" s="9">
        <f t="shared" si="4"/>
        <v>6.814510609</v>
      </c>
      <c r="L225" s="27" t="s">
        <v>2132</v>
      </c>
      <c r="M225" s="28">
        <v>43279.0</v>
      </c>
      <c r="N225" s="16" t="s">
        <v>241</v>
      </c>
      <c r="O225" s="8" t="s">
        <v>2133</v>
      </c>
      <c r="P225" s="1">
        <v>0.0</v>
      </c>
      <c r="Q225" s="1">
        <v>0.0</v>
      </c>
      <c r="R225" s="1">
        <v>0.0</v>
      </c>
      <c r="S225" s="1">
        <v>0.0</v>
      </c>
      <c r="T225" s="16" t="s">
        <v>27</v>
      </c>
      <c r="U225" s="16"/>
      <c r="V225" s="16"/>
    </row>
    <row r="226">
      <c r="A226" s="25">
        <v>45768.0</v>
      </c>
      <c r="B226" s="5" t="s">
        <v>58</v>
      </c>
      <c r="C226" s="5">
        <v>225.0</v>
      </c>
      <c r="D226" s="8" t="s">
        <v>2134</v>
      </c>
      <c r="E226" s="1">
        <f>IFERROR(__xludf.DUMMYFUNCTION("IF(D226="""", 0, COUNTA(SPLIT(D226, "" "")))"),2.0)</f>
        <v>2</v>
      </c>
      <c r="F226" s="8" t="s">
        <v>2135</v>
      </c>
      <c r="G226" s="12">
        <v>23340.0</v>
      </c>
      <c r="H226" s="26">
        <f t="shared" si="1"/>
        <v>0</v>
      </c>
      <c r="I226" s="26">
        <f t="shared" si="2"/>
        <v>18.59548255</v>
      </c>
      <c r="J226" s="26">
        <f t="shared" si="3"/>
        <v>61.40451745</v>
      </c>
      <c r="K226" s="9">
        <f t="shared" si="4"/>
        <v>6.814510609</v>
      </c>
      <c r="L226" s="27" t="s">
        <v>2136</v>
      </c>
      <c r="M226" s="28">
        <v>43279.0</v>
      </c>
      <c r="N226" s="16" t="s">
        <v>241</v>
      </c>
      <c r="O226" s="8" t="s">
        <v>2137</v>
      </c>
      <c r="P226" s="1">
        <v>0.0</v>
      </c>
      <c r="Q226" s="1">
        <v>0.0</v>
      </c>
      <c r="R226" s="1">
        <v>0.0</v>
      </c>
      <c r="S226" s="1">
        <v>0.0</v>
      </c>
      <c r="T226" s="16" t="s">
        <v>204</v>
      </c>
      <c r="U226" s="16"/>
      <c r="V226" s="16"/>
    </row>
    <row r="227">
      <c r="A227" s="25">
        <v>45768.0</v>
      </c>
      <c r="B227" s="5" t="s">
        <v>58</v>
      </c>
      <c r="C227" s="5">
        <v>226.0</v>
      </c>
      <c r="D227" s="17" t="s">
        <v>2138</v>
      </c>
      <c r="E227" s="1">
        <f>IFERROR(__xludf.DUMMYFUNCTION("IF(D227="""", 0, COUNTA(SPLIT(D227, "" "")))"),3.0)</f>
        <v>3</v>
      </c>
      <c r="F227" s="8" t="s">
        <v>2139</v>
      </c>
      <c r="G227" s="12">
        <v>14017.0</v>
      </c>
      <c r="H227" s="26">
        <f t="shared" si="1"/>
        <v>6.929500342</v>
      </c>
      <c r="I227" s="26">
        <f t="shared" si="2"/>
        <v>0</v>
      </c>
      <c r="J227" s="26">
        <f t="shared" si="3"/>
        <v>86.92950034</v>
      </c>
      <c r="K227" s="9">
        <f t="shared" si="4"/>
        <v>6.814510609</v>
      </c>
      <c r="L227" s="27" t="s">
        <v>2140</v>
      </c>
      <c r="M227" s="28">
        <v>43279.0</v>
      </c>
      <c r="N227" s="16" t="s">
        <v>241</v>
      </c>
      <c r="O227" s="8" t="s">
        <v>2141</v>
      </c>
      <c r="P227" s="1">
        <v>0.0</v>
      </c>
      <c r="Q227" s="1">
        <v>0.0</v>
      </c>
      <c r="R227" s="1">
        <v>0.0</v>
      </c>
      <c r="S227" s="1">
        <v>0.0</v>
      </c>
      <c r="T227" s="16" t="s">
        <v>163</v>
      </c>
      <c r="U227" s="16"/>
      <c r="V227" s="16"/>
    </row>
    <row r="228">
      <c r="A228" s="25">
        <v>45768.0</v>
      </c>
      <c r="B228" s="5" t="s">
        <v>58</v>
      </c>
      <c r="C228" s="5">
        <v>227.0</v>
      </c>
      <c r="D228" s="8" t="s">
        <v>2142</v>
      </c>
      <c r="E228" s="1">
        <f>IFERROR(__xludf.DUMMYFUNCTION("IF(D228="""", 0, COUNTA(SPLIT(D228, "" "")))"),4.0)</f>
        <v>4</v>
      </c>
      <c r="F228" s="8" t="s">
        <v>2143</v>
      </c>
      <c r="G228" s="12">
        <v>24091.0</v>
      </c>
      <c r="H228" s="26">
        <f t="shared" si="1"/>
        <v>0</v>
      </c>
      <c r="I228" s="26">
        <f t="shared" si="2"/>
        <v>20.65160849</v>
      </c>
      <c r="J228" s="26">
        <f t="shared" si="3"/>
        <v>59.34839151</v>
      </c>
      <c r="K228" s="9">
        <f t="shared" si="4"/>
        <v>5.544147844</v>
      </c>
      <c r="L228" s="27" t="s">
        <v>2144</v>
      </c>
      <c r="M228" s="28">
        <v>43743.0</v>
      </c>
      <c r="N228" s="16" t="s">
        <v>241</v>
      </c>
      <c r="O228" s="8" t="s">
        <v>2145</v>
      </c>
      <c r="P228" s="1">
        <v>0.0</v>
      </c>
      <c r="Q228" s="1">
        <v>0.0</v>
      </c>
      <c r="R228" s="1">
        <v>0.0</v>
      </c>
      <c r="S228" s="1">
        <v>0.0</v>
      </c>
      <c r="T228" s="16" t="s">
        <v>218</v>
      </c>
      <c r="U228" s="16"/>
      <c r="V228" s="16"/>
    </row>
    <row r="229">
      <c r="A229" s="25">
        <v>45768.0</v>
      </c>
      <c r="B229" s="5" t="s">
        <v>58</v>
      </c>
      <c r="C229" s="5">
        <v>228.0</v>
      </c>
      <c r="D229" s="17" t="s">
        <v>2146</v>
      </c>
      <c r="E229" s="1">
        <f>IFERROR(__xludf.DUMMYFUNCTION("IF(D229="""", 0, COUNTA(SPLIT(D229, "" "")))"),2.0)</f>
        <v>2</v>
      </c>
      <c r="F229" s="8" t="s">
        <v>2147</v>
      </c>
      <c r="G229" s="12">
        <v>17001.0</v>
      </c>
      <c r="H229" s="26">
        <f t="shared" si="1"/>
        <v>0</v>
      </c>
      <c r="I229" s="26">
        <f t="shared" si="2"/>
        <v>1.240246407</v>
      </c>
      <c r="J229" s="26">
        <f t="shared" si="3"/>
        <v>78.75975359</v>
      </c>
      <c r="K229" s="9">
        <f t="shared" si="4"/>
        <v>5.544147844</v>
      </c>
      <c r="L229" s="27" t="s">
        <v>2148</v>
      </c>
      <c r="M229" s="28">
        <v>43743.0</v>
      </c>
      <c r="N229" s="16" t="s">
        <v>241</v>
      </c>
      <c r="O229" s="8" t="s">
        <v>2149</v>
      </c>
      <c r="P229" s="1">
        <v>0.0</v>
      </c>
      <c r="Q229" s="1">
        <v>0.0</v>
      </c>
      <c r="R229" s="1">
        <v>0.0</v>
      </c>
      <c r="S229" s="1">
        <v>0.0</v>
      </c>
      <c r="T229" s="16" t="s">
        <v>390</v>
      </c>
      <c r="U229" s="16"/>
      <c r="V229" s="16"/>
    </row>
    <row r="230">
      <c r="A230" s="25">
        <v>45768.0</v>
      </c>
      <c r="B230" s="5" t="s">
        <v>58</v>
      </c>
      <c r="C230" s="5">
        <v>229.0</v>
      </c>
      <c r="D230" s="17" t="s">
        <v>2150</v>
      </c>
      <c r="E230" s="1">
        <f>IFERROR(__xludf.DUMMYFUNCTION("IF(D230="""", 0, COUNTA(SPLIT(D230, "" "")))"),2.0)</f>
        <v>2</v>
      </c>
      <c r="F230" s="8" t="s">
        <v>2151</v>
      </c>
      <c r="G230" s="12">
        <v>13744.0</v>
      </c>
      <c r="H230" s="26">
        <f t="shared" si="1"/>
        <v>7.676933607</v>
      </c>
      <c r="I230" s="26">
        <f t="shared" si="2"/>
        <v>0</v>
      </c>
      <c r="J230" s="26">
        <f t="shared" si="3"/>
        <v>87.67693361</v>
      </c>
      <c r="K230" s="9">
        <f t="shared" si="4"/>
        <v>5.544147844</v>
      </c>
      <c r="L230" s="27" t="s">
        <v>2152</v>
      </c>
      <c r="M230" s="28">
        <v>43743.0</v>
      </c>
      <c r="N230" s="16" t="s">
        <v>241</v>
      </c>
      <c r="O230" s="8" t="s">
        <v>2153</v>
      </c>
      <c r="P230" s="1">
        <v>0.0</v>
      </c>
      <c r="Q230" s="1">
        <v>0.0</v>
      </c>
      <c r="R230" s="1">
        <v>0.0</v>
      </c>
      <c r="S230" s="1">
        <v>0.0</v>
      </c>
      <c r="T230" s="16" t="s">
        <v>167</v>
      </c>
      <c r="U230" s="16"/>
      <c r="V230" s="16"/>
    </row>
    <row r="231">
      <c r="A231" s="25">
        <v>45768.0</v>
      </c>
      <c r="B231" s="5" t="s">
        <v>58</v>
      </c>
      <c r="C231" s="5">
        <v>230.0</v>
      </c>
      <c r="D231" s="8" t="s">
        <v>2154</v>
      </c>
      <c r="E231" s="1">
        <f>IFERROR(__xludf.DUMMYFUNCTION("IF(D231="""", 0, COUNTA(SPLIT(D231, "" "")))"),2.0)</f>
        <v>2</v>
      </c>
      <c r="F231" s="8" t="s">
        <v>2155</v>
      </c>
      <c r="G231" s="12">
        <v>20871.0</v>
      </c>
      <c r="H231" s="26">
        <f t="shared" si="1"/>
        <v>0</v>
      </c>
      <c r="I231" s="26">
        <f t="shared" si="2"/>
        <v>11.83572895</v>
      </c>
      <c r="J231" s="26">
        <f t="shared" si="3"/>
        <v>68.16427105</v>
      </c>
      <c r="K231" s="9">
        <f t="shared" si="4"/>
        <v>4.394250513</v>
      </c>
      <c r="L231" s="27" t="s">
        <v>2156</v>
      </c>
      <c r="M231" s="28">
        <v>44163.0</v>
      </c>
      <c r="N231" s="16" t="s">
        <v>241</v>
      </c>
      <c r="O231" s="8" t="s">
        <v>2157</v>
      </c>
      <c r="P231" s="1">
        <v>0.0</v>
      </c>
      <c r="Q231" s="1">
        <v>0.0</v>
      </c>
      <c r="R231" s="1">
        <v>0.0</v>
      </c>
      <c r="S231" s="1">
        <v>0.0</v>
      </c>
      <c r="T231" s="16" t="s">
        <v>2158</v>
      </c>
      <c r="U231" s="16"/>
      <c r="V231" s="16"/>
    </row>
    <row r="232">
      <c r="A232" s="25">
        <v>45768.0</v>
      </c>
      <c r="B232" s="5" t="s">
        <v>58</v>
      </c>
      <c r="C232" s="5">
        <v>231.0</v>
      </c>
      <c r="D232" s="8" t="s">
        <v>2159</v>
      </c>
      <c r="E232" s="1">
        <f>IFERROR(__xludf.DUMMYFUNCTION("IF(D232="""", 0, COUNTA(SPLIT(D232, "" "")))"),2.0)</f>
        <v>2</v>
      </c>
      <c r="F232" s="8" t="s">
        <v>2160</v>
      </c>
      <c r="G232" s="12">
        <v>17523.0</v>
      </c>
      <c r="H232" s="26">
        <f t="shared" si="1"/>
        <v>0</v>
      </c>
      <c r="I232" s="26">
        <f t="shared" si="2"/>
        <v>2.669404517</v>
      </c>
      <c r="J232" s="26">
        <f t="shared" si="3"/>
        <v>77.33059548</v>
      </c>
      <c r="K232" s="9">
        <f t="shared" si="4"/>
        <v>4.394250513</v>
      </c>
      <c r="L232" s="27" t="s">
        <v>2161</v>
      </c>
      <c r="M232" s="28">
        <v>44163.0</v>
      </c>
      <c r="N232" s="16" t="s">
        <v>241</v>
      </c>
      <c r="O232" s="8" t="s">
        <v>2162</v>
      </c>
      <c r="P232" s="1">
        <v>0.0</v>
      </c>
      <c r="Q232" s="1">
        <v>0.0</v>
      </c>
      <c r="R232" s="1">
        <v>0.0</v>
      </c>
      <c r="S232" s="1">
        <v>0.0</v>
      </c>
      <c r="T232" s="16" t="s">
        <v>27</v>
      </c>
      <c r="U232" s="16"/>
      <c r="V232" s="16"/>
    </row>
    <row r="233">
      <c r="A233" s="25">
        <v>45768.0</v>
      </c>
      <c r="B233" s="5" t="s">
        <v>58</v>
      </c>
      <c r="C233" s="5">
        <v>232.0</v>
      </c>
      <c r="D233" s="17" t="s">
        <v>2163</v>
      </c>
      <c r="E233" s="1">
        <f>IFERROR(__xludf.DUMMYFUNCTION("IF(D233="""", 0, COUNTA(SPLIT(D233, "" "")))"),2.0)</f>
        <v>2</v>
      </c>
      <c r="F233" s="8" t="s">
        <v>2164</v>
      </c>
      <c r="G233" s="12">
        <v>24042.0</v>
      </c>
      <c r="H233" s="26">
        <f t="shared" si="1"/>
        <v>0</v>
      </c>
      <c r="I233" s="26">
        <f t="shared" si="2"/>
        <v>20.5174538</v>
      </c>
      <c r="J233" s="26">
        <f t="shared" si="3"/>
        <v>59.4825462</v>
      </c>
      <c r="K233" s="9">
        <f t="shared" si="4"/>
        <v>4.394250513</v>
      </c>
      <c r="L233" s="27" t="s">
        <v>2165</v>
      </c>
      <c r="M233" s="28">
        <v>44163.0</v>
      </c>
      <c r="N233" s="16" t="s">
        <v>241</v>
      </c>
      <c r="O233" s="8" t="s">
        <v>2166</v>
      </c>
      <c r="P233" s="1">
        <v>0.0</v>
      </c>
      <c r="Q233" s="1">
        <v>0.0</v>
      </c>
      <c r="R233" s="1">
        <v>0.0</v>
      </c>
      <c r="S233" s="1">
        <v>0.0</v>
      </c>
      <c r="T233" s="16" t="s">
        <v>27</v>
      </c>
      <c r="U233" s="16"/>
      <c r="V233" s="16"/>
    </row>
    <row r="234">
      <c r="A234" s="25">
        <v>45768.0</v>
      </c>
      <c r="B234" s="5" t="s">
        <v>58</v>
      </c>
      <c r="C234" s="5">
        <v>233.0</v>
      </c>
      <c r="D234" s="17" t="s">
        <v>2167</v>
      </c>
      <c r="E234" s="1">
        <f>IFERROR(__xludf.DUMMYFUNCTION("IF(D234="""", 0, COUNTA(SPLIT(D234, "" "")))"),3.0)</f>
        <v>3</v>
      </c>
      <c r="F234" s="8" t="s">
        <v>2168</v>
      </c>
      <c r="G234" s="12">
        <v>14896.0</v>
      </c>
      <c r="H234" s="26">
        <f t="shared" si="1"/>
        <v>4.5229295</v>
      </c>
      <c r="I234" s="26">
        <f t="shared" si="2"/>
        <v>0</v>
      </c>
      <c r="J234" s="26">
        <f t="shared" si="3"/>
        <v>84.5229295</v>
      </c>
      <c r="K234" s="9">
        <f t="shared" si="4"/>
        <v>4.394250513</v>
      </c>
      <c r="L234" s="27" t="s">
        <v>2169</v>
      </c>
      <c r="M234" s="28">
        <v>44163.0</v>
      </c>
      <c r="N234" s="16" t="s">
        <v>241</v>
      </c>
      <c r="O234" s="8" t="s">
        <v>2170</v>
      </c>
      <c r="P234" s="1">
        <v>0.0</v>
      </c>
      <c r="Q234" s="1">
        <v>0.0</v>
      </c>
      <c r="R234" s="1">
        <v>0.0</v>
      </c>
      <c r="S234" s="1">
        <v>0.0</v>
      </c>
      <c r="T234" s="16" t="s">
        <v>27</v>
      </c>
      <c r="U234" s="16"/>
      <c r="V234" s="16"/>
    </row>
    <row r="235">
      <c r="A235" s="25">
        <v>45768.0</v>
      </c>
      <c r="B235" s="5" t="s">
        <v>58</v>
      </c>
      <c r="C235" s="5">
        <v>234.0</v>
      </c>
      <c r="D235" s="17" t="s">
        <v>2171</v>
      </c>
      <c r="E235" s="1">
        <f>IFERROR(__xludf.DUMMYFUNCTION("IF(D235="""", 0, COUNTA(SPLIT(D235, "" "")))"),2.0)</f>
        <v>2</v>
      </c>
      <c r="F235" s="8" t="s">
        <v>2172</v>
      </c>
      <c r="G235" s="12">
        <v>12622.0</v>
      </c>
      <c r="H235" s="26">
        <f t="shared" si="1"/>
        <v>10.74880219</v>
      </c>
      <c r="I235" s="26">
        <f t="shared" si="2"/>
        <v>0</v>
      </c>
      <c r="J235" s="26">
        <f t="shared" si="3"/>
        <v>90.74880219</v>
      </c>
      <c r="K235" s="9">
        <f t="shared" si="4"/>
        <v>4.394250513</v>
      </c>
      <c r="L235" s="27" t="s">
        <v>2173</v>
      </c>
      <c r="M235" s="28">
        <v>44163.0</v>
      </c>
      <c r="N235" s="16" t="s">
        <v>241</v>
      </c>
      <c r="O235" s="8" t="s">
        <v>2174</v>
      </c>
      <c r="P235" s="1">
        <v>0.0</v>
      </c>
      <c r="Q235" s="1">
        <v>0.0</v>
      </c>
      <c r="R235" s="1">
        <v>0.0</v>
      </c>
      <c r="S235" s="1">
        <v>0.0</v>
      </c>
      <c r="T235" s="16" t="s">
        <v>27</v>
      </c>
      <c r="U235" s="16"/>
      <c r="V235" s="16"/>
    </row>
    <row r="236">
      <c r="A236" s="25">
        <v>45768.0</v>
      </c>
      <c r="B236" s="5" t="s">
        <v>58</v>
      </c>
      <c r="C236" s="5">
        <v>235.0</v>
      </c>
      <c r="D236" s="17" t="s">
        <v>2175</v>
      </c>
      <c r="E236" s="1">
        <f>IFERROR(__xludf.DUMMYFUNCTION("IF(D236="""", 0, COUNTA(SPLIT(D236, "" "")))"),2.0)</f>
        <v>2</v>
      </c>
      <c r="F236" s="8" t="s">
        <v>2176</v>
      </c>
      <c r="G236" s="12">
        <v>14850.0</v>
      </c>
      <c r="H236" s="26">
        <f t="shared" si="1"/>
        <v>4.648870637</v>
      </c>
      <c r="I236" s="26">
        <f t="shared" si="2"/>
        <v>0</v>
      </c>
      <c r="J236" s="26">
        <f t="shared" si="3"/>
        <v>84.64887064</v>
      </c>
      <c r="K236" s="9">
        <f t="shared" si="4"/>
        <v>4.394250513</v>
      </c>
      <c r="L236" s="27" t="s">
        <v>2177</v>
      </c>
      <c r="M236" s="28">
        <v>44163.0</v>
      </c>
      <c r="N236" s="16" t="s">
        <v>241</v>
      </c>
      <c r="O236" s="8" t="s">
        <v>2178</v>
      </c>
      <c r="P236" s="1">
        <v>0.0</v>
      </c>
      <c r="Q236" s="1">
        <v>0.0</v>
      </c>
      <c r="R236" s="1">
        <v>0.0</v>
      </c>
      <c r="S236" s="1">
        <v>0.0</v>
      </c>
      <c r="T236" s="16" t="s">
        <v>27</v>
      </c>
      <c r="U236" s="16"/>
      <c r="V236" s="16"/>
    </row>
    <row r="237">
      <c r="A237" s="25">
        <v>45768.0</v>
      </c>
      <c r="B237" s="5" t="s">
        <v>58</v>
      </c>
      <c r="C237" s="5">
        <v>236.0</v>
      </c>
      <c r="D237" s="8" t="s">
        <v>2179</v>
      </c>
      <c r="E237" s="1">
        <f>IFERROR(__xludf.DUMMYFUNCTION("IF(D237="""", 0, COUNTA(SPLIT(D237, "" "")))"),2.0)</f>
        <v>2</v>
      </c>
      <c r="F237" s="8" t="s">
        <v>2180</v>
      </c>
      <c r="G237" s="12">
        <v>18328.0</v>
      </c>
      <c r="H237" s="26">
        <f t="shared" si="1"/>
        <v>0</v>
      </c>
      <c r="I237" s="26">
        <f t="shared" si="2"/>
        <v>4.873374401</v>
      </c>
      <c r="J237" s="26">
        <f t="shared" si="3"/>
        <v>75.1266256</v>
      </c>
      <c r="K237" s="9">
        <f t="shared" si="4"/>
        <v>2.650239562</v>
      </c>
      <c r="L237" s="27" t="s">
        <v>2181</v>
      </c>
      <c r="M237" s="28">
        <v>44800.0</v>
      </c>
      <c r="N237" s="16" t="s">
        <v>241</v>
      </c>
      <c r="O237" s="8" t="s">
        <v>2182</v>
      </c>
      <c r="P237" s="1">
        <v>0.0</v>
      </c>
      <c r="Q237" s="1">
        <v>0.0</v>
      </c>
      <c r="R237" s="1">
        <v>0.0</v>
      </c>
      <c r="S237" s="1">
        <v>0.0</v>
      </c>
      <c r="T237" s="16" t="s">
        <v>167</v>
      </c>
      <c r="U237" s="16"/>
      <c r="V237" s="16"/>
    </row>
    <row r="238">
      <c r="A238" s="25">
        <v>45768.0</v>
      </c>
      <c r="B238" s="5" t="s">
        <v>58</v>
      </c>
      <c r="C238" s="5">
        <v>237.0</v>
      </c>
      <c r="D238" s="8" t="s">
        <v>2183</v>
      </c>
      <c r="E238" s="1">
        <f>IFERROR(__xludf.DUMMYFUNCTION("IF(D238="""", 0, COUNTA(SPLIT(D238, "" "")))"),3.0)</f>
        <v>3</v>
      </c>
      <c r="F238" s="8" t="s">
        <v>2184</v>
      </c>
      <c r="G238" s="12">
        <v>18949.0</v>
      </c>
      <c r="H238" s="26">
        <f t="shared" si="1"/>
        <v>0</v>
      </c>
      <c r="I238" s="26">
        <f t="shared" si="2"/>
        <v>6.57357974</v>
      </c>
      <c r="J238" s="26">
        <f t="shared" si="3"/>
        <v>73.42642026</v>
      </c>
      <c r="K238" s="9">
        <f t="shared" si="4"/>
        <v>2.650239562</v>
      </c>
      <c r="L238" s="27" t="s">
        <v>2185</v>
      </c>
      <c r="M238" s="28">
        <v>44800.0</v>
      </c>
      <c r="N238" s="16" t="s">
        <v>241</v>
      </c>
      <c r="O238" s="8" t="s">
        <v>2186</v>
      </c>
      <c r="P238" s="1">
        <v>0.0</v>
      </c>
      <c r="Q238" s="1">
        <v>0.0</v>
      </c>
      <c r="R238" s="1">
        <v>0.0</v>
      </c>
      <c r="S238" s="1">
        <v>0.0</v>
      </c>
      <c r="T238" s="16" t="s">
        <v>1030</v>
      </c>
      <c r="U238" s="16"/>
      <c r="V238" s="16"/>
    </row>
    <row r="239">
      <c r="A239" s="25">
        <v>45768.0</v>
      </c>
      <c r="B239" s="5" t="s">
        <v>58</v>
      </c>
      <c r="C239" s="5">
        <v>238.0</v>
      </c>
      <c r="D239" s="17" t="s">
        <v>2187</v>
      </c>
      <c r="E239" s="1">
        <f>IFERROR(__xludf.DUMMYFUNCTION("IF(D239="""", 0, COUNTA(SPLIT(D239, "" "")))"),3.0)</f>
        <v>3</v>
      </c>
      <c r="F239" s="8" t="s">
        <v>2188</v>
      </c>
      <c r="G239" s="12">
        <v>16497.0</v>
      </c>
      <c r="H239" s="26">
        <f t="shared" si="1"/>
        <v>0.1396303901</v>
      </c>
      <c r="I239" s="26">
        <f t="shared" si="2"/>
        <v>0</v>
      </c>
      <c r="J239" s="26">
        <f t="shared" si="3"/>
        <v>80.13963039</v>
      </c>
      <c r="K239" s="9">
        <f t="shared" si="4"/>
        <v>2.650239562</v>
      </c>
      <c r="L239" s="27" t="s">
        <v>2189</v>
      </c>
      <c r="M239" s="28">
        <v>44800.0</v>
      </c>
      <c r="N239" s="16" t="s">
        <v>241</v>
      </c>
      <c r="O239" s="8" t="s">
        <v>2190</v>
      </c>
      <c r="P239" s="1">
        <v>0.0</v>
      </c>
      <c r="Q239" s="1">
        <v>0.0</v>
      </c>
      <c r="R239" s="1">
        <v>0.0</v>
      </c>
      <c r="S239" s="1">
        <v>0.0</v>
      </c>
      <c r="T239" s="16" t="s">
        <v>163</v>
      </c>
      <c r="U239" s="16"/>
      <c r="V239" s="16"/>
    </row>
    <row r="240">
      <c r="A240" s="25">
        <v>45768.0</v>
      </c>
      <c r="B240" s="5" t="s">
        <v>58</v>
      </c>
      <c r="C240" s="5">
        <v>239.0</v>
      </c>
      <c r="D240" s="17" t="s">
        <v>2191</v>
      </c>
      <c r="E240" s="1">
        <f>IFERROR(__xludf.DUMMYFUNCTION("IF(D240="""", 0, COUNTA(SPLIT(D240, "" "")))"),2.0)</f>
        <v>2</v>
      </c>
      <c r="F240" s="8" t="s">
        <v>2192</v>
      </c>
      <c r="G240" s="12">
        <v>15527.0</v>
      </c>
      <c r="H240" s="26">
        <f t="shared" si="1"/>
        <v>2.795345654</v>
      </c>
      <c r="I240" s="26">
        <f t="shared" si="2"/>
        <v>0</v>
      </c>
      <c r="J240" s="26">
        <f t="shared" si="3"/>
        <v>82.79534565</v>
      </c>
      <c r="K240" s="9">
        <f t="shared" si="4"/>
        <v>2.650239562</v>
      </c>
      <c r="L240" s="27" t="s">
        <v>2193</v>
      </c>
      <c r="M240" s="28">
        <v>44800.0</v>
      </c>
      <c r="N240" s="16" t="s">
        <v>241</v>
      </c>
      <c r="O240" s="8" t="s">
        <v>2194</v>
      </c>
      <c r="P240" s="1">
        <v>0.0</v>
      </c>
      <c r="Q240" s="1">
        <v>0.0</v>
      </c>
      <c r="R240" s="1">
        <v>0.0</v>
      </c>
      <c r="S240" s="1">
        <v>0.0</v>
      </c>
      <c r="T240" s="16" t="s">
        <v>27</v>
      </c>
      <c r="U240" s="16"/>
      <c r="V240" s="16"/>
    </row>
    <row r="241">
      <c r="A241" s="25">
        <v>45768.0</v>
      </c>
      <c r="B241" s="5" t="s">
        <v>58</v>
      </c>
      <c r="C241" s="5">
        <v>240.0</v>
      </c>
      <c r="D241" s="17" t="s">
        <v>2195</v>
      </c>
      <c r="E241" s="1">
        <f>IFERROR(__xludf.DUMMYFUNCTION("IF(D241="""", 0, COUNTA(SPLIT(D241, "" "")))"),2.0)</f>
        <v>2</v>
      </c>
      <c r="F241" s="8" t="s">
        <v>2196</v>
      </c>
      <c r="G241" s="12">
        <v>15378.0</v>
      </c>
      <c r="H241" s="26">
        <f t="shared" si="1"/>
        <v>3.203285421</v>
      </c>
      <c r="I241" s="26">
        <f t="shared" si="2"/>
        <v>0</v>
      </c>
      <c r="J241" s="26">
        <f t="shared" si="3"/>
        <v>83.20328542</v>
      </c>
      <c r="K241" s="9">
        <f t="shared" si="4"/>
        <v>2.650239562</v>
      </c>
      <c r="L241" s="27" t="s">
        <v>2197</v>
      </c>
      <c r="M241" s="28">
        <v>44800.0</v>
      </c>
      <c r="N241" s="16" t="s">
        <v>241</v>
      </c>
      <c r="O241" s="8" t="s">
        <v>2198</v>
      </c>
      <c r="P241" s="1">
        <v>0.0</v>
      </c>
      <c r="Q241" s="1">
        <v>0.0</v>
      </c>
      <c r="R241" s="1">
        <v>0.0</v>
      </c>
      <c r="S241" s="1">
        <v>0.0</v>
      </c>
      <c r="T241" s="16" t="s">
        <v>27</v>
      </c>
      <c r="U241" s="16"/>
      <c r="V241" s="16"/>
    </row>
    <row r="242">
      <c r="A242" s="25">
        <v>45768.0</v>
      </c>
      <c r="B242" s="5" t="s">
        <v>58</v>
      </c>
      <c r="C242" s="5">
        <v>241.0</v>
      </c>
      <c r="D242" s="8" t="s">
        <v>2199</v>
      </c>
      <c r="E242" s="1">
        <f>IFERROR(__xludf.DUMMYFUNCTION("IF(D242="""", 0, COUNTA(SPLIT(D242, "" "")))"),2.0)</f>
        <v>2</v>
      </c>
      <c r="F242" s="8" t="s">
        <v>2200</v>
      </c>
      <c r="G242" s="12">
        <v>20369.0</v>
      </c>
      <c r="H242" s="26">
        <f t="shared" si="1"/>
        <v>0</v>
      </c>
      <c r="I242" s="26">
        <f t="shared" si="2"/>
        <v>10.46132786</v>
      </c>
      <c r="J242" s="26">
        <f t="shared" si="3"/>
        <v>69.53867214</v>
      </c>
      <c r="K242" s="9">
        <f t="shared" si="4"/>
        <v>1.557837098</v>
      </c>
      <c r="L242" s="27" t="s">
        <v>2201</v>
      </c>
      <c r="M242" s="28">
        <v>45199.0</v>
      </c>
      <c r="N242" s="16" t="s">
        <v>241</v>
      </c>
      <c r="O242" s="8" t="s">
        <v>2202</v>
      </c>
      <c r="P242" s="1">
        <v>0.0</v>
      </c>
      <c r="Q242" s="1">
        <v>0.0</v>
      </c>
      <c r="R242" s="1">
        <v>0.0</v>
      </c>
      <c r="S242" s="1">
        <v>0.0345</v>
      </c>
      <c r="T242" s="16" t="s">
        <v>27</v>
      </c>
      <c r="U242" s="16"/>
      <c r="V242" s="16"/>
    </row>
    <row r="243">
      <c r="A243" s="25">
        <v>45768.0</v>
      </c>
      <c r="B243" s="5" t="s">
        <v>58</v>
      </c>
      <c r="C243" s="5">
        <v>242.0</v>
      </c>
      <c r="D243" s="8" t="s">
        <v>2203</v>
      </c>
      <c r="E243" s="1">
        <f>IFERROR(__xludf.DUMMYFUNCTION("IF(D243="""", 0, COUNTA(SPLIT(D243, "" "")))"),3.0)</f>
        <v>3</v>
      </c>
      <c r="F243" s="8" t="s">
        <v>2204</v>
      </c>
      <c r="G243" s="12">
        <v>22845.0</v>
      </c>
      <c r="H243" s="26">
        <f t="shared" si="1"/>
        <v>0</v>
      </c>
      <c r="I243" s="26">
        <f t="shared" si="2"/>
        <v>17.24024641</v>
      </c>
      <c r="J243" s="26">
        <f t="shared" si="3"/>
        <v>62.75975359</v>
      </c>
      <c r="K243" s="9">
        <f t="shared" si="4"/>
        <v>1.557837098</v>
      </c>
      <c r="L243" s="27" t="s">
        <v>2205</v>
      </c>
      <c r="M243" s="28">
        <v>45199.0</v>
      </c>
      <c r="N243" s="16" t="s">
        <v>241</v>
      </c>
      <c r="O243" s="8" t="s">
        <v>2206</v>
      </c>
      <c r="P243" s="1">
        <v>0.0</v>
      </c>
      <c r="Q243" s="1">
        <v>0.0</v>
      </c>
      <c r="R243" s="1">
        <v>0.0</v>
      </c>
      <c r="S243" s="1">
        <v>0.0</v>
      </c>
      <c r="T243" s="16" t="s">
        <v>163</v>
      </c>
      <c r="U243" s="16"/>
      <c r="V243" s="16"/>
    </row>
    <row r="244">
      <c r="A244" s="25">
        <v>45768.0</v>
      </c>
      <c r="B244" s="5" t="s">
        <v>58</v>
      </c>
      <c r="C244" s="5">
        <v>243.0</v>
      </c>
      <c r="D244" s="8" t="s">
        <v>2207</v>
      </c>
      <c r="E244" s="1">
        <f>IFERROR(__xludf.DUMMYFUNCTION("IF(D244="""", 0, COUNTA(SPLIT(D244, "" "")))"),3.0)</f>
        <v>3</v>
      </c>
      <c r="F244" s="8" t="s">
        <v>2208</v>
      </c>
      <c r="G244" s="12">
        <v>17201.0</v>
      </c>
      <c r="H244" s="26">
        <f t="shared" si="1"/>
        <v>0</v>
      </c>
      <c r="I244" s="26">
        <f t="shared" si="2"/>
        <v>1.787816564</v>
      </c>
      <c r="J244" s="26">
        <f t="shared" si="3"/>
        <v>78.21218344</v>
      </c>
      <c r="K244" s="9">
        <f t="shared" si="4"/>
        <v>1.557837098</v>
      </c>
      <c r="L244" s="27" t="s">
        <v>2209</v>
      </c>
      <c r="M244" s="28">
        <v>45199.0</v>
      </c>
      <c r="N244" s="16" t="s">
        <v>241</v>
      </c>
      <c r="O244" s="8" t="s">
        <v>2210</v>
      </c>
      <c r="P244" s="1">
        <v>0.0</v>
      </c>
      <c r="Q244" s="1">
        <v>0.0</v>
      </c>
      <c r="R244" s="1">
        <v>0.0</v>
      </c>
      <c r="S244" s="1">
        <v>0.0</v>
      </c>
      <c r="T244" s="16" t="s">
        <v>159</v>
      </c>
      <c r="U244" s="16"/>
      <c r="V244" s="16"/>
    </row>
    <row r="245">
      <c r="A245" s="25">
        <v>45768.0</v>
      </c>
      <c r="B245" s="5" t="s">
        <v>58</v>
      </c>
      <c r="C245" s="5">
        <v>244.0</v>
      </c>
      <c r="D245" s="8" t="s">
        <v>2211</v>
      </c>
      <c r="E245" s="1">
        <f>IFERROR(__xludf.DUMMYFUNCTION("IF(D245="""", 0, COUNTA(SPLIT(D245, "" "")))"),2.0)</f>
        <v>2</v>
      </c>
      <c r="F245" s="8" t="s">
        <v>2212</v>
      </c>
      <c r="G245" s="12">
        <v>16832.0</v>
      </c>
      <c r="H245" s="26">
        <f t="shared" si="1"/>
        <v>0</v>
      </c>
      <c r="I245" s="26">
        <f t="shared" si="2"/>
        <v>0.7775496235</v>
      </c>
      <c r="J245" s="26">
        <f t="shared" si="3"/>
        <v>79.22245038</v>
      </c>
      <c r="K245" s="9">
        <f t="shared" si="4"/>
        <v>1.557837098</v>
      </c>
      <c r="L245" s="27" t="s">
        <v>2213</v>
      </c>
      <c r="M245" s="28">
        <v>45199.0</v>
      </c>
      <c r="N245" s="16" t="s">
        <v>241</v>
      </c>
      <c r="O245" s="8" t="s">
        <v>2214</v>
      </c>
      <c r="P245" s="1">
        <v>0.0</v>
      </c>
      <c r="Q245" s="1">
        <v>0.0</v>
      </c>
      <c r="R245" s="1">
        <v>0.0</v>
      </c>
      <c r="S245" s="1">
        <v>0.0</v>
      </c>
      <c r="T245" s="16" t="s">
        <v>174</v>
      </c>
      <c r="U245" s="16"/>
      <c r="V245" s="16"/>
    </row>
    <row r="246">
      <c r="A246" s="25">
        <v>45768.0</v>
      </c>
      <c r="B246" s="5" t="s">
        <v>58</v>
      </c>
      <c r="C246" s="5">
        <v>245.0</v>
      </c>
      <c r="D246" s="17" t="s">
        <v>2215</v>
      </c>
      <c r="E246" s="1">
        <f>IFERROR(__xludf.DUMMYFUNCTION("IF(D246="""", 0, COUNTA(SPLIT(D246, "" "")))"),3.0)</f>
        <v>3</v>
      </c>
      <c r="F246" s="8" t="s">
        <v>2216</v>
      </c>
      <c r="G246" s="12">
        <v>22149.0</v>
      </c>
      <c r="H246" s="26">
        <f t="shared" si="1"/>
        <v>0</v>
      </c>
      <c r="I246" s="26">
        <f t="shared" si="2"/>
        <v>15.33470226</v>
      </c>
      <c r="J246" s="26">
        <f t="shared" si="3"/>
        <v>64.66529774</v>
      </c>
      <c r="K246" s="9">
        <f t="shared" si="4"/>
        <v>1.557837098</v>
      </c>
      <c r="L246" s="27" t="s">
        <v>2217</v>
      </c>
      <c r="M246" s="28">
        <v>45199.0</v>
      </c>
      <c r="N246" s="16" t="s">
        <v>241</v>
      </c>
      <c r="O246" s="8" t="s">
        <v>2218</v>
      </c>
      <c r="P246" s="1">
        <v>0.0</v>
      </c>
      <c r="Q246" s="1">
        <v>0.0</v>
      </c>
      <c r="R246" s="1">
        <v>0.0</v>
      </c>
      <c r="S246" s="1">
        <v>0.0</v>
      </c>
      <c r="T246" s="16" t="s">
        <v>163</v>
      </c>
      <c r="U246" s="16"/>
      <c r="V246" s="16"/>
    </row>
    <row r="247">
      <c r="A247" s="25">
        <v>45768.0</v>
      </c>
      <c r="B247" s="5" t="s">
        <v>58</v>
      </c>
      <c r="C247" s="5">
        <v>246.0</v>
      </c>
      <c r="D247" s="17" t="s">
        <v>2219</v>
      </c>
      <c r="E247" s="1">
        <f>IFERROR(__xludf.DUMMYFUNCTION("IF(D247="""", 0, COUNTA(SPLIT(D247, "" "")))"),2.0)</f>
        <v>2</v>
      </c>
      <c r="F247" s="8" t="s">
        <v>2220</v>
      </c>
      <c r="G247" s="12">
        <v>14851.0</v>
      </c>
      <c r="H247" s="26">
        <f t="shared" si="1"/>
        <v>4.646132786</v>
      </c>
      <c r="I247" s="26">
        <f t="shared" si="2"/>
        <v>0</v>
      </c>
      <c r="J247" s="26">
        <f t="shared" si="3"/>
        <v>84.64613279</v>
      </c>
      <c r="K247" s="9">
        <f t="shared" si="4"/>
        <v>1.557837098</v>
      </c>
      <c r="L247" s="27" t="s">
        <v>2221</v>
      </c>
      <c r="M247" s="28">
        <v>45199.0</v>
      </c>
      <c r="N247" s="16" t="s">
        <v>241</v>
      </c>
      <c r="O247" s="8" t="s">
        <v>2222</v>
      </c>
      <c r="P247" s="1">
        <v>0.0</v>
      </c>
      <c r="Q247" s="1">
        <v>0.0</v>
      </c>
      <c r="R247" s="1">
        <v>0.0</v>
      </c>
      <c r="S247" s="1">
        <v>0.0</v>
      </c>
      <c r="T247" s="16" t="s">
        <v>27</v>
      </c>
      <c r="U247" s="16"/>
      <c r="V247" s="16"/>
    </row>
    <row r="248">
      <c r="A248" s="25">
        <v>45768.0</v>
      </c>
      <c r="B248" s="5" t="s">
        <v>58</v>
      </c>
      <c r="C248" s="5">
        <v>247.0</v>
      </c>
      <c r="D248" s="17" t="s">
        <v>2223</v>
      </c>
      <c r="E248" s="1">
        <f>IFERROR(__xludf.DUMMYFUNCTION("IF(D248="""", 0, COUNTA(SPLIT(D248, "" "")))"),3.0)</f>
        <v>3</v>
      </c>
      <c r="F248" s="8" t="s">
        <v>2224</v>
      </c>
      <c r="G248" s="12">
        <v>9969.0</v>
      </c>
      <c r="H248" s="26">
        <f t="shared" si="1"/>
        <v>18.01232033</v>
      </c>
      <c r="I248" s="26">
        <f t="shared" si="2"/>
        <v>0</v>
      </c>
      <c r="J248" s="26">
        <f t="shared" si="3"/>
        <v>98.01232033</v>
      </c>
      <c r="K248" s="9">
        <f t="shared" si="4"/>
        <v>1.557837098</v>
      </c>
      <c r="L248" s="27" t="s">
        <v>2225</v>
      </c>
      <c r="M248" s="28">
        <v>45199.0</v>
      </c>
      <c r="N248" s="16" t="s">
        <v>241</v>
      </c>
      <c r="O248" s="8" t="s">
        <v>2226</v>
      </c>
      <c r="P248" s="1">
        <v>0.0</v>
      </c>
      <c r="Q248" s="1">
        <v>0.0</v>
      </c>
      <c r="R248" s="1">
        <v>0.0</v>
      </c>
      <c r="S248" s="1">
        <v>0.0</v>
      </c>
      <c r="T248" s="16" t="s">
        <v>163</v>
      </c>
      <c r="U248" s="16"/>
      <c r="V248" s="16"/>
    </row>
    <row r="249">
      <c r="A249" s="25">
        <v>45768.0</v>
      </c>
      <c r="B249" s="5" t="s">
        <v>58</v>
      </c>
      <c r="C249" s="5">
        <v>248.0</v>
      </c>
      <c r="D249" s="17" t="s">
        <v>2227</v>
      </c>
      <c r="E249" s="1">
        <f>IFERROR(__xludf.DUMMYFUNCTION("IF(D249="""", 0, COUNTA(SPLIT(D249, "" "")))"),2.0)</f>
        <v>2</v>
      </c>
      <c r="F249" s="8" t="s">
        <v>2228</v>
      </c>
      <c r="G249" s="12">
        <v>9398.0</v>
      </c>
      <c r="H249" s="26">
        <f t="shared" si="1"/>
        <v>19.57563313</v>
      </c>
      <c r="I249" s="26">
        <f t="shared" si="2"/>
        <v>0</v>
      </c>
      <c r="J249" s="26">
        <f t="shared" si="3"/>
        <v>99.57563313</v>
      </c>
      <c r="K249" s="9">
        <f t="shared" si="4"/>
        <v>0.3696098563</v>
      </c>
      <c r="L249" s="27" t="s">
        <v>2229</v>
      </c>
      <c r="M249" s="28">
        <v>45633.0</v>
      </c>
      <c r="N249" s="16" t="s">
        <v>241</v>
      </c>
      <c r="O249" s="8" t="s">
        <v>2230</v>
      </c>
      <c r="P249" s="1">
        <v>0.0</v>
      </c>
      <c r="Q249" s="1">
        <v>0.0</v>
      </c>
      <c r="R249" s="1">
        <v>0.0</v>
      </c>
      <c r="S249" s="1">
        <v>0.0</v>
      </c>
      <c r="T249" s="16" t="s">
        <v>27</v>
      </c>
      <c r="U249" s="16"/>
      <c r="V249" s="16"/>
    </row>
    <row r="250">
      <c r="A250" s="25">
        <v>45768.0</v>
      </c>
      <c r="B250" s="5" t="s">
        <v>58</v>
      </c>
      <c r="C250" s="5">
        <v>249.0</v>
      </c>
      <c r="D250" s="8" t="s">
        <v>2231</v>
      </c>
      <c r="E250" s="1">
        <f>IFERROR(__xludf.DUMMYFUNCTION("IF(D250="""", 0, COUNTA(SPLIT(D250, "" "")))"),2.0)</f>
        <v>2</v>
      </c>
      <c r="F250" s="8" t="s">
        <v>2232</v>
      </c>
      <c r="G250" s="12">
        <v>26329.0</v>
      </c>
      <c r="H250" s="26">
        <f t="shared" si="1"/>
        <v>0</v>
      </c>
      <c r="I250" s="26">
        <f t="shared" si="2"/>
        <v>26.77891855</v>
      </c>
      <c r="J250" s="26">
        <f t="shared" si="3"/>
        <v>53.22108145</v>
      </c>
      <c r="K250" s="9">
        <f t="shared" si="4"/>
        <v>0.3696098563</v>
      </c>
      <c r="L250" s="27" t="s">
        <v>2233</v>
      </c>
      <c r="M250" s="28">
        <v>45633.0</v>
      </c>
      <c r="N250" s="16" t="s">
        <v>241</v>
      </c>
      <c r="O250" s="8" t="s">
        <v>2234</v>
      </c>
      <c r="P250" s="1">
        <v>0.0</v>
      </c>
      <c r="Q250" s="1">
        <v>0.0</v>
      </c>
      <c r="R250" s="1">
        <v>0.0</v>
      </c>
      <c r="S250" s="1">
        <v>0.0</v>
      </c>
      <c r="T250" s="16" t="s">
        <v>222</v>
      </c>
      <c r="U250" s="16"/>
      <c r="V250" s="16"/>
    </row>
    <row r="251">
      <c r="A251" s="25">
        <v>45768.0</v>
      </c>
      <c r="B251" s="5" t="s">
        <v>58</v>
      </c>
      <c r="C251" s="5">
        <v>250.0</v>
      </c>
      <c r="D251" s="17" t="s">
        <v>2235</v>
      </c>
      <c r="E251" s="1">
        <f>IFERROR(__xludf.DUMMYFUNCTION("IF(D251="""", 0, COUNTA(SPLIT(D251, "" "")))"),2.0)</f>
        <v>2</v>
      </c>
      <c r="F251" s="8" t="s">
        <v>2236</v>
      </c>
      <c r="G251" s="12">
        <v>16671.0</v>
      </c>
      <c r="H251" s="26">
        <f t="shared" si="1"/>
        <v>0</v>
      </c>
      <c r="I251" s="26">
        <f t="shared" si="2"/>
        <v>0.3367556468</v>
      </c>
      <c r="J251" s="26">
        <f t="shared" si="3"/>
        <v>79.66324435</v>
      </c>
      <c r="K251" s="9">
        <f t="shared" si="4"/>
        <v>0.3696098563</v>
      </c>
      <c r="L251" s="27" t="s">
        <v>2237</v>
      </c>
      <c r="M251" s="28">
        <v>45633.0</v>
      </c>
      <c r="N251" s="16" t="s">
        <v>241</v>
      </c>
      <c r="O251" s="8" t="s">
        <v>2238</v>
      </c>
      <c r="P251" s="1">
        <v>0.0</v>
      </c>
      <c r="Q251" s="1">
        <v>0.0</v>
      </c>
      <c r="R251" s="1">
        <v>0.0</v>
      </c>
      <c r="S251" s="1">
        <v>0.0</v>
      </c>
      <c r="T251" s="16" t="s">
        <v>167</v>
      </c>
      <c r="U251" s="16"/>
      <c r="V251" s="16"/>
    </row>
    <row r="252">
      <c r="A252" s="25">
        <v>45768.0</v>
      </c>
      <c r="B252" s="5" t="s">
        <v>58</v>
      </c>
      <c r="C252" s="5">
        <v>251.0</v>
      </c>
      <c r="D252" s="17" t="s">
        <v>2239</v>
      </c>
      <c r="E252" s="1">
        <f>IFERROR(__xludf.DUMMYFUNCTION("IF(D252="""", 0, COUNTA(SPLIT(D252, "" "")))"),2.0)</f>
        <v>2</v>
      </c>
      <c r="F252" s="8" t="s">
        <v>2240</v>
      </c>
      <c r="G252" s="12">
        <v>23757.0</v>
      </c>
      <c r="H252" s="26">
        <f t="shared" si="1"/>
        <v>0</v>
      </c>
      <c r="I252" s="26">
        <f t="shared" si="2"/>
        <v>19.73716632</v>
      </c>
      <c r="J252" s="26">
        <f t="shared" si="3"/>
        <v>60.26283368</v>
      </c>
      <c r="K252" s="9">
        <f t="shared" si="4"/>
        <v>0.3696098563</v>
      </c>
      <c r="L252" s="27" t="s">
        <v>2241</v>
      </c>
      <c r="M252" s="28">
        <v>45633.0</v>
      </c>
      <c r="N252" s="16" t="s">
        <v>241</v>
      </c>
      <c r="O252" s="8" t="s">
        <v>2242</v>
      </c>
      <c r="P252" s="1">
        <v>0.0</v>
      </c>
      <c r="Q252" s="1">
        <v>0.0</v>
      </c>
      <c r="R252" s="1">
        <v>0.0</v>
      </c>
      <c r="S252" s="1">
        <v>0.0</v>
      </c>
      <c r="T252" s="16" t="s">
        <v>27</v>
      </c>
      <c r="U252" s="16"/>
      <c r="V252" s="16"/>
    </row>
    <row r="253">
      <c r="A253" s="25">
        <v>45768.0</v>
      </c>
      <c r="B253" s="5" t="s">
        <v>58</v>
      </c>
      <c r="C253" s="5">
        <v>252.0</v>
      </c>
      <c r="D253" s="8" t="s">
        <v>2243</v>
      </c>
      <c r="E253" s="1">
        <f>IFERROR(__xludf.DUMMYFUNCTION("IF(D253="""", 0, COUNTA(SPLIT(D253, "" "")))"),2.0)</f>
        <v>2</v>
      </c>
      <c r="F253" s="8" t="s">
        <v>2244</v>
      </c>
      <c r="G253" s="12">
        <v>26887.0</v>
      </c>
      <c r="H253" s="26">
        <f t="shared" si="1"/>
        <v>0</v>
      </c>
      <c r="I253" s="26">
        <f t="shared" si="2"/>
        <v>28.30663929</v>
      </c>
      <c r="J253" s="26">
        <f t="shared" si="3"/>
        <v>51.69336071</v>
      </c>
      <c r="K253" s="9">
        <f t="shared" si="4"/>
        <v>0.3696098563</v>
      </c>
      <c r="L253" s="27" t="s">
        <v>2245</v>
      </c>
      <c r="M253" s="28">
        <v>45633.0</v>
      </c>
      <c r="N253" s="16" t="s">
        <v>241</v>
      </c>
      <c r="O253" s="8" t="s">
        <v>2246</v>
      </c>
      <c r="P253" s="1">
        <v>0.0</v>
      </c>
      <c r="Q253" s="1">
        <v>0.0</v>
      </c>
      <c r="R253" s="1">
        <v>0.0</v>
      </c>
      <c r="S253" s="1">
        <v>0.0</v>
      </c>
      <c r="T253" s="1" t="s">
        <v>383</v>
      </c>
    </row>
    <row r="254">
      <c r="A254" s="25">
        <v>45768.0</v>
      </c>
      <c r="B254" s="5" t="s">
        <v>58</v>
      </c>
      <c r="C254" s="1" t="s">
        <v>58</v>
      </c>
      <c r="D254" s="1" t="s">
        <v>2247</v>
      </c>
      <c r="E254" s="1">
        <f>IFERROR(__xludf.DUMMYFUNCTION("IF(D254="""", 0, COUNTA(SPLIT(D254, "" "")))"),2.0)</f>
        <v>2</v>
      </c>
      <c r="F254" s="1" t="s">
        <v>2248</v>
      </c>
      <c r="G254" s="12">
        <v>16967.0</v>
      </c>
      <c r="H254" s="26">
        <f t="shared" si="1"/>
        <v>0</v>
      </c>
      <c r="I254" s="26">
        <f t="shared" si="2"/>
        <v>1.14715948</v>
      </c>
      <c r="J254" s="26">
        <f t="shared" si="3"/>
        <v>78.85284052</v>
      </c>
      <c r="K254" s="4">
        <v>0.0</v>
      </c>
      <c r="L254" s="1" t="s">
        <v>58</v>
      </c>
      <c r="M254" s="1" t="s">
        <v>58</v>
      </c>
      <c r="N254" s="1" t="s">
        <v>58</v>
      </c>
      <c r="O254" s="1" t="s">
        <v>2249</v>
      </c>
      <c r="P254" s="1">
        <v>0.0</v>
      </c>
      <c r="Q254" s="1">
        <v>0.0</v>
      </c>
      <c r="R254" s="1">
        <v>0.0</v>
      </c>
      <c r="S254" s="1">
        <v>0.0</v>
      </c>
      <c r="T254" s="1" t="s">
        <v>167</v>
      </c>
    </row>
    <row r="255">
      <c r="A255" s="22"/>
      <c r="G255" s="22"/>
      <c r="K255" s="9"/>
      <c r="M255" s="22"/>
    </row>
    <row r="256">
      <c r="A256" s="22"/>
      <c r="G256" s="22"/>
      <c r="K256" s="9"/>
      <c r="M256" s="22"/>
    </row>
    <row r="257">
      <c r="A257" s="22"/>
      <c r="G257" s="22"/>
      <c r="K257" s="9"/>
      <c r="M257" s="22"/>
    </row>
    <row r="258">
      <c r="A258" s="22"/>
      <c r="G258" s="22"/>
      <c r="K258" s="9"/>
      <c r="M258" s="22"/>
    </row>
    <row r="259">
      <c r="A259" s="22"/>
      <c r="G259" s="22"/>
      <c r="K259" s="9"/>
      <c r="M259" s="22"/>
    </row>
    <row r="260">
      <c r="A260" s="22"/>
      <c r="G260" s="22"/>
      <c r="K260" s="9"/>
      <c r="M260" s="22"/>
    </row>
    <row r="261">
      <c r="A261" s="22"/>
      <c r="G261" s="22"/>
      <c r="K261" s="9"/>
      <c r="M261" s="22"/>
    </row>
    <row r="262">
      <c r="A262" s="22"/>
      <c r="G262" s="22"/>
      <c r="K262" s="9"/>
      <c r="M262" s="22"/>
    </row>
    <row r="263">
      <c r="A263" s="22"/>
      <c r="G263" s="22"/>
      <c r="K263" s="9"/>
      <c r="M263" s="22"/>
    </row>
    <row r="264">
      <c r="A264" s="22"/>
      <c r="G264" s="22"/>
      <c r="K264" s="9"/>
      <c r="M264" s="22"/>
    </row>
    <row r="265">
      <c r="A265" s="22"/>
      <c r="G265" s="22"/>
      <c r="K265" s="9"/>
      <c r="M265" s="22"/>
    </row>
    <row r="266">
      <c r="A266" s="22"/>
      <c r="G266" s="22"/>
      <c r="K266" s="9"/>
      <c r="M266" s="22"/>
    </row>
    <row r="267">
      <c r="A267" s="22"/>
      <c r="G267" s="22"/>
      <c r="K267" s="9"/>
      <c r="M267" s="22"/>
    </row>
    <row r="268">
      <c r="A268" s="22"/>
      <c r="G268" s="22"/>
      <c r="K268" s="9"/>
      <c r="M268" s="22"/>
    </row>
    <row r="269">
      <c r="A269" s="22"/>
      <c r="G269" s="22"/>
      <c r="K269" s="9"/>
      <c r="M269" s="22"/>
    </row>
    <row r="270">
      <c r="A270" s="22"/>
      <c r="G270" s="22"/>
      <c r="K270" s="9"/>
      <c r="M270" s="22"/>
    </row>
    <row r="271">
      <c r="A271" s="22"/>
      <c r="G271" s="22"/>
      <c r="K271" s="9"/>
      <c r="M271" s="22"/>
    </row>
    <row r="272">
      <c r="A272" s="22"/>
      <c r="G272" s="22"/>
      <c r="K272" s="9"/>
      <c r="M272" s="22"/>
    </row>
    <row r="273">
      <c r="A273" s="22"/>
      <c r="G273" s="22"/>
      <c r="K273" s="9"/>
      <c r="M273" s="22"/>
    </row>
    <row r="274">
      <c r="A274" s="22"/>
      <c r="G274" s="22"/>
      <c r="K274" s="9"/>
      <c r="M274" s="22"/>
    </row>
    <row r="275">
      <c r="A275" s="22"/>
      <c r="G275" s="22"/>
      <c r="K275" s="9"/>
      <c r="M275" s="22"/>
    </row>
    <row r="276">
      <c r="A276" s="22"/>
      <c r="G276" s="22"/>
      <c r="K276" s="9"/>
      <c r="M276" s="22"/>
    </row>
    <row r="277">
      <c r="A277" s="22"/>
      <c r="G277" s="22"/>
      <c r="K277" s="9"/>
      <c r="M277" s="22"/>
    </row>
    <row r="278">
      <c r="A278" s="22"/>
      <c r="G278" s="22"/>
      <c r="K278" s="9"/>
      <c r="M278" s="22"/>
    </row>
    <row r="279">
      <c r="A279" s="22"/>
      <c r="G279" s="22"/>
      <c r="K279" s="9"/>
      <c r="M279" s="22"/>
    </row>
    <row r="280">
      <c r="A280" s="22"/>
      <c r="G280" s="22"/>
      <c r="K280" s="9"/>
      <c r="M280" s="22"/>
    </row>
    <row r="281">
      <c r="A281" s="22"/>
      <c r="G281" s="22"/>
      <c r="K281" s="9"/>
      <c r="M281" s="22"/>
    </row>
    <row r="282">
      <c r="A282" s="22"/>
      <c r="G282" s="22"/>
      <c r="K282" s="9"/>
      <c r="M282" s="22"/>
    </row>
    <row r="283">
      <c r="A283" s="22"/>
      <c r="G283" s="22"/>
      <c r="K283" s="9"/>
      <c r="M283" s="22"/>
    </row>
    <row r="284">
      <c r="A284" s="22"/>
      <c r="G284" s="22"/>
      <c r="K284" s="9"/>
      <c r="M284" s="22"/>
    </row>
    <row r="285">
      <c r="A285" s="22"/>
      <c r="G285" s="22"/>
      <c r="K285" s="9"/>
      <c r="M285" s="22"/>
    </row>
    <row r="286">
      <c r="A286" s="22"/>
      <c r="G286" s="22"/>
      <c r="K286" s="9"/>
      <c r="M286" s="22"/>
    </row>
    <row r="287">
      <c r="A287" s="22"/>
      <c r="G287" s="22"/>
      <c r="K287" s="9"/>
      <c r="M287" s="22"/>
    </row>
    <row r="288">
      <c r="A288" s="22"/>
      <c r="G288" s="22"/>
      <c r="K288" s="9"/>
      <c r="M288" s="22"/>
    </row>
    <row r="289">
      <c r="A289" s="22"/>
      <c r="G289" s="22"/>
      <c r="K289" s="9"/>
      <c r="M289" s="22"/>
    </row>
    <row r="290">
      <c r="A290" s="22"/>
      <c r="G290" s="22"/>
      <c r="K290" s="9"/>
      <c r="M290" s="22"/>
    </row>
    <row r="291">
      <c r="A291" s="22"/>
      <c r="G291" s="22"/>
      <c r="K291" s="9"/>
      <c r="M291" s="22"/>
    </row>
    <row r="292">
      <c r="A292" s="22"/>
      <c r="G292" s="22"/>
      <c r="K292" s="9"/>
      <c r="M292" s="22"/>
    </row>
    <row r="293">
      <c r="A293" s="22"/>
      <c r="G293" s="22"/>
      <c r="K293" s="9"/>
      <c r="M293" s="22"/>
    </row>
    <row r="294">
      <c r="A294" s="22"/>
      <c r="G294" s="22"/>
      <c r="K294" s="9"/>
      <c r="M294" s="22"/>
    </row>
    <row r="295">
      <c r="A295" s="22"/>
      <c r="G295" s="22"/>
      <c r="K295" s="9"/>
      <c r="M295" s="22"/>
    </row>
    <row r="296">
      <c r="A296" s="22"/>
      <c r="G296" s="22"/>
      <c r="K296" s="9"/>
      <c r="M296" s="22"/>
    </row>
    <row r="297">
      <c r="A297" s="22"/>
      <c r="G297" s="22"/>
      <c r="K297" s="9"/>
      <c r="M297" s="22"/>
    </row>
    <row r="298">
      <c r="A298" s="22"/>
      <c r="G298" s="22"/>
      <c r="K298" s="9"/>
      <c r="M298" s="22"/>
    </row>
    <row r="299">
      <c r="A299" s="22"/>
      <c r="G299" s="22"/>
      <c r="K299" s="9"/>
      <c r="M299" s="22"/>
    </row>
    <row r="300">
      <c r="A300" s="22"/>
      <c r="G300" s="22"/>
      <c r="K300" s="9"/>
      <c r="M300" s="22"/>
    </row>
    <row r="301">
      <c r="A301" s="22"/>
      <c r="G301" s="22"/>
      <c r="K301" s="9"/>
      <c r="M301" s="22"/>
    </row>
    <row r="302">
      <c r="A302" s="22"/>
      <c r="G302" s="22"/>
      <c r="K302" s="9"/>
      <c r="M302" s="22"/>
    </row>
    <row r="303">
      <c r="A303" s="22"/>
      <c r="G303" s="22"/>
      <c r="K303" s="9"/>
      <c r="M303" s="22"/>
    </row>
    <row r="304">
      <c r="A304" s="22"/>
      <c r="G304" s="22"/>
      <c r="K304" s="9"/>
      <c r="M304" s="22"/>
    </row>
    <row r="305">
      <c r="A305" s="22"/>
      <c r="G305" s="22"/>
      <c r="K305" s="9"/>
      <c r="M305" s="22"/>
    </row>
    <row r="306">
      <c r="A306" s="22"/>
      <c r="G306" s="22"/>
      <c r="K306" s="9"/>
      <c r="M306" s="22"/>
    </row>
    <row r="307">
      <c r="A307" s="22"/>
      <c r="G307" s="22"/>
      <c r="K307" s="9"/>
      <c r="M307" s="22"/>
    </row>
    <row r="308">
      <c r="A308" s="22"/>
      <c r="G308" s="22"/>
      <c r="K308" s="9"/>
      <c r="M308" s="22"/>
    </row>
    <row r="309">
      <c r="A309" s="22"/>
      <c r="G309" s="22"/>
      <c r="K309" s="9"/>
      <c r="M309" s="22"/>
    </row>
    <row r="310">
      <c r="A310" s="22"/>
      <c r="G310" s="22"/>
      <c r="K310" s="9"/>
      <c r="M310" s="22"/>
    </row>
    <row r="311">
      <c r="A311" s="22"/>
      <c r="G311" s="22"/>
      <c r="K311" s="9"/>
      <c r="M311" s="22"/>
    </row>
    <row r="312">
      <c r="A312" s="22"/>
      <c r="G312" s="22"/>
      <c r="K312" s="9"/>
      <c r="M312" s="22"/>
    </row>
    <row r="313">
      <c r="A313" s="22"/>
      <c r="G313" s="22"/>
      <c r="K313" s="9"/>
      <c r="M313" s="22"/>
    </row>
    <row r="314">
      <c r="A314" s="22"/>
      <c r="G314" s="22"/>
      <c r="K314" s="9"/>
      <c r="M314" s="22"/>
    </row>
    <row r="315">
      <c r="A315" s="22"/>
      <c r="G315" s="22"/>
      <c r="K315" s="9"/>
      <c r="M315" s="22"/>
    </row>
    <row r="316">
      <c r="A316" s="22"/>
      <c r="G316" s="22"/>
      <c r="K316" s="9"/>
      <c r="M316" s="22"/>
    </row>
    <row r="317">
      <c r="A317" s="22"/>
      <c r="G317" s="22"/>
      <c r="K317" s="9"/>
      <c r="M317" s="22"/>
    </row>
    <row r="318">
      <c r="A318" s="22"/>
      <c r="G318" s="22"/>
      <c r="K318" s="9"/>
      <c r="M318" s="22"/>
    </row>
    <row r="319">
      <c r="A319" s="22"/>
      <c r="G319" s="22"/>
      <c r="K319" s="9"/>
      <c r="M319" s="22"/>
    </row>
    <row r="320">
      <c r="A320" s="22"/>
      <c r="G320" s="22"/>
      <c r="K320" s="9"/>
      <c r="M320" s="22"/>
    </row>
    <row r="321">
      <c r="A321" s="22"/>
      <c r="G321" s="22"/>
      <c r="K321" s="9"/>
      <c r="M321" s="22"/>
    </row>
    <row r="322">
      <c r="A322" s="22"/>
      <c r="G322" s="22"/>
      <c r="K322" s="9"/>
      <c r="M322" s="22"/>
    </row>
    <row r="323">
      <c r="A323" s="22"/>
      <c r="G323" s="22"/>
      <c r="K323" s="9"/>
      <c r="M323" s="22"/>
    </row>
    <row r="324">
      <c r="A324" s="22"/>
      <c r="G324" s="22"/>
      <c r="K324" s="9"/>
      <c r="M324" s="22"/>
    </row>
    <row r="325">
      <c r="A325" s="22"/>
      <c r="G325" s="22"/>
      <c r="K325" s="9"/>
      <c r="M325" s="22"/>
    </row>
    <row r="326">
      <c r="A326" s="22"/>
      <c r="G326" s="22"/>
      <c r="K326" s="9"/>
      <c r="M326" s="22"/>
    </row>
    <row r="327">
      <c r="A327" s="22"/>
      <c r="G327" s="22"/>
      <c r="K327" s="9"/>
      <c r="M327" s="22"/>
    </row>
    <row r="328">
      <c r="A328" s="22"/>
      <c r="G328" s="22"/>
      <c r="K328" s="9"/>
      <c r="M328" s="22"/>
    </row>
    <row r="329">
      <c r="A329" s="22"/>
      <c r="G329" s="22"/>
      <c r="K329" s="9"/>
      <c r="M329" s="22"/>
    </row>
    <row r="330">
      <c r="A330" s="22"/>
      <c r="G330" s="22"/>
      <c r="K330" s="9"/>
      <c r="M330" s="22"/>
    </row>
    <row r="331">
      <c r="A331" s="22"/>
      <c r="G331" s="22"/>
      <c r="K331" s="9"/>
      <c r="M331" s="22"/>
    </row>
    <row r="332">
      <c r="A332" s="22"/>
      <c r="G332" s="22"/>
      <c r="K332" s="9"/>
      <c r="M332" s="22"/>
    </row>
    <row r="333">
      <c r="A333" s="22"/>
      <c r="G333" s="22"/>
      <c r="K333" s="9"/>
      <c r="M333" s="22"/>
    </row>
    <row r="334">
      <c r="A334" s="22"/>
      <c r="G334" s="22"/>
      <c r="K334" s="9"/>
      <c r="M334" s="22"/>
    </row>
    <row r="335">
      <c r="A335" s="22"/>
      <c r="G335" s="22"/>
      <c r="K335" s="9"/>
      <c r="M335" s="22"/>
    </row>
    <row r="336">
      <c r="A336" s="22"/>
      <c r="G336" s="22"/>
      <c r="K336" s="9"/>
      <c r="M336" s="22"/>
    </row>
    <row r="337">
      <c r="A337" s="22"/>
      <c r="G337" s="22"/>
      <c r="K337" s="9"/>
      <c r="M337" s="22"/>
    </row>
    <row r="338">
      <c r="A338" s="22"/>
      <c r="G338" s="22"/>
      <c r="K338" s="9"/>
      <c r="M338" s="22"/>
    </row>
    <row r="339">
      <c r="A339" s="22"/>
      <c r="G339" s="22"/>
      <c r="K339" s="9"/>
      <c r="M339" s="22"/>
    </row>
    <row r="340">
      <c r="A340" s="22"/>
      <c r="G340" s="22"/>
      <c r="K340" s="9"/>
      <c r="M340" s="22"/>
    </row>
    <row r="341">
      <c r="A341" s="22"/>
      <c r="G341" s="22"/>
      <c r="K341" s="9"/>
      <c r="M341" s="22"/>
    </row>
    <row r="342">
      <c r="A342" s="22"/>
      <c r="G342" s="22"/>
      <c r="K342" s="9"/>
      <c r="M342" s="22"/>
    </row>
    <row r="343">
      <c r="A343" s="22"/>
      <c r="G343" s="22"/>
      <c r="K343" s="9"/>
      <c r="M343" s="22"/>
    </row>
    <row r="344">
      <c r="A344" s="22"/>
      <c r="G344" s="22"/>
      <c r="K344" s="9"/>
      <c r="M344" s="22"/>
    </row>
    <row r="345">
      <c r="A345" s="22"/>
      <c r="G345" s="22"/>
      <c r="K345" s="9"/>
      <c r="M345" s="22"/>
    </row>
    <row r="346">
      <c r="A346" s="22"/>
      <c r="G346" s="22"/>
      <c r="K346" s="9"/>
      <c r="M346" s="22"/>
    </row>
    <row r="347">
      <c r="A347" s="22"/>
      <c r="G347" s="22"/>
      <c r="K347" s="9"/>
      <c r="M347" s="22"/>
    </row>
    <row r="348">
      <c r="A348" s="22"/>
      <c r="G348" s="22"/>
      <c r="K348" s="9"/>
      <c r="M348" s="22"/>
    </row>
    <row r="349">
      <c r="A349" s="22"/>
      <c r="G349" s="22"/>
      <c r="K349" s="9"/>
      <c r="M349" s="22"/>
    </row>
    <row r="350">
      <c r="A350" s="22"/>
      <c r="G350" s="22"/>
      <c r="K350" s="9"/>
      <c r="M350" s="22"/>
    </row>
    <row r="351">
      <c r="A351" s="22"/>
      <c r="G351" s="22"/>
      <c r="K351" s="9"/>
      <c r="M351" s="22"/>
    </row>
    <row r="352">
      <c r="A352" s="22"/>
      <c r="G352" s="22"/>
      <c r="K352" s="9"/>
      <c r="M352" s="22"/>
    </row>
    <row r="353">
      <c r="A353" s="22"/>
      <c r="G353" s="22"/>
      <c r="K353" s="9"/>
      <c r="M353" s="22"/>
    </row>
    <row r="354">
      <c r="A354" s="22"/>
      <c r="G354" s="22"/>
      <c r="K354" s="9"/>
      <c r="M354" s="22"/>
    </row>
    <row r="355">
      <c r="A355" s="22"/>
      <c r="G355" s="22"/>
      <c r="K355" s="9"/>
      <c r="M355" s="22"/>
    </row>
    <row r="356">
      <c r="A356" s="22"/>
      <c r="G356" s="22"/>
      <c r="K356" s="9"/>
      <c r="M356" s="22"/>
    </row>
    <row r="357">
      <c r="A357" s="22"/>
      <c r="G357" s="22"/>
      <c r="K357" s="9"/>
      <c r="M357" s="22"/>
    </row>
    <row r="358">
      <c r="A358" s="22"/>
      <c r="G358" s="22"/>
      <c r="K358" s="9"/>
      <c r="M358" s="22"/>
    </row>
    <row r="359">
      <c r="A359" s="22"/>
      <c r="G359" s="22"/>
      <c r="K359" s="9"/>
      <c r="M359" s="22"/>
    </row>
    <row r="360">
      <c r="A360" s="22"/>
      <c r="G360" s="22"/>
      <c r="K360" s="9"/>
      <c r="M360" s="22"/>
    </row>
    <row r="361">
      <c r="A361" s="22"/>
      <c r="G361" s="22"/>
      <c r="K361" s="9"/>
      <c r="M361" s="22"/>
    </row>
    <row r="362">
      <c r="A362" s="22"/>
      <c r="G362" s="22"/>
      <c r="K362" s="9"/>
      <c r="M362" s="22"/>
    </row>
    <row r="363">
      <c r="A363" s="22"/>
      <c r="G363" s="22"/>
      <c r="K363" s="9"/>
      <c r="M363" s="22"/>
    </row>
    <row r="364">
      <c r="A364" s="22"/>
      <c r="G364" s="22"/>
      <c r="K364" s="9"/>
      <c r="M364" s="22"/>
    </row>
    <row r="365">
      <c r="A365" s="22"/>
      <c r="G365" s="22"/>
      <c r="K365" s="9"/>
      <c r="M365" s="22"/>
    </row>
    <row r="366">
      <c r="A366" s="22"/>
      <c r="G366" s="22"/>
      <c r="K366" s="9"/>
      <c r="M366" s="22"/>
    </row>
    <row r="367">
      <c r="A367" s="22"/>
      <c r="G367" s="22"/>
      <c r="K367" s="9"/>
      <c r="M367" s="22"/>
    </row>
    <row r="368">
      <c r="A368" s="22"/>
      <c r="G368" s="22"/>
      <c r="K368" s="9"/>
      <c r="M368" s="22"/>
    </row>
    <row r="369">
      <c r="A369" s="22"/>
      <c r="G369" s="22"/>
      <c r="K369" s="9"/>
      <c r="M369" s="22"/>
    </row>
    <row r="370">
      <c r="A370" s="22"/>
      <c r="G370" s="22"/>
      <c r="K370" s="9"/>
      <c r="M370" s="22"/>
    </row>
    <row r="371">
      <c r="A371" s="22"/>
      <c r="G371" s="22"/>
      <c r="K371" s="9"/>
      <c r="M371" s="22"/>
    </row>
    <row r="372">
      <c r="A372" s="22"/>
      <c r="G372" s="22"/>
      <c r="K372" s="9"/>
      <c r="M372" s="22"/>
    </row>
    <row r="373">
      <c r="A373" s="22"/>
      <c r="G373" s="22"/>
      <c r="K373" s="9"/>
      <c r="M373" s="22"/>
    </row>
    <row r="374">
      <c r="A374" s="22"/>
      <c r="G374" s="22"/>
      <c r="K374" s="9"/>
      <c r="M374" s="22"/>
    </row>
    <row r="375">
      <c r="A375" s="22"/>
      <c r="G375" s="22"/>
      <c r="K375" s="9"/>
      <c r="M375" s="22"/>
    </row>
    <row r="376">
      <c r="A376" s="22"/>
      <c r="G376" s="22"/>
      <c r="K376" s="9"/>
      <c r="M376" s="22"/>
    </row>
    <row r="377">
      <c r="A377" s="22"/>
      <c r="G377" s="22"/>
      <c r="K377" s="9"/>
      <c r="M377" s="22"/>
    </row>
    <row r="378">
      <c r="A378" s="22"/>
      <c r="G378" s="22"/>
      <c r="K378" s="9"/>
      <c r="M378" s="22"/>
    </row>
    <row r="379">
      <c r="A379" s="22"/>
      <c r="G379" s="22"/>
      <c r="K379" s="9"/>
      <c r="M379" s="22"/>
    </row>
    <row r="380">
      <c r="A380" s="22"/>
      <c r="G380" s="22"/>
      <c r="K380" s="9"/>
      <c r="M380" s="22"/>
    </row>
    <row r="381">
      <c r="A381" s="22"/>
      <c r="G381" s="22"/>
      <c r="K381" s="9"/>
      <c r="M381" s="22"/>
    </row>
    <row r="382">
      <c r="A382" s="22"/>
      <c r="G382" s="22"/>
      <c r="K382" s="9"/>
      <c r="M382" s="22"/>
    </row>
    <row r="383">
      <c r="A383" s="22"/>
      <c r="G383" s="22"/>
      <c r="K383" s="9"/>
      <c r="M383" s="22"/>
    </row>
    <row r="384">
      <c r="A384" s="22"/>
      <c r="G384" s="22"/>
      <c r="K384" s="9"/>
      <c r="M384" s="22"/>
    </row>
    <row r="385">
      <c r="A385" s="22"/>
      <c r="G385" s="22"/>
      <c r="K385" s="9"/>
      <c r="M385" s="22"/>
    </row>
    <row r="386">
      <c r="A386" s="22"/>
      <c r="G386" s="22"/>
      <c r="K386" s="9"/>
      <c r="M386" s="22"/>
    </row>
    <row r="387">
      <c r="A387" s="22"/>
      <c r="G387" s="22"/>
      <c r="K387" s="9"/>
      <c r="M387" s="22"/>
    </row>
    <row r="388">
      <c r="A388" s="22"/>
      <c r="G388" s="22"/>
      <c r="K388" s="9"/>
      <c r="M388" s="22"/>
    </row>
    <row r="389">
      <c r="A389" s="22"/>
      <c r="G389" s="22"/>
      <c r="K389" s="9"/>
      <c r="M389" s="22"/>
    </row>
    <row r="390">
      <c r="A390" s="22"/>
      <c r="G390" s="22"/>
      <c r="K390" s="9"/>
      <c r="M390" s="22"/>
    </row>
    <row r="391">
      <c r="A391" s="22"/>
      <c r="G391" s="22"/>
      <c r="K391" s="9"/>
      <c r="M391" s="22"/>
    </row>
    <row r="392">
      <c r="A392" s="22"/>
      <c r="G392" s="22"/>
      <c r="K392" s="9"/>
      <c r="M392" s="22"/>
    </row>
    <row r="393">
      <c r="A393" s="22"/>
      <c r="G393" s="22"/>
      <c r="K393" s="9"/>
      <c r="M393" s="22"/>
    </row>
    <row r="394">
      <c r="A394" s="22"/>
      <c r="G394" s="22"/>
      <c r="K394" s="9"/>
      <c r="M394" s="22"/>
    </row>
    <row r="395">
      <c r="A395" s="22"/>
      <c r="G395" s="22"/>
      <c r="K395" s="9"/>
      <c r="M395" s="22"/>
    </row>
    <row r="396">
      <c r="A396" s="22"/>
      <c r="G396" s="22"/>
      <c r="K396" s="9"/>
      <c r="M396" s="22"/>
    </row>
    <row r="397">
      <c r="A397" s="22"/>
      <c r="G397" s="22"/>
      <c r="K397" s="9"/>
      <c r="M397" s="22"/>
    </row>
    <row r="398">
      <c r="A398" s="22"/>
      <c r="G398" s="22"/>
      <c r="K398" s="9"/>
      <c r="M398" s="22"/>
    </row>
    <row r="399">
      <c r="A399" s="22"/>
      <c r="G399" s="22"/>
      <c r="K399" s="9"/>
      <c r="M399" s="22"/>
    </row>
    <row r="400">
      <c r="A400" s="22"/>
      <c r="G400" s="22"/>
      <c r="K400" s="9"/>
      <c r="M400" s="22"/>
    </row>
    <row r="401">
      <c r="A401" s="22"/>
      <c r="G401" s="22"/>
      <c r="K401" s="9"/>
      <c r="M401" s="22"/>
    </row>
    <row r="402">
      <c r="A402" s="22"/>
      <c r="G402" s="22"/>
      <c r="K402" s="9"/>
      <c r="M402" s="22"/>
    </row>
    <row r="403">
      <c r="A403" s="22"/>
      <c r="G403" s="22"/>
      <c r="K403" s="9"/>
      <c r="M403" s="22"/>
    </row>
    <row r="404">
      <c r="A404" s="22"/>
      <c r="G404" s="22"/>
      <c r="K404" s="9"/>
      <c r="M404" s="22"/>
    </row>
    <row r="405">
      <c r="A405" s="22"/>
      <c r="G405" s="22"/>
      <c r="K405" s="9"/>
      <c r="M405" s="22"/>
    </row>
    <row r="406">
      <c r="A406" s="22"/>
      <c r="G406" s="22"/>
      <c r="K406" s="9"/>
      <c r="M406" s="22"/>
    </row>
    <row r="407">
      <c r="A407" s="22"/>
      <c r="G407" s="22"/>
      <c r="K407" s="9"/>
      <c r="M407" s="22"/>
    </row>
    <row r="408">
      <c r="A408" s="22"/>
      <c r="G408" s="22"/>
      <c r="K408" s="9"/>
      <c r="M408" s="22"/>
    </row>
    <row r="409">
      <c r="A409" s="22"/>
      <c r="G409" s="22"/>
      <c r="K409" s="9"/>
      <c r="M409" s="22"/>
    </row>
    <row r="410">
      <c r="A410" s="22"/>
      <c r="G410" s="22"/>
      <c r="K410" s="9"/>
      <c r="M410" s="22"/>
    </row>
    <row r="411">
      <c r="A411" s="22"/>
      <c r="G411" s="22"/>
      <c r="K411" s="9"/>
      <c r="M411" s="22"/>
    </row>
    <row r="412">
      <c r="A412" s="22"/>
      <c r="G412" s="22"/>
      <c r="K412" s="9"/>
      <c r="M412" s="22"/>
    </row>
    <row r="413">
      <c r="A413" s="22"/>
      <c r="G413" s="22"/>
      <c r="K413" s="9"/>
      <c r="M413" s="22"/>
    </row>
    <row r="414">
      <c r="A414" s="22"/>
      <c r="G414" s="22"/>
      <c r="K414" s="9"/>
      <c r="M414" s="22"/>
    </row>
    <row r="415">
      <c r="A415" s="22"/>
      <c r="G415" s="22"/>
      <c r="K415" s="9"/>
      <c r="M415" s="22"/>
    </row>
    <row r="416">
      <c r="A416" s="22"/>
      <c r="G416" s="22"/>
      <c r="K416" s="9"/>
      <c r="M416" s="22"/>
    </row>
    <row r="417">
      <c r="A417" s="22"/>
      <c r="G417" s="22"/>
      <c r="K417" s="9"/>
      <c r="M417" s="22"/>
    </row>
    <row r="418">
      <c r="A418" s="22"/>
      <c r="G418" s="22"/>
      <c r="K418" s="9"/>
      <c r="M418" s="22"/>
    </row>
    <row r="419">
      <c r="A419" s="22"/>
      <c r="G419" s="22"/>
      <c r="K419" s="9"/>
      <c r="M419" s="22"/>
    </row>
    <row r="420">
      <c r="A420" s="22"/>
      <c r="G420" s="22"/>
      <c r="K420" s="9"/>
      <c r="M420" s="22"/>
    </row>
    <row r="421">
      <c r="A421" s="22"/>
      <c r="G421" s="22"/>
      <c r="K421" s="9"/>
      <c r="M421" s="22"/>
    </row>
    <row r="422">
      <c r="A422" s="22"/>
      <c r="G422" s="22"/>
      <c r="K422" s="9"/>
      <c r="M422" s="22"/>
    </row>
    <row r="423">
      <c r="A423" s="22"/>
      <c r="G423" s="22"/>
      <c r="K423" s="9"/>
      <c r="M423" s="22"/>
    </row>
    <row r="424">
      <c r="A424" s="22"/>
      <c r="G424" s="22"/>
      <c r="K424" s="9"/>
      <c r="M424" s="22"/>
    </row>
    <row r="425">
      <c r="A425" s="22"/>
      <c r="G425" s="22"/>
      <c r="K425" s="9"/>
      <c r="M425" s="22"/>
    </row>
    <row r="426">
      <c r="A426" s="22"/>
      <c r="G426" s="22"/>
      <c r="K426" s="9"/>
      <c r="M426" s="22"/>
    </row>
    <row r="427">
      <c r="A427" s="22"/>
      <c r="G427" s="22"/>
      <c r="K427" s="9"/>
      <c r="M427" s="22"/>
    </row>
    <row r="428">
      <c r="A428" s="22"/>
      <c r="G428" s="22"/>
      <c r="K428" s="9"/>
      <c r="M428" s="22"/>
    </row>
    <row r="429">
      <c r="A429" s="22"/>
      <c r="G429" s="22"/>
      <c r="K429" s="9"/>
      <c r="M429" s="22"/>
    </row>
    <row r="430">
      <c r="A430" s="22"/>
      <c r="G430" s="22"/>
      <c r="K430" s="9"/>
      <c r="M430" s="22"/>
    </row>
    <row r="431">
      <c r="A431" s="22"/>
      <c r="G431" s="22"/>
      <c r="K431" s="9"/>
      <c r="M431" s="22"/>
    </row>
    <row r="432">
      <c r="A432" s="22"/>
      <c r="G432" s="22"/>
      <c r="K432" s="9"/>
      <c r="M432" s="22"/>
    </row>
    <row r="433">
      <c r="A433" s="22"/>
      <c r="G433" s="22"/>
      <c r="K433" s="9"/>
      <c r="M433" s="22"/>
    </row>
    <row r="434">
      <c r="A434" s="22"/>
      <c r="G434" s="22"/>
      <c r="K434" s="9"/>
      <c r="M434" s="22"/>
    </row>
    <row r="435">
      <c r="A435" s="22"/>
      <c r="G435" s="22"/>
      <c r="K435" s="9"/>
      <c r="M435" s="22"/>
    </row>
    <row r="436">
      <c r="A436" s="22"/>
      <c r="G436" s="22"/>
      <c r="K436" s="9"/>
      <c r="M436" s="22"/>
    </row>
    <row r="437">
      <c r="A437" s="22"/>
      <c r="G437" s="22"/>
      <c r="K437" s="9"/>
      <c r="M437" s="22"/>
    </row>
    <row r="438">
      <c r="A438" s="22"/>
      <c r="G438" s="22"/>
      <c r="K438" s="9"/>
      <c r="M438" s="22"/>
    </row>
    <row r="439">
      <c r="A439" s="22"/>
      <c r="G439" s="22"/>
      <c r="K439" s="9"/>
      <c r="M439" s="22"/>
    </row>
    <row r="440">
      <c r="A440" s="22"/>
      <c r="G440" s="22"/>
      <c r="K440" s="9"/>
      <c r="M440" s="22"/>
    </row>
    <row r="441">
      <c r="A441" s="22"/>
      <c r="G441" s="22"/>
      <c r="K441" s="9"/>
      <c r="M441" s="22"/>
    </row>
    <row r="442">
      <c r="A442" s="22"/>
      <c r="G442" s="22"/>
      <c r="K442" s="9"/>
      <c r="M442" s="22"/>
    </row>
    <row r="443">
      <c r="A443" s="22"/>
      <c r="G443" s="22"/>
      <c r="K443" s="9"/>
      <c r="M443" s="22"/>
    </row>
    <row r="444">
      <c r="A444" s="22"/>
      <c r="G444" s="22"/>
      <c r="K444" s="9"/>
      <c r="M444" s="22"/>
    </row>
    <row r="445">
      <c r="A445" s="22"/>
      <c r="G445" s="22"/>
      <c r="K445" s="9"/>
      <c r="M445" s="22"/>
    </row>
    <row r="446">
      <c r="A446" s="22"/>
      <c r="G446" s="22"/>
      <c r="K446" s="9"/>
      <c r="M446" s="22"/>
    </row>
    <row r="447">
      <c r="A447" s="22"/>
      <c r="G447" s="22"/>
      <c r="K447" s="9"/>
      <c r="M447" s="22"/>
    </row>
    <row r="448">
      <c r="A448" s="22"/>
      <c r="G448" s="22"/>
      <c r="K448" s="9"/>
      <c r="M448" s="22"/>
    </row>
    <row r="449">
      <c r="A449" s="22"/>
      <c r="G449" s="22"/>
      <c r="K449" s="9"/>
      <c r="M449" s="22"/>
    </row>
    <row r="450">
      <c r="A450" s="22"/>
      <c r="G450" s="22"/>
      <c r="K450" s="9"/>
      <c r="M450" s="22"/>
    </row>
    <row r="451">
      <c r="A451" s="22"/>
      <c r="G451" s="22"/>
      <c r="K451" s="9"/>
      <c r="M451" s="22"/>
    </row>
    <row r="452">
      <c r="A452" s="22"/>
      <c r="G452" s="22"/>
      <c r="K452" s="9"/>
      <c r="M452" s="22"/>
    </row>
    <row r="453">
      <c r="A453" s="22"/>
      <c r="G453" s="22"/>
      <c r="K453" s="9"/>
      <c r="M453" s="22"/>
    </row>
    <row r="454">
      <c r="A454" s="22"/>
      <c r="G454" s="22"/>
      <c r="K454" s="9"/>
      <c r="M454" s="22"/>
    </row>
    <row r="455">
      <c r="A455" s="22"/>
      <c r="G455" s="22"/>
      <c r="K455" s="9"/>
      <c r="M455" s="22"/>
    </row>
    <row r="456">
      <c r="A456" s="22"/>
      <c r="G456" s="22"/>
      <c r="K456" s="9"/>
      <c r="M456" s="22"/>
    </row>
    <row r="457">
      <c r="A457" s="22"/>
      <c r="G457" s="22"/>
      <c r="K457" s="9"/>
      <c r="M457" s="22"/>
    </row>
    <row r="458">
      <c r="A458" s="22"/>
      <c r="G458" s="22"/>
      <c r="K458" s="9"/>
      <c r="M458" s="22"/>
    </row>
    <row r="459">
      <c r="A459" s="22"/>
      <c r="G459" s="22"/>
      <c r="K459" s="9"/>
      <c r="M459" s="22"/>
    </row>
    <row r="460">
      <c r="A460" s="22"/>
      <c r="G460" s="22"/>
      <c r="K460" s="9"/>
      <c r="M460" s="22"/>
    </row>
    <row r="461">
      <c r="A461" s="22"/>
      <c r="G461" s="22"/>
      <c r="K461" s="9"/>
      <c r="M461" s="22"/>
    </row>
    <row r="462">
      <c r="A462" s="22"/>
      <c r="G462" s="22"/>
      <c r="K462" s="9"/>
      <c r="M462" s="22"/>
    </row>
    <row r="463">
      <c r="A463" s="22"/>
      <c r="G463" s="22"/>
      <c r="K463" s="9"/>
      <c r="M463" s="22"/>
    </row>
    <row r="464">
      <c r="A464" s="22"/>
      <c r="G464" s="22"/>
      <c r="K464" s="9"/>
      <c r="M464" s="22"/>
    </row>
    <row r="465">
      <c r="A465" s="22"/>
      <c r="G465" s="22"/>
      <c r="K465" s="9"/>
      <c r="M465" s="22"/>
    </row>
    <row r="466">
      <c r="A466" s="22"/>
      <c r="G466" s="22"/>
      <c r="K466" s="9"/>
      <c r="M466" s="22"/>
    </row>
    <row r="467">
      <c r="A467" s="22"/>
      <c r="G467" s="22"/>
      <c r="K467" s="9"/>
      <c r="M467" s="22"/>
    </row>
    <row r="468">
      <c r="A468" s="22"/>
      <c r="G468" s="22"/>
      <c r="K468" s="9"/>
      <c r="M468" s="22"/>
    </row>
    <row r="469">
      <c r="A469" s="22"/>
      <c r="G469" s="22"/>
      <c r="K469" s="9"/>
      <c r="M469" s="22"/>
    </row>
    <row r="470">
      <c r="A470" s="22"/>
      <c r="G470" s="22"/>
      <c r="K470" s="9"/>
      <c r="M470" s="22"/>
    </row>
    <row r="471">
      <c r="A471" s="22"/>
      <c r="G471" s="22"/>
      <c r="K471" s="9"/>
      <c r="M471" s="22"/>
    </row>
    <row r="472">
      <c r="A472" s="22"/>
      <c r="G472" s="22"/>
      <c r="K472" s="9"/>
      <c r="M472" s="22"/>
    </row>
    <row r="473">
      <c r="A473" s="22"/>
      <c r="G473" s="22"/>
      <c r="K473" s="9"/>
      <c r="M473" s="22"/>
    </row>
    <row r="474">
      <c r="A474" s="22"/>
      <c r="G474" s="22"/>
      <c r="K474" s="9"/>
      <c r="M474" s="22"/>
    </row>
    <row r="475">
      <c r="A475" s="22"/>
      <c r="G475" s="22"/>
      <c r="K475" s="9"/>
      <c r="M475" s="22"/>
    </row>
    <row r="476">
      <c r="A476" s="22"/>
      <c r="G476" s="22"/>
      <c r="K476" s="9"/>
      <c r="M476" s="22"/>
    </row>
    <row r="477">
      <c r="A477" s="22"/>
      <c r="G477" s="22"/>
      <c r="K477" s="9"/>
      <c r="M477" s="22"/>
    </row>
    <row r="478">
      <c r="A478" s="22"/>
      <c r="G478" s="22"/>
      <c r="K478" s="9"/>
      <c r="M478" s="22"/>
    </row>
    <row r="479">
      <c r="A479" s="22"/>
      <c r="G479" s="22"/>
      <c r="K479" s="9"/>
      <c r="M479" s="22"/>
    </row>
    <row r="480">
      <c r="A480" s="22"/>
      <c r="G480" s="22"/>
      <c r="K480" s="9"/>
      <c r="M480" s="22"/>
    </row>
    <row r="481">
      <c r="A481" s="22"/>
      <c r="G481" s="22"/>
      <c r="K481" s="9"/>
      <c r="M481" s="22"/>
    </row>
    <row r="482">
      <c r="A482" s="22"/>
      <c r="G482" s="22"/>
      <c r="K482" s="9"/>
      <c r="M482" s="22"/>
    </row>
    <row r="483">
      <c r="A483" s="22"/>
      <c r="G483" s="22"/>
      <c r="K483" s="9"/>
      <c r="M483" s="22"/>
    </row>
    <row r="484">
      <c r="A484" s="22"/>
      <c r="G484" s="22"/>
      <c r="K484" s="9"/>
      <c r="M484" s="22"/>
    </row>
    <row r="485">
      <c r="A485" s="22"/>
      <c r="G485" s="22"/>
      <c r="K485" s="9"/>
      <c r="M485" s="22"/>
    </row>
    <row r="486">
      <c r="A486" s="22"/>
      <c r="G486" s="22"/>
      <c r="K486" s="9"/>
      <c r="M486" s="22"/>
    </row>
    <row r="487">
      <c r="A487" s="22"/>
      <c r="G487" s="22"/>
      <c r="K487" s="9"/>
      <c r="M487" s="22"/>
    </row>
    <row r="488">
      <c r="A488" s="22"/>
      <c r="G488" s="22"/>
      <c r="K488" s="9"/>
      <c r="M488" s="22"/>
    </row>
    <row r="489">
      <c r="A489" s="22"/>
      <c r="G489" s="22"/>
      <c r="K489" s="9"/>
      <c r="M489" s="22"/>
    </row>
    <row r="490">
      <c r="A490" s="22"/>
      <c r="G490" s="22"/>
      <c r="K490" s="9"/>
      <c r="M490" s="22"/>
    </row>
    <row r="491">
      <c r="A491" s="22"/>
      <c r="G491" s="22"/>
      <c r="K491" s="9"/>
      <c r="M491" s="22"/>
    </row>
    <row r="492">
      <c r="A492" s="22"/>
      <c r="G492" s="22"/>
      <c r="K492" s="9"/>
      <c r="M492" s="22"/>
    </row>
    <row r="493">
      <c r="A493" s="22"/>
      <c r="G493" s="22"/>
      <c r="K493" s="9"/>
      <c r="M493" s="22"/>
    </row>
    <row r="494">
      <c r="A494" s="22"/>
      <c r="G494" s="22"/>
      <c r="K494" s="9"/>
      <c r="M494" s="22"/>
    </row>
    <row r="495">
      <c r="A495" s="22"/>
      <c r="G495" s="22"/>
      <c r="K495" s="9"/>
      <c r="M495" s="22"/>
    </row>
    <row r="496">
      <c r="A496" s="22"/>
      <c r="G496" s="22"/>
      <c r="K496" s="9"/>
      <c r="M496" s="22"/>
    </row>
    <row r="497">
      <c r="A497" s="22"/>
      <c r="G497" s="22"/>
      <c r="K497" s="9"/>
      <c r="M497" s="22"/>
    </row>
    <row r="498">
      <c r="A498" s="22"/>
      <c r="G498" s="22"/>
      <c r="K498" s="9"/>
      <c r="M498" s="22"/>
    </row>
    <row r="499">
      <c r="A499" s="22"/>
      <c r="G499" s="22"/>
      <c r="K499" s="9"/>
      <c r="M499" s="22"/>
    </row>
    <row r="500">
      <c r="A500" s="22"/>
      <c r="G500" s="22"/>
      <c r="K500" s="9"/>
      <c r="M500" s="22"/>
    </row>
    <row r="501">
      <c r="A501" s="22"/>
      <c r="G501" s="22"/>
      <c r="K501" s="9"/>
      <c r="M501" s="22"/>
    </row>
    <row r="502">
      <c r="A502" s="22"/>
      <c r="G502" s="22"/>
      <c r="K502" s="9"/>
      <c r="M502" s="22"/>
    </row>
    <row r="503">
      <c r="A503" s="22"/>
      <c r="G503" s="22"/>
      <c r="K503" s="9"/>
      <c r="M503" s="22"/>
    </row>
    <row r="504">
      <c r="A504" s="22"/>
      <c r="G504" s="22"/>
      <c r="K504" s="9"/>
      <c r="M504" s="22"/>
    </row>
    <row r="505">
      <c r="A505" s="22"/>
      <c r="G505" s="22"/>
      <c r="K505" s="9"/>
      <c r="M505" s="22"/>
    </row>
    <row r="506">
      <c r="A506" s="22"/>
      <c r="G506" s="22"/>
      <c r="K506" s="9"/>
      <c r="M506" s="22"/>
    </row>
    <row r="507">
      <c r="A507" s="22"/>
      <c r="G507" s="22"/>
      <c r="K507" s="9"/>
      <c r="M507" s="22"/>
    </row>
    <row r="508">
      <c r="A508" s="22"/>
      <c r="G508" s="22"/>
      <c r="K508" s="9"/>
      <c r="M508" s="22"/>
    </row>
    <row r="509">
      <c r="A509" s="22"/>
      <c r="G509" s="22"/>
      <c r="K509" s="9"/>
      <c r="M509" s="22"/>
    </row>
    <row r="510">
      <c r="A510" s="22"/>
      <c r="G510" s="22"/>
      <c r="K510" s="9"/>
      <c r="M510" s="22"/>
    </row>
    <row r="511">
      <c r="A511" s="22"/>
      <c r="G511" s="22"/>
      <c r="K511" s="9"/>
      <c r="M511" s="22"/>
    </row>
    <row r="512">
      <c r="A512" s="22"/>
      <c r="G512" s="22"/>
      <c r="K512" s="9"/>
      <c r="M512" s="22"/>
    </row>
    <row r="513">
      <c r="A513" s="22"/>
      <c r="G513" s="22"/>
      <c r="K513" s="9"/>
      <c r="M513" s="22"/>
    </row>
    <row r="514">
      <c r="A514" s="22"/>
      <c r="G514" s="22"/>
      <c r="K514" s="9"/>
      <c r="M514" s="22"/>
    </row>
    <row r="515">
      <c r="A515" s="22"/>
      <c r="G515" s="22"/>
      <c r="K515" s="9"/>
      <c r="M515" s="22"/>
    </row>
    <row r="516">
      <c r="A516" s="22"/>
      <c r="G516" s="22"/>
      <c r="K516" s="9"/>
      <c r="M516" s="22"/>
    </row>
    <row r="517">
      <c r="A517" s="22"/>
      <c r="G517" s="22"/>
      <c r="K517" s="9"/>
      <c r="M517" s="22"/>
    </row>
    <row r="518">
      <c r="A518" s="22"/>
      <c r="G518" s="22"/>
      <c r="K518" s="9"/>
      <c r="M518" s="22"/>
    </row>
    <row r="519">
      <c r="A519" s="22"/>
      <c r="G519" s="22"/>
      <c r="K519" s="9"/>
      <c r="M519" s="22"/>
    </row>
    <row r="520">
      <c r="A520" s="22"/>
      <c r="G520" s="22"/>
      <c r="K520" s="9"/>
      <c r="M520" s="22"/>
    </row>
    <row r="521">
      <c r="A521" s="22"/>
      <c r="G521" s="22"/>
      <c r="K521" s="9"/>
      <c r="M521" s="22"/>
    </row>
    <row r="522">
      <c r="A522" s="22"/>
      <c r="G522" s="22"/>
      <c r="K522" s="9"/>
      <c r="M522" s="22"/>
    </row>
    <row r="523">
      <c r="A523" s="22"/>
      <c r="G523" s="22"/>
      <c r="K523" s="9"/>
      <c r="M523" s="22"/>
    </row>
    <row r="524">
      <c r="A524" s="22"/>
      <c r="G524" s="22"/>
      <c r="K524" s="9"/>
      <c r="M524" s="22"/>
    </row>
    <row r="525">
      <c r="A525" s="22"/>
      <c r="G525" s="22"/>
      <c r="K525" s="9"/>
      <c r="M525" s="22"/>
    </row>
    <row r="526">
      <c r="A526" s="22"/>
      <c r="G526" s="22"/>
      <c r="K526" s="9"/>
      <c r="M526" s="22"/>
    </row>
    <row r="527">
      <c r="A527" s="22"/>
      <c r="G527" s="22"/>
      <c r="K527" s="9"/>
      <c r="M527" s="22"/>
    </row>
    <row r="528">
      <c r="A528" s="22"/>
      <c r="G528" s="22"/>
      <c r="K528" s="9"/>
      <c r="M528" s="22"/>
    </row>
    <row r="529">
      <c r="A529" s="22"/>
      <c r="G529" s="22"/>
      <c r="K529" s="9"/>
      <c r="M529" s="22"/>
    </row>
    <row r="530">
      <c r="A530" s="22"/>
      <c r="G530" s="22"/>
      <c r="K530" s="9"/>
      <c r="M530" s="22"/>
    </row>
    <row r="531">
      <c r="A531" s="22"/>
      <c r="G531" s="22"/>
      <c r="K531" s="9"/>
      <c r="M531" s="22"/>
    </row>
    <row r="532">
      <c r="A532" s="22"/>
      <c r="G532" s="22"/>
      <c r="K532" s="9"/>
      <c r="M532" s="22"/>
    </row>
    <row r="533">
      <c r="A533" s="22"/>
      <c r="G533" s="22"/>
      <c r="K533" s="9"/>
      <c r="M533" s="22"/>
    </row>
    <row r="534">
      <c r="A534" s="22"/>
      <c r="G534" s="22"/>
      <c r="K534" s="9"/>
      <c r="M534" s="22"/>
    </row>
    <row r="535">
      <c r="A535" s="22"/>
      <c r="G535" s="22"/>
      <c r="K535" s="9"/>
      <c r="M535" s="22"/>
    </row>
    <row r="536">
      <c r="A536" s="22"/>
      <c r="G536" s="22"/>
      <c r="K536" s="9"/>
      <c r="M536" s="22"/>
    </row>
    <row r="537">
      <c r="A537" s="22"/>
      <c r="G537" s="22"/>
      <c r="K537" s="9"/>
      <c r="M537" s="22"/>
    </row>
    <row r="538">
      <c r="A538" s="22"/>
      <c r="G538" s="22"/>
      <c r="K538" s="9"/>
      <c r="M538" s="22"/>
    </row>
    <row r="539">
      <c r="A539" s="22"/>
      <c r="G539" s="22"/>
      <c r="K539" s="9"/>
      <c r="M539" s="22"/>
    </row>
    <row r="540">
      <c r="A540" s="22"/>
      <c r="G540" s="22"/>
      <c r="K540" s="9"/>
      <c r="M540" s="22"/>
    </row>
    <row r="541">
      <c r="A541" s="22"/>
      <c r="G541" s="22"/>
      <c r="K541" s="9"/>
      <c r="M541" s="22"/>
    </row>
    <row r="542">
      <c r="A542" s="22"/>
      <c r="G542" s="22"/>
      <c r="K542" s="9"/>
      <c r="M542" s="22"/>
    </row>
    <row r="543">
      <c r="A543" s="22"/>
      <c r="G543" s="22"/>
      <c r="K543" s="9"/>
      <c r="M543" s="22"/>
    </row>
    <row r="544">
      <c r="A544" s="22"/>
      <c r="G544" s="22"/>
      <c r="K544" s="9"/>
      <c r="M544" s="22"/>
    </row>
    <row r="545">
      <c r="A545" s="22"/>
      <c r="G545" s="22"/>
      <c r="K545" s="9"/>
      <c r="M545" s="22"/>
    </row>
    <row r="546">
      <c r="A546" s="22"/>
      <c r="G546" s="22"/>
      <c r="K546" s="9"/>
      <c r="M546" s="22"/>
    </row>
    <row r="547">
      <c r="A547" s="22"/>
      <c r="G547" s="22"/>
      <c r="K547" s="9"/>
      <c r="M547" s="22"/>
    </row>
    <row r="548">
      <c r="A548" s="22"/>
      <c r="G548" s="22"/>
      <c r="K548" s="9"/>
      <c r="M548" s="22"/>
    </row>
    <row r="549">
      <c r="A549" s="22"/>
      <c r="G549" s="22"/>
      <c r="K549" s="9"/>
      <c r="M549" s="22"/>
    </row>
    <row r="550">
      <c r="A550" s="22"/>
      <c r="G550" s="22"/>
      <c r="K550" s="9"/>
      <c r="M550" s="22"/>
    </row>
    <row r="551">
      <c r="A551" s="22"/>
      <c r="G551" s="22"/>
      <c r="K551" s="9"/>
      <c r="M551" s="22"/>
    </row>
    <row r="552">
      <c r="A552" s="22"/>
      <c r="G552" s="22"/>
      <c r="K552" s="9"/>
      <c r="M552" s="22"/>
    </row>
    <row r="553">
      <c r="A553" s="22"/>
      <c r="G553" s="22"/>
      <c r="K553" s="9"/>
      <c r="M553" s="22"/>
    </row>
    <row r="554">
      <c r="A554" s="22"/>
      <c r="G554" s="22"/>
      <c r="K554" s="9"/>
      <c r="M554" s="22"/>
    </row>
    <row r="555">
      <c r="A555" s="22"/>
      <c r="G555" s="22"/>
      <c r="K555" s="9"/>
      <c r="M555" s="22"/>
    </row>
    <row r="556">
      <c r="A556" s="22"/>
      <c r="G556" s="22"/>
      <c r="K556" s="9"/>
      <c r="M556" s="22"/>
    </row>
    <row r="557">
      <c r="A557" s="22"/>
      <c r="G557" s="22"/>
      <c r="K557" s="9"/>
      <c r="M557" s="22"/>
    </row>
    <row r="558">
      <c r="A558" s="22"/>
      <c r="G558" s="22"/>
      <c r="K558" s="9"/>
      <c r="M558" s="22"/>
    </row>
    <row r="559">
      <c r="A559" s="22"/>
      <c r="G559" s="22"/>
      <c r="K559" s="9"/>
      <c r="M559" s="22"/>
    </row>
    <row r="560">
      <c r="A560" s="22"/>
      <c r="G560" s="22"/>
      <c r="K560" s="9"/>
      <c r="M560" s="22"/>
    </row>
    <row r="561">
      <c r="A561" s="22"/>
      <c r="G561" s="22"/>
      <c r="K561" s="9"/>
      <c r="M561" s="22"/>
    </row>
    <row r="562">
      <c r="A562" s="22"/>
      <c r="G562" s="22"/>
      <c r="K562" s="9"/>
      <c r="M562" s="22"/>
    </row>
    <row r="563">
      <c r="A563" s="22"/>
      <c r="G563" s="22"/>
      <c r="K563" s="9"/>
      <c r="M563" s="22"/>
    </row>
    <row r="564">
      <c r="A564" s="22"/>
      <c r="G564" s="22"/>
      <c r="K564" s="9"/>
      <c r="M564" s="22"/>
    </row>
    <row r="565">
      <c r="A565" s="22"/>
      <c r="G565" s="22"/>
      <c r="K565" s="9"/>
      <c r="M565" s="22"/>
    </row>
    <row r="566">
      <c r="A566" s="22"/>
      <c r="G566" s="22"/>
      <c r="K566" s="9"/>
      <c r="M566" s="22"/>
    </row>
    <row r="567">
      <c r="A567" s="22"/>
      <c r="G567" s="22"/>
      <c r="K567" s="9"/>
      <c r="M567" s="22"/>
    </row>
    <row r="568">
      <c r="A568" s="22"/>
      <c r="G568" s="22"/>
      <c r="K568" s="9"/>
      <c r="M568" s="22"/>
    </row>
    <row r="569">
      <c r="A569" s="22"/>
      <c r="G569" s="22"/>
      <c r="K569" s="9"/>
      <c r="M569" s="22"/>
    </row>
    <row r="570">
      <c r="A570" s="22"/>
      <c r="G570" s="22"/>
      <c r="K570" s="9"/>
      <c r="M570" s="22"/>
    </row>
    <row r="571">
      <c r="A571" s="22"/>
      <c r="G571" s="22"/>
      <c r="K571" s="9"/>
      <c r="M571" s="22"/>
    </row>
    <row r="572">
      <c r="A572" s="22"/>
      <c r="G572" s="22"/>
      <c r="K572" s="9"/>
      <c r="M572" s="22"/>
    </row>
    <row r="573">
      <c r="A573" s="22"/>
      <c r="G573" s="22"/>
      <c r="K573" s="9"/>
      <c r="M573" s="22"/>
    </row>
    <row r="574">
      <c r="A574" s="22"/>
      <c r="G574" s="22"/>
      <c r="K574" s="9"/>
      <c r="M574" s="22"/>
    </row>
    <row r="575">
      <c r="A575" s="22"/>
      <c r="G575" s="22"/>
      <c r="K575" s="9"/>
      <c r="M575" s="22"/>
    </row>
    <row r="576">
      <c r="A576" s="22"/>
      <c r="G576" s="22"/>
      <c r="K576" s="9"/>
      <c r="M576" s="22"/>
    </row>
    <row r="577">
      <c r="A577" s="22"/>
      <c r="G577" s="22"/>
      <c r="K577" s="9"/>
      <c r="M577" s="22"/>
    </row>
    <row r="578">
      <c r="A578" s="22"/>
      <c r="G578" s="22"/>
      <c r="K578" s="9"/>
      <c r="M578" s="22"/>
    </row>
    <row r="579">
      <c r="A579" s="22"/>
      <c r="G579" s="22"/>
      <c r="K579" s="9"/>
      <c r="M579" s="22"/>
    </row>
    <row r="580">
      <c r="A580" s="22"/>
      <c r="G580" s="22"/>
      <c r="K580" s="9"/>
      <c r="M580" s="22"/>
    </row>
    <row r="581">
      <c r="A581" s="22"/>
      <c r="G581" s="22"/>
      <c r="K581" s="9"/>
      <c r="M581" s="22"/>
    </row>
    <row r="582">
      <c r="A582" s="22"/>
      <c r="G582" s="22"/>
      <c r="K582" s="9"/>
      <c r="M582" s="22"/>
    </row>
    <row r="583">
      <c r="A583" s="22"/>
      <c r="G583" s="22"/>
      <c r="K583" s="9"/>
      <c r="M583" s="22"/>
    </row>
    <row r="584">
      <c r="A584" s="22"/>
      <c r="G584" s="22"/>
      <c r="K584" s="9"/>
      <c r="M584" s="22"/>
    </row>
    <row r="585">
      <c r="A585" s="22"/>
      <c r="G585" s="22"/>
      <c r="K585" s="9"/>
      <c r="M585" s="22"/>
    </row>
    <row r="586">
      <c r="A586" s="22"/>
      <c r="G586" s="22"/>
      <c r="K586" s="9"/>
      <c r="M586" s="22"/>
    </row>
    <row r="587">
      <c r="A587" s="22"/>
      <c r="G587" s="22"/>
      <c r="K587" s="9"/>
      <c r="M587" s="22"/>
    </row>
    <row r="588">
      <c r="A588" s="22"/>
      <c r="G588" s="22"/>
      <c r="K588" s="9"/>
      <c r="M588" s="22"/>
    </row>
    <row r="589">
      <c r="A589" s="22"/>
      <c r="G589" s="22"/>
      <c r="K589" s="9"/>
      <c r="M589" s="22"/>
    </row>
    <row r="590">
      <c r="A590" s="22"/>
      <c r="G590" s="22"/>
      <c r="K590" s="9"/>
      <c r="M590" s="22"/>
    </row>
    <row r="591">
      <c r="A591" s="22"/>
      <c r="G591" s="22"/>
      <c r="K591" s="9"/>
      <c r="M591" s="22"/>
    </row>
    <row r="592">
      <c r="A592" s="22"/>
      <c r="G592" s="22"/>
      <c r="K592" s="9"/>
      <c r="M592" s="22"/>
    </row>
    <row r="593">
      <c r="A593" s="22"/>
      <c r="G593" s="22"/>
      <c r="K593" s="9"/>
      <c r="M593" s="22"/>
    </row>
    <row r="594">
      <c r="A594" s="22"/>
      <c r="G594" s="22"/>
      <c r="K594" s="9"/>
      <c r="M594" s="22"/>
    </row>
    <row r="595">
      <c r="A595" s="22"/>
      <c r="G595" s="22"/>
      <c r="K595" s="9"/>
      <c r="M595" s="22"/>
    </row>
    <row r="596">
      <c r="A596" s="22"/>
      <c r="G596" s="22"/>
      <c r="K596" s="9"/>
      <c r="M596" s="22"/>
    </row>
    <row r="597">
      <c r="A597" s="22"/>
      <c r="G597" s="22"/>
      <c r="K597" s="9"/>
      <c r="M597" s="22"/>
    </row>
    <row r="598">
      <c r="A598" s="22"/>
      <c r="G598" s="22"/>
      <c r="K598" s="9"/>
      <c r="M598" s="22"/>
    </row>
    <row r="599">
      <c r="A599" s="22"/>
      <c r="G599" s="22"/>
      <c r="K599" s="9"/>
      <c r="M599" s="22"/>
    </row>
    <row r="600">
      <c r="A600" s="22"/>
      <c r="G600" s="22"/>
      <c r="K600" s="9"/>
      <c r="M600" s="22"/>
    </row>
    <row r="601">
      <c r="A601" s="22"/>
      <c r="G601" s="22"/>
      <c r="K601" s="9"/>
      <c r="M601" s="22"/>
    </row>
    <row r="602">
      <c r="A602" s="22"/>
      <c r="G602" s="22"/>
      <c r="K602" s="9"/>
      <c r="M602" s="22"/>
    </row>
    <row r="603">
      <c r="A603" s="22"/>
      <c r="G603" s="22"/>
      <c r="K603" s="9"/>
      <c r="M603" s="22"/>
    </row>
    <row r="604">
      <c r="A604" s="22"/>
      <c r="G604" s="22"/>
      <c r="K604" s="9"/>
      <c r="M604" s="22"/>
    </row>
    <row r="605">
      <c r="A605" s="22"/>
      <c r="G605" s="22"/>
      <c r="K605" s="9"/>
      <c r="M605" s="22"/>
    </row>
    <row r="606">
      <c r="A606" s="22"/>
      <c r="G606" s="22"/>
      <c r="K606" s="9"/>
      <c r="M606" s="22"/>
    </row>
    <row r="607">
      <c r="A607" s="22"/>
      <c r="G607" s="22"/>
      <c r="K607" s="9"/>
      <c r="M607" s="22"/>
    </row>
    <row r="608">
      <c r="A608" s="22"/>
      <c r="G608" s="22"/>
      <c r="K608" s="9"/>
      <c r="M608" s="22"/>
    </row>
    <row r="609">
      <c r="A609" s="22"/>
      <c r="G609" s="22"/>
      <c r="K609" s="9"/>
      <c r="M609" s="22"/>
    </row>
    <row r="610">
      <c r="A610" s="22"/>
      <c r="G610" s="22"/>
      <c r="K610" s="9"/>
      <c r="M610" s="22"/>
    </row>
    <row r="611">
      <c r="A611" s="22"/>
      <c r="G611" s="22"/>
      <c r="K611" s="9"/>
      <c r="M611" s="22"/>
    </row>
    <row r="612">
      <c r="A612" s="22"/>
      <c r="G612" s="22"/>
      <c r="K612" s="9"/>
      <c r="M612" s="22"/>
    </row>
    <row r="613">
      <c r="A613" s="22"/>
      <c r="G613" s="22"/>
      <c r="K613" s="9"/>
      <c r="M613" s="22"/>
    </row>
    <row r="614">
      <c r="A614" s="22"/>
      <c r="G614" s="22"/>
      <c r="K614" s="9"/>
      <c r="M614" s="22"/>
    </row>
    <row r="615">
      <c r="A615" s="22"/>
      <c r="G615" s="22"/>
      <c r="K615" s="9"/>
      <c r="M615" s="22"/>
    </row>
    <row r="616">
      <c r="A616" s="22"/>
      <c r="G616" s="22"/>
      <c r="K616" s="9"/>
      <c r="M616" s="22"/>
    </row>
    <row r="617">
      <c r="A617" s="22"/>
      <c r="G617" s="22"/>
      <c r="K617" s="9"/>
      <c r="M617" s="22"/>
    </row>
    <row r="618">
      <c r="A618" s="22"/>
      <c r="G618" s="22"/>
      <c r="K618" s="9"/>
      <c r="M618" s="22"/>
    </row>
    <row r="619">
      <c r="A619" s="22"/>
      <c r="G619" s="22"/>
      <c r="K619" s="9"/>
      <c r="M619" s="22"/>
    </row>
    <row r="620">
      <c r="A620" s="22"/>
      <c r="G620" s="22"/>
      <c r="K620" s="9"/>
      <c r="M620" s="22"/>
    </row>
    <row r="621">
      <c r="A621" s="22"/>
      <c r="G621" s="22"/>
      <c r="K621" s="9"/>
      <c r="M621" s="22"/>
    </row>
    <row r="622">
      <c r="A622" s="22"/>
      <c r="G622" s="22"/>
      <c r="K622" s="9"/>
      <c r="M622" s="22"/>
    </row>
    <row r="623">
      <c r="A623" s="22"/>
      <c r="G623" s="22"/>
      <c r="K623" s="9"/>
      <c r="M623" s="22"/>
    </row>
    <row r="624">
      <c r="A624" s="22"/>
      <c r="G624" s="22"/>
      <c r="K624" s="9"/>
      <c r="M624" s="22"/>
    </row>
    <row r="625">
      <c r="A625" s="22"/>
      <c r="G625" s="22"/>
      <c r="K625" s="9"/>
      <c r="M625" s="22"/>
    </row>
    <row r="626">
      <c r="A626" s="22"/>
      <c r="G626" s="22"/>
      <c r="K626" s="9"/>
      <c r="M626" s="22"/>
    </row>
    <row r="627">
      <c r="A627" s="22"/>
      <c r="G627" s="22"/>
      <c r="K627" s="9"/>
      <c r="M627" s="22"/>
    </row>
    <row r="628">
      <c r="A628" s="22"/>
      <c r="G628" s="22"/>
      <c r="K628" s="9"/>
      <c r="M628" s="22"/>
    </row>
    <row r="629">
      <c r="A629" s="22"/>
      <c r="G629" s="22"/>
      <c r="K629" s="9"/>
      <c r="M629" s="22"/>
    </row>
    <row r="630">
      <c r="A630" s="22"/>
      <c r="G630" s="22"/>
      <c r="K630" s="9"/>
      <c r="M630" s="22"/>
    </row>
    <row r="631">
      <c r="A631" s="22"/>
      <c r="G631" s="22"/>
      <c r="K631" s="9"/>
      <c r="M631" s="22"/>
    </row>
    <row r="632">
      <c r="A632" s="22"/>
      <c r="G632" s="22"/>
      <c r="K632" s="9"/>
      <c r="M632" s="22"/>
    </row>
    <row r="633">
      <c r="A633" s="22"/>
      <c r="G633" s="22"/>
      <c r="K633" s="9"/>
      <c r="M633" s="22"/>
    </row>
    <row r="634">
      <c r="A634" s="22"/>
      <c r="G634" s="22"/>
      <c r="K634" s="9"/>
      <c r="M634" s="22"/>
    </row>
    <row r="635">
      <c r="A635" s="22"/>
      <c r="G635" s="22"/>
      <c r="K635" s="9"/>
      <c r="M635" s="22"/>
    </row>
    <row r="636">
      <c r="A636" s="22"/>
      <c r="G636" s="22"/>
      <c r="K636" s="9"/>
      <c r="M636" s="22"/>
    </row>
    <row r="637">
      <c r="A637" s="22"/>
      <c r="G637" s="22"/>
      <c r="K637" s="9"/>
      <c r="M637" s="22"/>
    </row>
    <row r="638">
      <c r="A638" s="22"/>
      <c r="G638" s="22"/>
      <c r="K638" s="9"/>
      <c r="M638" s="22"/>
    </row>
    <row r="639">
      <c r="A639" s="22"/>
      <c r="G639" s="22"/>
      <c r="K639" s="9"/>
      <c r="M639" s="22"/>
    </row>
    <row r="640">
      <c r="A640" s="22"/>
      <c r="G640" s="22"/>
      <c r="K640" s="9"/>
      <c r="M640" s="22"/>
    </row>
    <row r="641">
      <c r="A641" s="22"/>
      <c r="G641" s="22"/>
      <c r="K641" s="9"/>
      <c r="M641" s="22"/>
    </row>
    <row r="642">
      <c r="A642" s="22"/>
      <c r="G642" s="22"/>
      <c r="K642" s="9"/>
      <c r="M642" s="22"/>
    </row>
    <row r="643">
      <c r="A643" s="22"/>
      <c r="G643" s="22"/>
      <c r="K643" s="9"/>
      <c r="M643" s="22"/>
    </row>
    <row r="644">
      <c r="A644" s="22"/>
      <c r="G644" s="22"/>
      <c r="K644" s="9"/>
      <c r="M644" s="22"/>
    </row>
    <row r="645">
      <c r="A645" s="22"/>
      <c r="G645" s="22"/>
      <c r="K645" s="9"/>
      <c r="M645" s="22"/>
    </row>
    <row r="646">
      <c r="A646" s="22"/>
      <c r="G646" s="22"/>
      <c r="K646" s="9"/>
      <c r="M646" s="22"/>
    </row>
    <row r="647">
      <c r="A647" s="22"/>
      <c r="G647" s="22"/>
      <c r="K647" s="9"/>
      <c r="M647" s="22"/>
    </row>
    <row r="648">
      <c r="A648" s="22"/>
      <c r="G648" s="22"/>
      <c r="K648" s="9"/>
      <c r="M648" s="22"/>
    </row>
    <row r="649">
      <c r="A649" s="22"/>
      <c r="G649" s="22"/>
      <c r="K649" s="9"/>
      <c r="M649" s="22"/>
    </row>
    <row r="650">
      <c r="A650" s="22"/>
      <c r="G650" s="22"/>
      <c r="K650" s="9"/>
      <c r="M650" s="22"/>
    </row>
    <row r="651">
      <c r="A651" s="22"/>
      <c r="G651" s="22"/>
      <c r="K651" s="9"/>
      <c r="M651" s="22"/>
    </row>
    <row r="652">
      <c r="A652" s="22"/>
      <c r="G652" s="22"/>
      <c r="K652" s="9"/>
      <c r="M652" s="22"/>
    </row>
    <row r="653">
      <c r="A653" s="22"/>
      <c r="G653" s="22"/>
      <c r="K653" s="9"/>
      <c r="M653" s="22"/>
    </row>
    <row r="654">
      <c r="A654" s="22"/>
      <c r="G654" s="22"/>
      <c r="K654" s="9"/>
      <c r="M654" s="22"/>
    </row>
    <row r="655">
      <c r="A655" s="22"/>
      <c r="G655" s="22"/>
      <c r="K655" s="9"/>
      <c r="M655" s="22"/>
    </row>
    <row r="656">
      <c r="A656" s="22"/>
      <c r="G656" s="22"/>
      <c r="K656" s="9"/>
      <c r="M656" s="22"/>
    </row>
    <row r="657">
      <c r="A657" s="22"/>
      <c r="G657" s="22"/>
      <c r="K657" s="9"/>
      <c r="M657" s="22"/>
    </row>
    <row r="658">
      <c r="A658" s="22"/>
      <c r="G658" s="22"/>
      <c r="K658" s="9"/>
      <c r="M658" s="22"/>
    </row>
    <row r="659">
      <c r="A659" s="22"/>
      <c r="G659" s="22"/>
      <c r="K659" s="9"/>
      <c r="M659" s="22"/>
    </row>
    <row r="660">
      <c r="A660" s="22"/>
      <c r="G660" s="22"/>
      <c r="K660" s="9"/>
      <c r="M660" s="22"/>
    </row>
    <row r="661">
      <c r="A661" s="22"/>
      <c r="G661" s="22"/>
      <c r="K661" s="9"/>
      <c r="M661" s="22"/>
    </row>
    <row r="662">
      <c r="A662" s="22"/>
      <c r="G662" s="22"/>
      <c r="K662" s="9"/>
      <c r="M662" s="22"/>
    </row>
    <row r="663">
      <c r="A663" s="22"/>
      <c r="G663" s="22"/>
      <c r="K663" s="9"/>
      <c r="M663" s="22"/>
    </row>
    <row r="664">
      <c r="A664" s="22"/>
      <c r="G664" s="22"/>
      <c r="K664" s="9"/>
      <c r="M664" s="22"/>
    </row>
    <row r="665">
      <c r="A665" s="22"/>
      <c r="G665" s="22"/>
      <c r="K665" s="9"/>
      <c r="M665" s="22"/>
    </row>
    <row r="666">
      <c r="A666" s="22"/>
      <c r="G666" s="22"/>
      <c r="K666" s="9"/>
      <c r="M666" s="22"/>
    </row>
    <row r="667">
      <c r="A667" s="22"/>
      <c r="G667" s="22"/>
      <c r="K667" s="9"/>
      <c r="M667" s="22"/>
    </row>
    <row r="668">
      <c r="A668" s="22"/>
      <c r="G668" s="22"/>
      <c r="K668" s="9"/>
      <c r="M668" s="22"/>
    </row>
    <row r="669">
      <c r="A669" s="22"/>
      <c r="G669" s="22"/>
      <c r="K669" s="9"/>
      <c r="M669" s="22"/>
    </row>
    <row r="670">
      <c r="A670" s="22"/>
      <c r="G670" s="22"/>
      <c r="K670" s="9"/>
      <c r="M670" s="22"/>
    </row>
    <row r="671">
      <c r="A671" s="22"/>
      <c r="G671" s="22"/>
      <c r="K671" s="9"/>
      <c r="M671" s="22"/>
    </row>
    <row r="672">
      <c r="A672" s="22"/>
      <c r="G672" s="22"/>
      <c r="K672" s="9"/>
      <c r="M672" s="22"/>
    </row>
    <row r="673">
      <c r="A673" s="22"/>
      <c r="G673" s="22"/>
      <c r="K673" s="9"/>
      <c r="M673" s="22"/>
    </row>
    <row r="674">
      <c r="A674" s="22"/>
      <c r="G674" s="22"/>
      <c r="K674" s="9"/>
      <c r="M674" s="22"/>
    </row>
    <row r="675">
      <c r="A675" s="22"/>
      <c r="G675" s="22"/>
      <c r="K675" s="9"/>
      <c r="M675" s="22"/>
    </row>
    <row r="676">
      <c r="A676" s="22"/>
      <c r="G676" s="22"/>
      <c r="K676" s="9"/>
      <c r="M676" s="22"/>
    </row>
    <row r="677">
      <c r="A677" s="22"/>
      <c r="G677" s="22"/>
      <c r="K677" s="9"/>
      <c r="M677" s="22"/>
    </row>
    <row r="678">
      <c r="A678" s="22"/>
      <c r="G678" s="22"/>
      <c r="K678" s="9"/>
      <c r="M678" s="22"/>
    </row>
    <row r="679">
      <c r="A679" s="22"/>
      <c r="G679" s="22"/>
      <c r="K679" s="9"/>
      <c r="M679" s="22"/>
    </row>
    <row r="680">
      <c r="A680" s="22"/>
      <c r="G680" s="22"/>
      <c r="K680" s="9"/>
      <c r="M680" s="22"/>
    </row>
    <row r="681">
      <c r="A681" s="22"/>
      <c r="G681" s="22"/>
      <c r="K681" s="9"/>
      <c r="M681" s="22"/>
    </row>
    <row r="682">
      <c r="A682" s="22"/>
      <c r="G682" s="22"/>
      <c r="K682" s="9"/>
      <c r="M682" s="22"/>
    </row>
    <row r="683">
      <c r="A683" s="22"/>
      <c r="G683" s="22"/>
      <c r="K683" s="9"/>
      <c r="M683" s="22"/>
    </row>
    <row r="684">
      <c r="A684" s="22"/>
      <c r="G684" s="22"/>
      <c r="K684" s="9"/>
      <c r="M684" s="22"/>
    </row>
    <row r="685">
      <c r="A685" s="22"/>
      <c r="G685" s="22"/>
      <c r="K685" s="9"/>
      <c r="M685" s="22"/>
    </row>
    <row r="686">
      <c r="A686" s="22"/>
      <c r="G686" s="22"/>
      <c r="K686" s="9"/>
      <c r="M686" s="22"/>
    </row>
    <row r="687">
      <c r="A687" s="22"/>
      <c r="G687" s="22"/>
      <c r="K687" s="9"/>
      <c r="M687" s="22"/>
    </row>
    <row r="688">
      <c r="A688" s="22"/>
      <c r="G688" s="22"/>
      <c r="K688" s="9"/>
      <c r="M688" s="22"/>
    </row>
    <row r="689">
      <c r="A689" s="22"/>
      <c r="G689" s="22"/>
      <c r="K689" s="9"/>
      <c r="M689" s="22"/>
    </row>
    <row r="690">
      <c r="A690" s="22"/>
      <c r="G690" s="22"/>
      <c r="K690" s="9"/>
      <c r="M690" s="22"/>
    </row>
    <row r="691">
      <c r="A691" s="22"/>
      <c r="G691" s="22"/>
      <c r="K691" s="9"/>
      <c r="M691" s="22"/>
    </row>
    <row r="692">
      <c r="A692" s="22"/>
      <c r="G692" s="22"/>
      <c r="K692" s="9"/>
      <c r="M692" s="22"/>
    </row>
    <row r="693">
      <c r="A693" s="22"/>
      <c r="G693" s="22"/>
      <c r="K693" s="9"/>
      <c r="M693" s="22"/>
    </row>
    <row r="694">
      <c r="A694" s="22"/>
      <c r="G694" s="22"/>
      <c r="K694" s="9"/>
      <c r="M694" s="22"/>
    </row>
    <row r="695">
      <c r="A695" s="22"/>
      <c r="G695" s="22"/>
      <c r="K695" s="9"/>
      <c r="M695" s="22"/>
    </row>
    <row r="696">
      <c r="A696" s="22"/>
      <c r="G696" s="22"/>
      <c r="K696" s="9"/>
      <c r="M696" s="22"/>
    </row>
    <row r="697">
      <c r="A697" s="22"/>
      <c r="G697" s="22"/>
      <c r="K697" s="9"/>
      <c r="M697" s="22"/>
    </row>
    <row r="698">
      <c r="A698" s="22"/>
      <c r="G698" s="22"/>
      <c r="K698" s="9"/>
      <c r="M698" s="22"/>
    </row>
    <row r="699">
      <c r="A699" s="22"/>
      <c r="G699" s="22"/>
      <c r="K699" s="9"/>
      <c r="M699" s="22"/>
    </row>
    <row r="700">
      <c r="A700" s="22"/>
      <c r="G700" s="22"/>
      <c r="K700" s="9"/>
      <c r="M700" s="22"/>
    </row>
    <row r="701">
      <c r="A701" s="22"/>
      <c r="G701" s="22"/>
      <c r="K701" s="9"/>
      <c r="M701" s="22"/>
    </row>
    <row r="702">
      <c r="A702" s="22"/>
      <c r="G702" s="22"/>
      <c r="K702" s="9"/>
      <c r="M702" s="22"/>
    </row>
    <row r="703">
      <c r="A703" s="22"/>
      <c r="G703" s="22"/>
      <c r="K703" s="9"/>
      <c r="M703" s="22"/>
    </row>
    <row r="704">
      <c r="A704" s="22"/>
      <c r="G704" s="22"/>
      <c r="K704" s="9"/>
      <c r="M704" s="22"/>
    </row>
    <row r="705">
      <c r="A705" s="22"/>
      <c r="G705" s="22"/>
      <c r="K705" s="9"/>
      <c r="M705" s="22"/>
    </row>
    <row r="706">
      <c r="A706" s="22"/>
      <c r="G706" s="22"/>
      <c r="K706" s="9"/>
      <c r="M706" s="22"/>
    </row>
    <row r="707">
      <c r="A707" s="22"/>
      <c r="G707" s="22"/>
      <c r="K707" s="9"/>
      <c r="M707" s="22"/>
    </row>
    <row r="708">
      <c r="A708" s="22"/>
      <c r="G708" s="22"/>
      <c r="K708" s="9"/>
      <c r="M708" s="22"/>
    </row>
    <row r="709">
      <c r="A709" s="22"/>
      <c r="G709" s="22"/>
      <c r="K709" s="9"/>
      <c r="M709" s="22"/>
    </row>
    <row r="710">
      <c r="A710" s="22"/>
      <c r="G710" s="22"/>
      <c r="K710" s="9"/>
      <c r="M710" s="22"/>
    </row>
    <row r="711">
      <c r="A711" s="22"/>
      <c r="G711" s="22"/>
      <c r="K711" s="9"/>
      <c r="M711" s="22"/>
    </row>
    <row r="712">
      <c r="A712" s="22"/>
      <c r="G712" s="22"/>
      <c r="K712" s="9"/>
      <c r="M712" s="22"/>
    </row>
    <row r="713">
      <c r="A713" s="22"/>
      <c r="G713" s="22"/>
      <c r="K713" s="9"/>
      <c r="M713" s="22"/>
    </row>
    <row r="714">
      <c r="A714" s="22"/>
      <c r="G714" s="22"/>
      <c r="K714" s="9"/>
      <c r="M714" s="22"/>
    </row>
    <row r="715">
      <c r="A715" s="22"/>
      <c r="G715" s="22"/>
      <c r="K715" s="9"/>
      <c r="M715" s="22"/>
    </row>
    <row r="716">
      <c r="A716" s="22"/>
      <c r="G716" s="22"/>
      <c r="K716" s="9"/>
      <c r="M716" s="22"/>
    </row>
    <row r="717">
      <c r="A717" s="22"/>
      <c r="G717" s="22"/>
      <c r="K717" s="9"/>
      <c r="M717" s="22"/>
    </row>
    <row r="718">
      <c r="A718" s="22"/>
      <c r="G718" s="22"/>
      <c r="K718" s="9"/>
      <c r="M718" s="22"/>
    </row>
    <row r="719">
      <c r="A719" s="22"/>
      <c r="G719" s="22"/>
      <c r="K719" s="9"/>
      <c r="M719" s="22"/>
    </row>
    <row r="720">
      <c r="A720" s="22"/>
      <c r="G720" s="22"/>
      <c r="K720" s="9"/>
      <c r="M720" s="22"/>
    </row>
    <row r="721">
      <c r="A721" s="22"/>
      <c r="G721" s="22"/>
      <c r="K721" s="9"/>
      <c r="M721" s="22"/>
    </row>
    <row r="722">
      <c r="A722" s="22"/>
      <c r="G722" s="22"/>
      <c r="K722" s="9"/>
      <c r="M722" s="22"/>
    </row>
    <row r="723">
      <c r="A723" s="22"/>
      <c r="G723" s="22"/>
      <c r="K723" s="9"/>
      <c r="M723" s="22"/>
    </row>
    <row r="724">
      <c r="A724" s="22"/>
      <c r="G724" s="22"/>
      <c r="K724" s="9"/>
      <c r="M724" s="22"/>
    </row>
    <row r="725">
      <c r="A725" s="22"/>
      <c r="G725" s="22"/>
      <c r="K725" s="9"/>
      <c r="M725" s="22"/>
    </row>
    <row r="726">
      <c r="A726" s="22"/>
      <c r="G726" s="22"/>
      <c r="K726" s="9"/>
      <c r="M726" s="22"/>
    </row>
    <row r="727">
      <c r="A727" s="22"/>
      <c r="G727" s="22"/>
      <c r="K727" s="9"/>
      <c r="M727" s="22"/>
    </row>
    <row r="728">
      <c r="A728" s="22"/>
      <c r="G728" s="22"/>
      <c r="K728" s="9"/>
      <c r="M728" s="22"/>
    </row>
    <row r="729">
      <c r="A729" s="22"/>
      <c r="G729" s="22"/>
      <c r="K729" s="9"/>
      <c r="M729" s="22"/>
    </row>
    <row r="730">
      <c r="A730" s="22"/>
      <c r="G730" s="22"/>
      <c r="K730" s="9"/>
      <c r="M730" s="22"/>
    </row>
    <row r="731">
      <c r="A731" s="22"/>
      <c r="G731" s="22"/>
      <c r="K731" s="9"/>
      <c r="M731" s="22"/>
    </row>
    <row r="732">
      <c r="A732" s="22"/>
      <c r="G732" s="22"/>
      <c r="K732" s="9"/>
      <c r="M732" s="22"/>
    </row>
    <row r="733">
      <c r="A733" s="22"/>
      <c r="G733" s="22"/>
      <c r="K733" s="9"/>
      <c r="M733" s="22"/>
    </row>
    <row r="734">
      <c r="A734" s="22"/>
      <c r="G734" s="22"/>
      <c r="K734" s="9"/>
      <c r="M734" s="22"/>
    </row>
    <row r="735">
      <c r="A735" s="22"/>
      <c r="G735" s="22"/>
      <c r="K735" s="9"/>
      <c r="M735" s="22"/>
    </row>
    <row r="736">
      <c r="A736" s="22"/>
      <c r="G736" s="22"/>
      <c r="K736" s="9"/>
      <c r="M736" s="22"/>
    </row>
    <row r="737">
      <c r="A737" s="22"/>
      <c r="G737" s="22"/>
      <c r="K737" s="9"/>
      <c r="M737" s="22"/>
    </row>
    <row r="738">
      <c r="A738" s="22"/>
      <c r="G738" s="22"/>
      <c r="K738" s="9"/>
      <c r="M738" s="22"/>
    </row>
    <row r="739">
      <c r="A739" s="22"/>
      <c r="G739" s="22"/>
      <c r="K739" s="9"/>
      <c r="M739" s="22"/>
    </row>
    <row r="740">
      <c r="A740" s="22"/>
      <c r="G740" s="22"/>
      <c r="K740" s="9"/>
      <c r="M740" s="22"/>
    </row>
    <row r="741">
      <c r="A741" s="22"/>
      <c r="G741" s="22"/>
      <c r="K741" s="9"/>
      <c r="M741" s="22"/>
    </row>
    <row r="742">
      <c r="A742" s="22"/>
      <c r="G742" s="22"/>
      <c r="K742" s="9"/>
      <c r="M742" s="22"/>
    </row>
    <row r="743">
      <c r="A743" s="22"/>
      <c r="G743" s="22"/>
      <c r="K743" s="9"/>
      <c r="M743" s="22"/>
    </row>
    <row r="744">
      <c r="A744" s="22"/>
      <c r="G744" s="22"/>
      <c r="K744" s="9"/>
      <c r="M744" s="22"/>
    </row>
    <row r="745">
      <c r="A745" s="22"/>
      <c r="G745" s="22"/>
      <c r="K745" s="9"/>
      <c r="M745" s="22"/>
    </row>
    <row r="746">
      <c r="A746" s="22"/>
      <c r="G746" s="22"/>
      <c r="K746" s="9"/>
      <c r="M746" s="22"/>
    </row>
    <row r="747">
      <c r="A747" s="22"/>
      <c r="G747" s="22"/>
      <c r="K747" s="9"/>
      <c r="M747" s="22"/>
    </row>
    <row r="748">
      <c r="A748" s="22"/>
      <c r="G748" s="22"/>
      <c r="K748" s="9"/>
      <c r="M748" s="22"/>
    </row>
    <row r="749">
      <c r="A749" s="22"/>
      <c r="G749" s="22"/>
      <c r="K749" s="9"/>
      <c r="M749" s="22"/>
    </row>
    <row r="750">
      <c r="A750" s="22"/>
      <c r="G750" s="22"/>
      <c r="K750" s="9"/>
      <c r="M750" s="22"/>
    </row>
    <row r="751">
      <c r="A751" s="22"/>
      <c r="G751" s="22"/>
      <c r="K751" s="9"/>
      <c r="M751" s="22"/>
    </row>
    <row r="752">
      <c r="A752" s="22"/>
      <c r="G752" s="22"/>
      <c r="K752" s="9"/>
      <c r="M752" s="22"/>
    </row>
    <row r="753">
      <c r="A753" s="22"/>
      <c r="G753" s="22"/>
      <c r="K753" s="9"/>
      <c r="M753" s="22"/>
    </row>
    <row r="754">
      <c r="A754" s="22"/>
      <c r="G754" s="22"/>
      <c r="K754" s="9"/>
      <c r="M754" s="22"/>
    </row>
    <row r="755">
      <c r="A755" s="22"/>
      <c r="G755" s="22"/>
      <c r="K755" s="9"/>
      <c r="M755" s="22"/>
    </row>
    <row r="756">
      <c r="A756" s="22"/>
      <c r="G756" s="22"/>
      <c r="K756" s="9"/>
      <c r="M756" s="22"/>
    </row>
    <row r="757">
      <c r="A757" s="22"/>
      <c r="G757" s="22"/>
      <c r="K757" s="9"/>
      <c r="M757" s="22"/>
    </row>
    <row r="758">
      <c r="A758" s="22"/>
      <c r="G758" s="22"/>
      <c r="K758" s="9"/>
      <c r="M758" s="22"/>
    </row>
    <row r="759">
      <c r="A759" s="22"/>
      <c r="G759" s="22"/>
      <c r="K759" s="9"/>
      <c r="M759" s="22"/>
    </row>
    <row r="760">
      <c r="A760" s="22"/>
      <c r="G760" s="22"/>
      <c r="K760" s="9"/>
      <c r="M760" s="22"/>
    </row>
    <row r="761">
      <c r="A761" s="22"/>
      <c r="G761" s="22"/>
      <c r="K761" s="9"/>
      <c r="M761" s="22"/>
    </row>
    <row r="762">
      <c r="A762" s="22"/>
      <c r="G762" s="22"/>
      <c r="K762" s="9"/>
      <c r="M762" s="22"/>
    </row>
    <row r="763">
      <c r="A763" s="22"/>
      <c r="G763" s="22"/>
      <c r="K763" s="9"/>
      <c r="M763" s="22"/>
    </row>
    <row r="764">
      <c r="A764" s="22"/>
      <c r="G764" s="22"/>
      <c r="K764" s="9"/>
      <c r="M764" s="22"/>
    </row>
    <row r="765">
      <c r="A765" s="22"/>
      <c r="G765" s="22"/>
      <c r="K765" s="9"/>
      <c r="M765" s="22"/>
    </row>
    <row r="766">
      <c r="A766" s="22"/>
      <c r="G766" s="22"/>
      <c r="K766" s="9"/>
      <c r="M766" s="22"/>
    </row>
    <row r="767">
      <c r="A767" s="22"/>
      <c r="G767" s="22"/>
      <c r="K767" s="9"/>
      <c r="M767" s="22"/>
    </row>
    <row r="768">
      <c r="A768" s="22"/>
      <c r="G768" s="22"/>
      <c r="K768" s="9"/>
      <c r="M768" s="22"/>
    </row>
    <row r="769">
      <c r="A769" s="22"/>
      <c r="G769" s="22"/>
      <c r="K769" s="9"/>
      <c r="M769" s="22"/>
    </row>
    <row r="770">
      <c r="A770" s="22"/>
      <c r="G770" s="22"/>
      <c r="K770" s="9"/>
      <c r="M770" s="22"/>
    </row>
    <row r="771">
      <c r="A771" s="22"/>
      <c r="G771" s="22"/>
      <c r="K771" s="9"/>
      <c r="M771" s="22"/>
    </row>
    <row r="772">
      <c r="A772" s="22"/>
      <c r="G772" s="22"/>
      <c r="K772" s="9"/>
      <c r="M772" s="22"/>
    </row>
    <row r="773">
      <c r="A773" s="22"/>
      <c r="G773" s="22"/>
      <c r="K773" s="9"/>
      <c r="M773" s="22"/>
    </row>
    <row r="774">
      <c r="A774" s="22"/>
      <c r="G774" s="22"/>
      <c r="K774" s="9"/>
      <c r="M774" s="22"/>
    </row>
    <row r="775">
      <c r="A775" s="22"/>
      <c r="G775" s="22"/>
      <c r="K775" s="9"/>
      <c r="M775" s="22"/>
    </row>
    <row r="776">
      <c r="A776" s="22"/>
      <c r="G776" s="22"/>
      <c r="K776" s="9"/>
      <c r="M776" s="22"/>
    </row>
    <row r="777">
      <c r="A777" s="22"/>
      <c r="G777" s="22"/>
      <c r="K777" s="9"/>
      <c r="M777" s="22"/>
    </row>
    <row r="778">
      <c r="A778" s="22"/>
      <c r="G778" s="22"/>
      <c r="K778" s="9"/>
      <c r="M778" s="22"/>
    </row>
    <row r="779">
      <c r="A779" s="22"/>
      <c r="G779" s="22"/>
      <c r="K779" s="9"/>
      <c r="M779" s="22"/>
    </row>
    <row r="780">
      <c r="A780" s="22"/>
      <c r="G780" s="22"/>
      <c r="K780" s="9"/>
      <c r="M780" s="22"/>
    </row>
    <row r="781">
      <c r="A781" s="22"/>
      <c r="G781" s="22"/>
      <c r="K781" s="9"/>
      <c r="M781" s="22"/>
    </row>
    <row r="782">
      <c r="A782" s="22"/>
      <c r="G782" s="22"/>
      <c r="K782" s="9"/>
      <c r="M782" s="22"/>
    </row>
    <row r="783">
      <c r="A783" s="22"/>
      <c r="G783" s="22"/>
      <c r="K783" s="9"/>
      <c r="M783" s="22"/>
    </row>
    <row r="784">
      <c r="A784" s="22"/>
      <c r="G784" s="22"/>
      <c r="K784" s="9"/>
      <c r="M784" s="22"/>
    </row>
    <row r="785">
      <c r="A785" s="22"/>
      <c r="G785" s="22"/>
      <c r="K785" s="9"/>
      <c r="M785" s="22"/>
    </row>
    <row r="786">
      <c r="A786" s="22"/>
      <c r="G786" s="22"/>
      <c r="K786" s="9"/>
      <c r="M786" s="22"/>
    </row>
    <row r="787">
      <c r="A787" s="22"/>
      <c r="G787" s="22"/>
      <c r="K787" s="9"/>
      <c r="M787" s="22"/>
    </row>
    <row r="788">
      <c r="A788" s="22"/>
      <c r="G788" s="22"/>
      <c r="K788" s="9"/>
      <c r="M788" s="22"/>
    </row>
    <row r="789">
      <c r="A789" s="22"/>
      <c r="G789" s="22"/>
      <c r="K789" s="9"/>
      <c r="M789" s="22"/>
    </row>
    <row r="790">
      <c r="A790" s="22"/>
      <c r="G790" s="22"/>
      <c r="K790" s="9"/>
      <c r="M790" s="22"/>
    </row>
    <row r="791">
      <c r="A791" s="22"/>
      <c r="G791" s="22"/>
      <c r="K791" s="9"/>
      <c r="M791" s="22"/>
    </row>
    <row r="792">
      <c r="A792" s="22"/>
      <c r="G792" s="22"/>
      <c r="K792" s="9"/>
      <c r="M792" s="22"/>
    </row>
    <row r="793">
      <c r="A793" s="22"/>
      <c r="G793" s="22"/>
      <c r="K793" s="9"/>
      <c r="M793" s="22"/>
    </row>
    <row r="794">
      <c r="A794" s="22"/>
      <c r="G794" s="22"/>
      <c r="K794" s="9"/>
      <c r="M794" s="22"/>
    </row>
    <row r="795">
      <c r="A795" s="22"/>
      <c r="G795" s="22"/>
      <c r="K795" s="9"/>
      <c r="M795" s="22"/>
    </row>
    <row r="796">
      <c r="A796" s="22"/>
      <c r="G796" s="22"/>
      <c r="K796" s="9"/>
      <c r="M796" s="22"/>
    </row>
    <row r="797">
      <c r="A797" s="22"/>
      <c r="G797" s="22"/>
      <c r="K797" s="9"/>
      <c r="M797" s="22"/>
    </row>
    <row r="798">
      <c r="A798" s="22"/>
      <c r="G798" s="22"/>
      <c r="K798" s="9"/>
      <c r="M798" s="22"/>
    </row>
    <row r="799">
      <c r="A799" s="22"/>
      <c r="G799" s="22"/>
      <c r="K799" s="9"/>
      <c r="M799" s="22"/>
    </row>
    <row r="800">
      <c r="A800" s="22"/>
      <c r="G800" s="22"/>
      <c r="K800" s="9"/>
      <c r="M800" s="22"/>
    </row>
    <row r="801">
      <c r="A801" s="22"/>
      <c r="G801" s="22"/>
      <c r="K801" s="9"/>
      <c r="M801" s="22"/>
    </row>
    <row r="802">
      <c r="A802" s="22"/>
      <c r="G802" s="22"/>
      <c r="K802" s="9"/>
      <c r="M802" s="22"/>
    </row>
    <row r="803">
      <c r="A803" s="22"/>
      <c r="G803" s="22"/>
      <c r="K803" s="9"/>
      <c r="M803" s="22"/>
    </row>
    <row r="804">
      <c r="A804" s="22"/>
      <c r="G804" s="22"/>
      <c r="K804" s="9"/>
      <c r="M804" s="22"/>
    </row>
    <row r="805">
      <c r="A805" s="22"/>
      <c r="G805" s="22"/>
      <c r="K805" s="9"/>
      <c r="M805" s="22"/>
    </row>
    <row r="806">
      <c r="A806" s="22"/>
      <c r="G806" s="22"/>
      <c r="K806" s="9"/>
      <c r="M806" s="22"/>
    </row>
    <row r="807">
      <c r="A807" s="22"/>
      <c r="G807" s="22"/>
      <c r="K807" s="9"/>
      <c r="M807" s="22"/>
    </row>
    <row r="808">
      <c r="A808" s="22"/>
      <c r="G808" s="22"/>
      <c r="K808" s="9"/>
      <c r="M808" s="22"/>
    </row>
    <row r="809">
      <c r="A809" s="22"/>
      <c r="G809" s="22"/>
      <c r="K809" s="9"/>
      <c r="M809" s="22"/>
    </row>
    <row r="810">
      <c r="A810" s="22"/>
      <c r="G810" s="22"/>
      <c r="K810" s="9"/>
      <c r="M810" s="22"/>
    </row>
    <row r="811">
      <c r="A811" s="22"/>
      <c r="G811" s="22"/>
      <c r="K811" s="9"/>
      <c r="M811" s="22"/>
    </row>
    <row r="812">
      <c r="A812" s="22"/>
      <c r="G812" s="22"/>
      <c r="K812" s="9"/>
      <c r="M812" s="22"/>
    </row>
    <row r="813">
      <c r="A813" s="22"/>
      <c r="G813" s="22"/>
      <c r="K813" s="9"/>
      <c r="M813" s="22"/>
    </row>
    <row r="814">
      <c r="A814" s="22"/>
      <c r="G814" s="22"/>
      <c r="K814" s="9"/>
      <c r="M814" s="22"/>
    </row>
    <row r="815">
      <c r="A815" s="22"/>
      <c r="G815" s="22"/>
      <c r="K815" s="9"/>
      <c r="M815" s="22"/>
    </row>
    <row r="816">
      <c r="A816" s="22"/>
      <c r="G816" s="22"/>
      <c r="K816" s="9"/>
      <c r="M816" s="22"/>
    </row>
    <row r="817">
      <c r="A817" s="22"/>
      <c r="G817" s="22"/>
      <c r="K817" s="9"/>
      <c r="M817" s="22"/>
    </row>
    <row r="818">
      <c r="A818" s="22"/>
      <c r="G818" s="22"/>
      <c r="K818" s="9"/>
      <c r="M818" s="22"/>
    </row>
    <row r="819">
      <c r="A819" s="22"/>
      <c r="G819" s="22"/>
      <c r="K819" s="9"/>
      <c r="M819" s="22"/>
    </row>
    <row r="820">
      <c r="A820" s="22"/>
      <c r="G820" s="22"/>
      <c r="K820" s="9"/>
      <c r="M820" s="22"/>
    </row>
    <row r="821">
      <c r="A821" s="22"/>
      <c r="G821" s="22"/>
      <c r="K821" s="9"/>
      <c r="M821" s="22"/>
    </row>
    <row r="822">
      <c r="A822" s="22"/>
      <c r="G822" s="22"/>
      <c r="K822" s="9"/>
      <c r="M822" s="22"/>
    </row>
    <row r="823">
      <c r="A823" s="22"/>
      <c r="G823" s="22"/>
      <c r="K823" s="9"/>
      <c r="M823" s="22"/>
    </row>
    <row r="824">
      <c r="A824" s="22"/>
      <c r="G824" s="22"/>
      <c r="K824" s="9"/>
      <c r="M824" s="22"/>
    </row>
    <row r="825">
      <c r="A825" s="22"/>
      <c r="G825" s="22"/>
      <c r="K825" s="9"/>
      <c r="M825" s="22"/>
    </row>
    <row r="826">
      <c r="A826" s="22"/>
      <c r="G826" s="22"/>
      <c r="K826" s="9"/>
      <c r="M826" s="22"/>
    </row>
    <row r="827">
      <c r="A827" s="22"/>
      <c r="G827" s="22"/>
      <c r="K827" s="9"/>
      <c r="M827" s="22"/>
    </row>
    <row r="828">
      <c r="A828" s="22"/>
      <c r="G828" s="22"/>
      <c r="K828" s="9"/>
      <c r="M828" s="22"/>
    </row>
    <row r="829">
      <c r="A829" s="22"/>
      <c r="G829" s="22"/>
      <c r="K829" s="9"/>
      <c r="M829" s="22"/>
    </row>
    <row r="830">
      <c r="A830" s="22"/>
      <c r="G830" s="22"/>
      <c r="K830" s="9"/>
      <c r="M830" s="22"/>
    </row>
    <row r="831">
      <c r="A831" s="22"/>
      <c r="G831" s="22"/>
      <c r="K831" s="9"/>
      <c r="M831" s="22"/>
    </row>
    <row r="832">
      <c r="A832" s="22"/>
      <c r="G832" s="22"/>
      <c r="K832" s="9"/>
      <c r="M832" s="22"/>
    </row>
    <row r="833">
      <c r="A833" s="22"/>
      <c r="G833" s="22"/>
      <c r="K833" s="9"/>
      <c r="M833" s="22"/>
    </row>
    <row r="834">
      <c r="A834" s="22"/>
      <c r="G834" s="22"/>
      <c r="K834" s="9"/>
      <c r="M834" s="22"/>
    </row>
    <row r="835">
      <c r="A835" s="22"/>
      <c r="G835" s="22"/>
      <c r="K835" s="9"/>
      <c r="M835" s="22"/>
    </row>
    <row r="836">
      <c r="A836" s="22"/>
      <c r="G836" s="22"/>
      <c r="K836" s="9"/>
      <c r="M836" s="22"/>
    </row>
    <row r="837">
      <c r="A837" s="22"/>
      <c r="G837" s="22"/>
      <c r="K837" s="9"/>
      <c r="M837" s="22"/>
    </row>
    <row r="838">
      <c r="A838" s="22"/>
      <c r="G838" s="22"/>
      <c r="K838" s="9"/>
      <c r="M838" s="22"/>
    </row>
    <row r="839">
      <c r="A839" s="22"/>
      <c r="G839" s="22"/>
      <c r="K839" s="9"/>
      <c r="M839" s="22"/>
    </row>
    <row r="840">
      <c r="A840" s="22"/>
      <c r="G840" s="22"/>
      <c r="K840" s="9"/>
      <c r="M840" s="22"/>
    </row>
    <row r="841">
      <c r="A841" s="22"/>
      <c r="G841" s="22"/>
      <c r="K841" s="9"/>
      <c r="M841" s="22"/>
    </row>
    <row r="842">
      <c r="A842" s="22"/>
      <c r="G842" s="22"/>
      <c r="K842" s="9"/>
      <c r="M842" s="22"/>
    </row>
    <row r="843">
      <c r="A843" s="22"/>
      <c r="G843" s="22"/>
      <c r="K843" s="9"/>
      <c r="M843" s="22"/>
    </row>
    <row r="844">
      <c r="A844" s="22"/>
      <c r="G844" s="22"/>
      <c r="K844" s="9"/>
      <c r="M844" s="22"/>
    </row>
    <row r="845">
      <c r="A845" s="22"/>
      <c r="G845" s="22"/>
      <c r="K845" s="9"/>
      <c r="M845" s="22"/>
    </row>
    <row r="846">
      <c r="A846" s="22"/>
      <c r="G846" s="22"/>
      <c r="K846" s="9"/>
      <c r="M846" s="22"/>
    </row>
    <row r="847">
      <c r="A847" s="22"/>
      <c r="G847" s="22"/>
      <c r="K847" s="9"/>
      <c r="M847" s="22"/>
    </row>
    <row r="848">
      <c r="A848" s="22"/>
      <c r="G848" s="22"/>
      <c r="K848" s="9"/>
      <c r="M848" s="22"/>
    </row>
    <row r="849">
      <c r="A849" s="22"/>
      <c r="G849" s="22"/>
      <c r="K849" s="9"/>
      <c r="M849" s="22"/>
    </row>
    <row r="850">
      <c r="A850" s="22"/>
      <c r="G850" s="22"/>
      <c r="K850" s="9"/>
      <c r="M850" s="22"/>
    </row>
    <row r="851">
      <c r="A851" s="22"/>
      <c r="G851" s="22"/>
      <c r="K851" s="9"/>
      <c r="M851" s="22"/>
    </row>
    <row r="852">
      <c r="A852" s="22"/>
      <c r="G852" s="22"/>
      <c r="K852" s="9"/>
      <c r="M852" s="22"/>
    </row>
    <row r="853">
      <c r="A853" s="22"/>
      <c r="G853" s="22"/>
      <c r="K853" s="9"/>
      <c r="M853" s="22"/>
    </row>
    <row r="854">
      <c r="A854" s="22"/>
      <c r="G854" s="22"/>
      <c r="K854" s="9"/>
      <c r="M854" s="22"/>
    </row>
    <row r="855">
      <c r="A855" s="22"/>
      <c r="G855" s="22"/>
      <c r="K855" s="9"/>
      <c r="M855" s="22"/>
    </row>
    <row r="856">
      <c r="A856" s="22"/>
      <c r="G856" s="22"/>
      <c r="K856" s="9"/>
      <c r="M856" s="22"/>
    </row>
    <row r="857">
      <c r="A857" s="22"/>
      <c r="G857" s="22"/>
      <c r="K857" s="9"/>
      <c r="M857" s="22"/>
    </row>
    <row r="858">
      <c r="A858" s="22"/>
      <c r="G858" s="22"/>
      <c r="K858" s="9"/>
      <c r="M858" s="22"/>
    </row>
    <row r="859">
      <c r="A859" s="22"/>
      <c r="G859" s="22"/>
      <c r="K859" s="9"/>
      <c r="M859" s="22"/>
    </row>
    <row r="860">
      <c r="A860" s="22"/>
      <c r="G860" s="22"/>
      <c r="K860" s="9"/>
      <c r="M860" s="22"/>
    </row>
    <row r="861">
      <c r="A861" s="22"/>
      <c r="G861" s="22"/>
      <c r="K861" s="9"/>
      <c r="M861" s="22"/>
    </row>
    <row r="862">
      <c r="A862" s="22"/>
      <c r="G862" s="22"/>
      <c r="K862" s="9"/>
      <c r="M862" s="22"/>
    </row>
    <row r="863">
      <c r="A863" s="22"/>
      <c r="G863" s="22"/>
      <c r="K863" s="9"/>
      <c r="M863" s="22"/>
    </row>
    <row r="864">
      <c r="A864" s="22"/>
      <c r="G864" s="22"/>
      <c r="K864" s="9"/>
      <c r="M864" s="22"/>
    </row>
    <row r="865">
      <c r="A865" s="22"/>
      <c r="G865" s="22"/>
      <c r="K865" s="9"/>
      <c r="M865" s="22"/>
    </row>
    <row r="866">
      <c r="A866" s="22"/>
      <c r="G866" s="22"/>
      <c r="K866" s="9"/>
      <c r="M866" s="22"/>
    </row>
    <row r="867">
      <c r="A867" s="22"/>
      <c r="G867" s="22"/>
      <c r="K867" s="9"/>
      <c r="M867" s="22"/>
    </row>
    <row r="868">
      <c r="A868" s="22"/>
      <c r="G868" s="22"/>
      <c r="K868" s="9"/>
      <c r="M868" s="22"/>
    </row>
    <row r="869">
      <c r="A869" s="22"/>
      <c r="G869" s="22"/>
      <c r="K869" s="9"/>
      <c r="M869" s="22"/>
    </row>
    <row r="870">
      <c r="A870" s="22"/>
      <c r="G870" s="22"/>
      <c r="K870" s="9"/>
      <c r="M870" s="22"/>
    </row>
    <row r="871">
      <c r="A871" s="22"/>
      <c r="G871" s="22"/>
      <c r="K871" s="9"/>
      <c r="M871" s="22"/>
    </row>
    <row r="872">
      <c r="A872" s="22"/>
      <c r="G872" s="22"/>
      <c r="K872" s="9"/>
      <c r="M872" s="22"/>
    </row>
    <row r="873">
      <c r="A873" s="22"/>
      <c r="G873" s="22"/>
      <c r="K873" s="9"/>
      <c r="M873" s="22"/>
    </row>
    <row r="874">
      <c r="A874" s="22"/>
      <c r="G874" s="22"/>
      <c r="K874" s="9"/>
      <c r="M874" s="22"/>
    </row>
    <row r="875">
      <c r="A875" s="22"/>
      <c r="G875" s="22"/>
      <c r="K875" s="9"/>
      <c r="M875" s="22"/>
    </row>
    <row r="876">
      <c r="A876" s="22"/>
      <c r="G876" s="22"/>
      <c r="K876" s="9"/>
      <c r="M876" s="22"/>
    </row>
    <row r="877">
      <c r="A877" s="22"/>
      <c r="G877" s="22"/>
      <c r="K877" s="9"/>
      <c r="M877" s="22"/>
    </row>
    <row r="878">
      <c r="A878" s="22"/>
      <c r="G878" s="22"/>
      <c r="K878" s="9"/>
      <c r="M878" s="22"/>
    </row>
    <row r="879">
      <c r="A879" s="22"/>
      <c r="G879" s="22"/>
      <c r="K879" s="9"/>
      <c r="M879" s="22"/>
    </row>
    <row r="880">
      <c r="A880" s="22"/>
      <c r="G880" s="22"/>
      <c r="K880" s="9"/>
      <c r="M880" s="22"/>
    </row>
    <row r="881">
      <c r="A881" s="22"/>
      <c r="G881" s="22"/>
      <c r="K881" s="9"/>
      <c r="M881" s="22"/>
    </row>
    <row r="882">
      <c r="A882" s="22"/>
      <c r="G882" s="22"/>
      <c r="K882" s="9"/>
      <c r="M882" s="22"/>
    </row>
    <row r="883">
      <c r="A883" s="22"/>
      <c r="G883" s="22"/>
      <c r="K883" s="9"/>
      <c r="M883" s="22"/>
    </row>
    <row r="884">
      <c r="A884" s="22"/>
      <c r="G884" s="22"/>
      <c r="K884" s="9"/>
      <c r="M884" s="22"/>
    </row>
    <row r="885">
      <c r="A885" s="22"/>
      <c r="G885" s="22"/>
      <c r="K885" s="9"/>
      <c r="M885" s="22"/>
    </row>
    <row r="886">
      <c r="A886" s="22"/>
      <c r="G886" s="22"/>
      <c r="K886" s="9"/>
      <c r="M886" s="22"/>
    </row>
    <row r="887">
      <c r="A887" s="22"/>
      <c r="G887" s="22"/>
      <c r="K887" s="9"/>
      <c r="M887" s="22"/>
    </row>
    <row r="888">
      <c r="A888" s="22"/>
      <c r="G888" s="22"/>
      <c r="K888" s="9"/>
      <c r="M888" s="22"/>
    </row>
    <row r="889">
      <c r="A889" s="22"/>
      <c r="G889" s="22"/>
      <c r="K889" s="9"/>
      <c r="M889" s="22"/>
    </row>
    <row r="890">
      <c r="A890" s="22"/>
      <c r="G890" s="22"/>
      <c r="K890" s="9"/>
      <c r="M890" s="22"/>
    </row>
    <row r="891">
      <c r="A891" s="22"/>
      <c r="G891" s="22"/>
      <c r="K891" s="9"/>
      <c r="M891" s="22"/>
    </row>
    <row r="892">
      <c r="A892" s="22"/>
      <c r="G892" s="22"/>
      <c r="K892" s="9"/>
      <c r="M892" s="22"/>
    </row>
    <row r="893">
      <c r="A893" s="22"/>
      <c r="G893" s="22"/>
      <c r="K893" s="9"/>
      <c r="M893" s="22"/>
    </row>
    <row r="894">
      <c r="A894" s="22"/>
      <c r="G894" s="22"/>
      <c r="K894" s="9"/>
      <c r="M894" s="22"/>
    </row>
    <row r="895">
      <c r="A895" s="22"/>
      <c r="G895" s="22"/>
      <c r="K895" s="9"/>
      <c r="M895" s="22"/>
    </row>
    <row r="896">
      <c r="A896" s="22"/>
      <c r="G896" s="22"/>
      <c r="K896" s="9"/>
      <c r="M896" s="22"/>
    </row>
    <row r="897">
      <c r="A897" s="22"/>
      <c r="G897" s="22"/>
      <c r="K897" s="9"/>
      <c r="M897" s="22"/>
    </row>
    <row r="898">
      <c r="A898" s="22"/>
      <c r="G898" s="22"/>
      <c r="K898" s="9"/>
      <c r="M898" s="22"/>
    </row>
    <row r="899">
      <c r="A899" s="22"/>
      <c r="G899" s="22"/>
      <c r="K899" s="9"/>
      <c r="M899" s="22"/>
    </row>
    <row r="900">
      <c r="A900" s="22"/>
      <c r="G900" s="22"/>
      <c r="K900" s="9"/>
      <c r="M900" s="22"/>
    </row>
    <row r="901">
      <c r="A901" s="22"/>
      <c r="G901" s="22"/>
      <c r="K901" s="9"/>
      <c r="M901" s="22"/>
    </row>
    <row r="902">
      <c r="A902" s="22"/>
      <c r="G902" s="22"/>
      <c r="K902" s="9"/>
      <c r="M902" s="22"/>
    </row>
    <row r="903">
      <c r="A903" s="22"/>
      <c r="G903" s="22"/>
      <c r="K903" s="9"/>
      <c r="M903" s="22"/>
    </row>
    <row r="904">
      <c r="A904" s="22"/>
      <c r="G904" s="22"/>
      <c r="K904" s="9"/>
      <c r="M904" s="22"/>
    </row>
    <row r="905">
      <c r="A905" s="22"/>
      <c r="G905" s="22"/>
      <c r="K905" s="9"/>
      <c r="M905" s="22"/>
    </row>
    <row r="906">
      <c r="A906" s="22"/>
      <c r="G906" s="22"/>
      <c r="K906" s="9"/>
      <c r="M906" s="22"/>
    </row>
    <row r="907">
      <c r="A907" s="22"/>
      <c r="G907" s="22"/>
      <c r="K907" s="9"/>
      <c r="M907" s="22"/>
    </row>
    <row r="908">
      <c r="A908" s="22"/>
      <c r="G908" s="22"/>
      <c r="K908" s="9"/>
      <c r="M908" s="22"/>
    </row>
    <row r="909">
      <c r="A909" s="22"/>
      <c r="G909" s="22"/>
      <c r="K909" s="9"/>
      <c r="M909" s="22"/>
    </row>
    <row r="910">
      <c r="A910" s="22"/>
      <c r="G910" s="22"/>
      <c r="K910" s="9"/>
      <c r="M910" s="22"/>
    </row>
    <row r="911">
      <c r="A911" s="22"/>
      <c r="G911" s="22"/>
      <c r="K911" s="9"/>
      <c r="M911" s="22"/>
    </row>
    <row r="912">
      <c r="A912" s="22"/>
      <c r="G912" s="22"/>
      <c r="K912" s="9"/>
      <c r="M912" s="22"/>
    </row>
    <row r="913">
      <c r="A913" s="22"/>
      <c r="G913" s="22"/>
      <c r="K913" s="9"/>
      <c r="M913" s="22"/>
    </row>
    <row r="914">
      <c r="A914" s="22"/>
      <c r="G914" s="22"/>
      <c r="K914" s="9"/>
      <c r="M914" s="22"/>
    </row>
    <row r="915">
      <c r="A915" s="22"/>
      <c r="G915" s="22"/>
      <c r="K915" s="9"/>
      <c r="M915" s="22"/>
    </row>
    <row r="916">
      <c r="A916" s="22"/>
      <c r="G916" s="22"/>
      <c r="K916" s="9"/>
      <c r="M916" s="22"/>
    </row>
    <row r="917">
      <c r="A917" s="22"/>
      <c r="G917" s="22"/>
      <c r="K917" s="9"/>
      <c r="M917" s="22"/>
    </row>
    <row r="918">
      <c r="A918" s="22"/>
      <c r="G918" s="22"/>
      <c r="K918" s="9"/>
      <c r="M918" s="22"/>
    </row>
    <row r="919">
      <c r="A919" s="22"/>
      <c r="G919" s="22"/>
      <c r="K919" s="9"/>
      <c r="M919" s="22"/>
    </row>
    <row r="920">
      <c r="A920" s="22"/>
      <c r="G920" s="22"/>
      <c r="K920" s="9"/>
      <c r="M920" s="22"/>
    </row>
    <row r="921">
      <c r="A921" s="22"/>
      <c r="G921" s="22"/>
      <c r="K921" s="9"/>
      <c r="M921" s="22"/>
    </row>
    <row r="922">
      <c r="A922" s="22"/>
      <c r="G922" s="22"/>
      <c r="K922" s="9"/>
      <c r="M922" s="22"/>
    </row>
    <row r="923">
      <c r="A923" s="22"/>
      <c r="G923" s="22"/>
      <c r="K923" s="9"/>
      <c r="M923" s="22"/>
    </row>
    <row r="924">
      <c r="A924" s="22"/>
      <c r="G924" s="22"/>
      <c r="K924" s="9"/>
      <c r="M924" s="22"/>
    </row>
    <row r="925">
      <c r="A925" s="22"/>
      <c r="G925" s="22"/>
      <c r="K925" s="9"/>
      <c r="M925" s="22"/>
    </row>
    <row r="926">
      <c r="A926" s="22"/>
      <c r="G926" s="22"/>
      <c r="K926" s="9"/>
      <c r="M926" s="22"/>
    </row>
    <row r="927">
      <c r="A927" s="22"/>
      <c r="G927" s="22"/>
      <c r="K927" s="9"/>
      <c r="M927" s="22"/>
    </row>
    <row r="928">
      <c r="A928" s="22"/>
      <c r="G928" s="22"/>
      <c r="K928" s="9"/>
      <c r="M928" s="22"/>
    </row>
    <row r="929">
      <c r="A929" s="22"/>
      <c r="G929" s="22"/>
      <c r="K929" s="9"/>
      <c r="M929" s="22"/>
    </row>
    <row r="930">
      <c r="A930" s="22"/>
      <c r="G930" s="22"/>
      <c r="K930" s="9"/>
      <c r="M930" s="22"/>
    </row>
    <row r="931">
      <c r="A931" s="22"/>
      <c r="G931" s="22"/>
      <c r="K931" s="9"/>
      <c r="M931" s="22"/>
    </row>
    <row r="932">
      <c r="A932" s="22"/>
      <c r="G932" s="22"/>
      <c r="K932" s="9"/>
      <c r="M932" s="22"/>
    </row>
    <row r="933">
      <c r="A933" s="22"/>
      <c r="G933" s="22"/>
      <c r="K933" s="9"/>
      <c r="M933" s="22"/>
    </row>
    <row r="934">
      <c r="A934" s="22"/>
      <c r="G934" s="22"/>
      <c r="K934" s="9"/>
      <c r="M934" s="22"/>
    </row>
    <row r="935">
      <c r="A935" s="22"/>
      <c r="G935" s="22"/>
      <c r="K935" s="9"/>
      <c r="M935" s="22"/>
    </row>
    <row r="936">
      <c r="A936" s="22"/>
      <c r="G936" s="22"/>
      <c r="K936" s="9"/>
      <c r="M936" s="22"/>
    </row>
    <row r="937">
      <c r="A937" s="22"/>
      <c r="G937" s="22"/>
      <c r="K937" s="9"/>
      <c r="M937" s="22"/>
    </row>
    <row r="938">
      <c r="A938" s="22"/>
      <c r="G938" s="22"/>
      <c r="K938" s="9"/>
      <c r="M938" s="22"/>
    </row>
    <row r="939">
      <c r="A939" s="22"/>
      <c r="G939" s="22"/>
      <c r="K939" s="9"/>
      <c r="M939" s="22"/>
    </row>
    <row r="940">
      <c r="A940" s="22"/>
      <c r="G940" s="22"/>
      <c r="K940" s="9"/>
      <c r="M940" s="22"/>
    </row>
    <row r="941">
      <c r="A941" s="22"/>
      <c r="G941" s="22"/>
      <c r="K941" s="9"/>
      <c r="M941" s="22"/>
    </row>
    <row r="942">
      <c r="A942" s="22"/>
      <c r="G942" s="22"/>
      <c r="K942" s="9"/>
      <c r="M942" s="22"/>
    </row>
    <row r="943">
      <c r="A943" s="22"/>
      <c r="G943" s="22"/>
      <c r="K943" s="9"/>
      <c r="M943" s="22"/>
    </row>
    <row r="944">
      <c r="A944" s="22"/>
      <c r="G944" s="22"/>
      <c r="K944" s="9"/>
      <c r="M944" s="22"/>
    </row>
    <row r="945">
      <c r="A945" s="22"/>
      <c r="G945" s="22"/>
      <c r="K945" s="9"/>
      <c r="M945" s="22"/>
    </row>
    <row r="946">
      <c r="A946" s="22"/>
      <c r="G946" s="22"/>
      <c r="K946" s="9"/>
      <c r="M946" s="22"/>
    </row>
    <row r="947">
      <c r="A947" s="22"/>
      <c r="G947" s="22"/>
      <c r="K947" s="9"/>
      <c r="M947" s="22"/>
    </row>
    <row r="948">
      <c r="A948" s="22"/>
      <c r="G948" s="22"/>
      <c r="K948" s="9"/>
      <c r="M948" s="22"/>
    </row>
    <row r="949">
      <c r="A949" s="22"/>
      <c r="G949" s="22"/>
      <c r="K949" s="9"/>
      <c r="M949" s="22"/>
    </row>
    <row r="950">
      <c r="A950" s="22"/>
      <c r="G950" s="22"/>
      <c r="K950" s="9"/>
      <c r="M950" s="22"/>
    </row>
    <row r="951">
      <c r="A951" s="22"/>
      <c r="G951" s="22"/>
      <c r="K951" s="9"/>
      <c r="M951" s="22"/>
    </row>
    <row r="952">
      <c r="A952" s="22"/>
      <c r="G952" s="22"/>
      <c r="K952" s="9"/>
      <c r="M952" s="22"/>
    </row>
    <row r="953">
      <c r="A953" s="22"/>
      <c r="G953" s="22"/>
      <c r="K953" s="9"/>
      <c r="M953" s="22"/>
    </row>
    <row r="954">
      <c r="A954" s="22"/>
      <c r="G954" s="22"/>
      <c r="K954" s="9"/>
      <c r="M954" s="22"/>
    </row>
    <row r="955">
      <c r="A955" s="22"/>
      <c r="G955" s="22"/>
      <c r="K955" s="9"/>
      <c r="M955" s="22"/>
    </row>
    <row r="956">
      <c r="A956" s="22"/>
      <c r="G956" s="22"/>
      <c r="K956" s="9"/>
      <c r="M956" s="22"/>
    </row>
    <row r="957">
      <c r="A957" s="22"/>
      <c r="G957" s="22"/>
      <c r="K957" s="9"/>
      <c r="M957" s="22"/>
    </row>
    <row r="958">
      <c r="A958" s="22"/>
      <c r="G958" s="22"/>
      <c r="K958" s="9"/>
      <c r="M958" s="22"/>
    </row>
    <row r="959">
      <c r="A959" s="22"/>
      <c r="G959" s="22"/>
      <c r="K959" s="9"/>
      <c r="M959" s="22"/>
    </row>
    <row r="960">
      <c r="A960" s="22"/>
      <c r="G960" s="22"/>
      <c r="K960" s="9"/>
      <c r="M960" s="22"/>
    </row>
    <row r="961">
      <c r="A961" s="22"/>
      <c r="G961" s="22"/>
      <c r="K961" s="9"/>
      <c r="M961" s="22"/>
    </row>
    <row r="962">
      <c r="A962" s="22"/>
      <c r="G962" s="22"/>
      <c r="K962" s="9"/>
      <c r="M962" s="22"/>
    </row>
    <row r="963">
      <c r="A963" s="22"/>
      <c r="G963" s="22"/>
      <c r="K963" s="9"/>
      <c r="M963" s="22"/>
    </row>
    <row r="964">
      <c r="A964" s="22"/>
      <c r="G964" s="22"/>
      <c r="K964" s="9"/>
      <c r="M964" s="22"/>
    </row>
    <row r="965">
      <c r="A965" s="22"/>
      <c r="G965" s="22"/>
      <c r="K965" s="9"/>
      <c r="M965" s="22"/>
    </row>
    <row r="966">
      <c r="A966" s="22"/>
      <c r="G966" s="22"/>
      <c r="K966" s="9"/>
      <c r="M966" s="22"/>
    </row>
    <row r="967">
      <c r="A967" s="22"/>
      <c r="G967" s="22"/>
      <c r="K967" s="9"/>
      <c r="M967" s="22"/>
    </row>
    <row r="968">
      <c r="A968" s="22"/>
      <c r="G968" s="22"/>
      <c r="K968" s="9"/>
      <c r="M968" s="22"/>
    </row>
    <row r="969">
      <c r="A969" s="22"/>
      <c r="G969" s="22"/>
      <c r="K969" s="9"/>
      <c r="M969" s="22"/>
    </row>
    <row r="970">
      <c r="A970" s="22"/>
      <c r="G970" s="22"/>
      <c r="K970" s="9"/>
      <c r="M970" s="22"/>
    </row>
    <row r="971">
      <c r="A971" s="22"/>
      <c r="G971" s="22"/>
      <c r="K971" s="9"/>
      <c r="M971" s="22"/>
    </row>
    <row r="972">
      <c r="A972" s="22"/>
      <c r="G972" s="22"/>
      <c r="K972" s="9"/>
      <c r="M972" s="22"/>
    </row>
    <row r="973">
      <c r="A973" s="22"/>
      <c r="G973" s="22"/>
      <c r="K973" s="9"/>
      <c r="M973" s="22"/>
    </row>
    <row r="974">
      <c r="A974" s="22"/>
      <c r="G974" s="22"/>
      <c r="K974" s="9"/>
      <c r="M974" s="22"/>
    </row>
    <row r="975">
      <c r="A975" s="22"/>
      <c r="G975" s="22"/>
      <c r="K975" s="9"/>
      <c r="M975" s="22"/>
    </row>
    <row r="976">
      <c r="A976" s="22"/>
      <c r="G976" s="22"/>
      <c r="K976" s="9"/>
      <c r="M976" s="22"/>
    </row>
    <row r="977">
      <c r="A977" s="22"/>
      <c r="G977" s="22"/>
      <c r="K977" s="9"/>
      <c r="M977" s="22"/>
    </row>
    <row r="978">
      <c r="A978" s="22"/>
      <c r="G978" s="22"/>
      <c r="K978" s="9"/>
      <c r="M978" s="22"/>
    </row>
    <row r="979">
      <c r="A979" s="22"/>
      <c r="G979" s="22"/>
      <c r="K979" s="9"/>
      <c r="M979" s="22"/>
    </row>
    <row r="980">
      <c r="A980" s="22"/>
      <c r="G980" s="22"/>
      <c r="K980" s="9"/>
      <c r="M980" s="22"/>
    </row>
    <row r="981">
      <c r="A981" s="22"/>
      <c r="G981" s="22"/>
      <c r="K981" s="9"/>
      <c r="M981" s="22"/>
    </row>
    <row r="982">
      <c r="A982" s="22"/>
      <c r="G982" s="22"/>
      <c r="K982" s="9"/>
      <c r="M982" s="22"/>
    </row>
    <row r="983">
      <c r="A983" s="22"/>
      <c r="G983" s="22"/>
      <c r="K983" s="9"/>
      <c r="M983" s="22"/>
    </row>
    <row r="984">
      <c r="A984" s="22"/>
      <c r="G984" s="22"/>
      <c r="K984" s="9"/>
      <c r="M984" s="22"/>
    </row>
    <row r="985">
      <c r="A985" s="22"/>
      <c r="G985" s="22"/>
      <c r="K985" s="9"/>
      <c r="M985" s="22"/>
    </row>
    <row r="986">
      <c r="A986" s="22"/>
      <c r="G986" s="22"/>
      <c r="K986" s="9"/>
      <c r="M986" s="22"/>
    </row>
    <row r="987">
      <c r="A987" s="22"/>
      <c r="G987" s="22"/>
      <c r="K987" s="9"/>
      <c r="M987" s="22"/>
    </row>
    <row r="988">
      <c r="A988" s="22"/>
      <c r="G988" s="22"/>
      <c r="K988" s="9"/>
      <c r="M988" s="22"/>
    </row>
    <row r="989">
      <c r="A989" s="22"/>
      <c r="G989" s="22"/>
      <c r="K989" s="9"/>
      <c r="M989" s="22"/>
    </row>
    <row r="990">
      <c r="A990" s="22"/>
      <c r="G990" s="22"/>
      <c r="K990" s="9"/>
      <c r="M990" s="22"/>
    </row>
    <row r="991">
      <c r="A991" s="22"/>
      <c r="G991" s="22"/>
      <c r="K991" s="9"/>
      <c r="M991" s="22"/>
    </row>
    <row r="992">
      <c r="A992" s="22"/>
      <c r="G992" s="22"/>
      <c r="K992" s="9"/>
      <c r="M992" s="22"/>
    </row>
    <row r="993">
      <c r="A993" s="22"/>
      <c r="G993" s="22"/>
      <c r="K993" s="9"/>
      <c r="M993" s="22"/>
    </row>
    <row r="994">
      <c r="A994" s="22"/>
      <c r="G994" s="22"/>
      <c r="K994" s="9"/>
      <c r="M994" s="22"/>
    </row>
    <row r="995">
      <c r="A995" s="22"/>
      <c r="G995" s="22"/>
      <c r="K995" s="9"/>
      <c r="M995" s="22"/>
    </row>
    <row r="996">
      <c r="A996" s="22"/>
      <c r="G996" s="22"/>
      <c r="K996" s="9"/>
      <c r="M996" s="22"/>
    </row>
    <row r="997">
      <c r="A997" s="22"/>
      <c r="G997" s="22"/>
      <c r="K997" s="9"/>
      <c r="M997" s="22"/>
    </row>
    <row r="998">
      <c r="A998" s="22"/>
      <c r="G998" s="22"/>
      <c r="K998" s="9"/>
      <c r="M998" s="22"/>
    </row>
    <row r="999">
      <c r="A999" s="22"/>
      <c r="G999" s="22"/>
      <c r="K999" s="9"/>
      <c r="M999" s="22"/>
    </row>
    <row r="1000">
      <c r="A1000" s="22"/>
      <c r="G1000" s="22"/>
      <c r="K1000" s="9"/>
      <c r="M1000" s="22"/>
    </row>
    <row r="1001">
      <c r="A1001" s="22"/>
      <c r="G1001" s="22"/>
      <c r="K1001" s="9"/>
      <c r="M1001" s="22"/>
    </row>
    <row r="1002">
      <c r="A1002" s="22"/>
      <c r="G1002" s="22"/>
      <c r="K1002" s="9"/>
      <c r="M1002" s="22"/>
    </row>
    <row r="1003">
      <c r="A1003" s="22"/>
      <c r="G1003" s="22"/>
      <c r="K1003" s="9"/>
      <c r="M1003" s="22"/>
    </row>
    <row r="1004">
      <c r="A1004" s="22"/>
      <c r="G1004" s="22"/>
      <c r="K1004" s="9"/>
      <c r="M1004" s="22"/>
    </row>
    <row r="1005">
      <c r="A1005" s="22"/>
      <c r="G1005" s="22"/>
      <c r="K1005" s="9"/>
      <c r="M1005" s="22"/>
    </row>
    <row r="1006">
      <c r="A1006" s="22"/>
      <c r="G1006" s="22"/>
      <c r="K1006" s="9"/>
      <c r="M1006" s="22"/>
    </row>
    <row r="1007">
      <c r="A1007" s="22"/>
      <c r="G1007" s="22"/>
      <c r="K1007" s="9"/>
      <c r="M1007" s="22"/>
    </row>
    <row r="1008">
      <c r="A1008" s="22"/>
      <c r="G1008" s="22"/>
      <c r="K1008" s="9"/>
      <c r="M1008" s="22"/>
    </row>
    <row r="1009">
      <c r="A1009" s="22"/>
      <c r="G1009" s="22"/>
      <c r="K1009" s="9"/>
      <c r="M1009" s="22"/>
    </row>
    <row r="1010">
      <c r="A1010" s="22"/>
      <c r="G1010" s="22"/>
      <c r="K1010" s="9"/>
      <c r="M1010" s="22"/>
    </row>
    <row r="1011">
      <c r="A1011" s="22"/>
      <c r="G1011" s="22"/>
      <c r="K1011" s="9"/>
      <c r="M1011" s="22"/>
    </row>
    <row r="1012">
      <c r="A1012" s="22"/>
      <c r="G1012" s="22"/>
      <c r="K1012" s="9"/>
      <c r="M1012" s="22"/>
    </row>
    <row r="1013">
      <c r="A1013" s="22"/>
      <c r="G1013" s="22"/>
      <c r="K1013" s="9"/>
      <c r="M1013" s="22"/>
    </row>
    <row r="1014">
      <c r="A1014" s="22"/>
      <c r="G1014" s="22"/>
      <c r="K1014" s="9"/>
      <c r="M1014" s="22"/>
    </row>
  </sheetData>
  <hyperlinks>
    <hyperlink r:id="rId1" ref="D2"/>
    <hyperlink r:id="rId2" ref="F2"/>
    <hyperlink r:id="rId3" ref="L2"/>
    <hyperlink r:id="rId4" ref="O2"/>
    <hyperlink r:id="rId5" ref="D3"/>
    <hyperlink r:id="rId6" ref="F3"/>
    <hyperlink r:id="rId7" ref="L3"/>
    <hyperlink r:id="rId8" ref="O3"/>
    <hyperlink r:id="rId9" ref="D4"/>
    <hyperlink r:id="rId10" ref="F4"/>
    <hyperlink r:id="rId11" ref="L4"/>
    <hyperlink r:id="rId12" ref="O4"/>
    <hyperlink r:id="rId13" ref="D5"/>
    <hyperlink r:id="rId14" ref="F5"/>
    <hyperlink r:id="rId15" ref="L5"/>
    <hyperlink r:id="rId16" ref="O5"/>
    <hyperlink r:id="rId17" ref="D6"/>
    <hyperlink r:id="rId18" ref="F6"/>
    <hyperlink r:id="rId19" ref="L6"/>
    <hyperlink r:id="rId20" ref="O6"/>
    <hyperlink r:id="rId21" ref="D7"/>
    <hyperlink r:id="rId22" ref="F7"/>
    <hyperlink r:id="rId23" ref="L7"/>
    <hyperlink r:id="rId24" ref="O7"/>
    <hyperlink r:id="rId25" ref="D8"/>
    <hyperlink r:id="rId26" ref="F8"/>
    <hyperlink r:id="rId27" ref="L8"/>
    <hyperlink r:id="rId28" ref="O8"/>
    <hyperlink r:id="rId29" ref="D9"/>
    <hyperlink r:id="rId30" ref="F9"/>
    <hyperlink r:id="rId31" ref="L9"/>
    <hyperlink r:id="rId32" ref="O9"/>
    <hyperlink r:id="rId33" ref="D10"/>
    <hyperlink r:id="rId34" ref="F10"/>
    <hyperlink r:id="rId35" ref="L10"/>
    <hyperlink r:id="rId36" ref="O10"/>
    <hyperlink r:id="rId37" ref="D11"/>
    <hyperlink r:id="rId38" ref="F11"/>
    <hyperlink r:id="rId39" ref="L11"/>
    <hyperlink r:id="rId40" ref="O11"/>
    <hyperlink r:id="rId41" ref="D12"/>
    <hyperlink r:id="rId42" ref="F12"/>
    <hyperlink r:id="rId43" ref="L12"/>
    <hyperlink r:id="rId44" ref="O12"/>
    <hyperlink r:id="rId45" ref="D13"/>
    <hyperlink r:id="rId46" ref="F13"/>
    <hyperlink r:id="rId47" ref="L13"/>
    <hyperlink r:id="rId48" ref="O13"/>
    <hyperlink r:id="rId49" ref="D14"/>
    <hyperlink r:id="rId50" ref="F14"/>
    <hyperlink r:id="rId51" ref="L14"/>
    <hyperlink r:id="rId52" ref="O14"/>
    <hyperlink r:id="rId53" ref="D15"/>
    <hyperlink r:id="rId54" ref="F15"/>
    <hyperlink r:id="rId55" ref="L15"/>
    <hyperlink r:id="rId56" ref="O15"/>
    <hyperlink r:id="rId57" ref="D16"/>
    <hyperlink r:id="rId58" ref="F16"/>
    <hyperlink r:id="rId59" ref="L16"/>
    <hyperlink r:id="rId60" ref="O16"/>
    <hyperlink r:id="rId61" ref="D17"/>
    <hyperlink r:id="rId62" ref="F17"/>
    <hyperlink r:id="rId63" ref="L17"/>
    <hyperlink r:id="rId64" ref="O17"/>
    <hyperlink r:id="rId65" ref="D18"/>
    <hyperlink r:id="rId66" ref="F18"/>
    <hyperlink r:id="rId67" ref="L18"/>
    <hyperlink r:id="rId68" ref="O18"/>
    <hyperlink r:id="rId69" ref="D19"/>
    <hyperlink r:id="rId70" ref="F19"/>
    <hyperlink r:id="rId71" ref="L19"/>
    <hyperlink r:id="rId72" ref="O19"/>
    <hyperlink r:id="rId73" ref="D20"/>
    <hyperlink r:id="rId74" ref="F20"/>
    <hyperlink r:id="rId75" ref="L20"/>
    <hyperlink r:id="rId76" ref="O20"/>
    <hyperlink r:id="rId77" ref="D21"/>
    <hyperlink r:id="rId78" ref="F21"/>
    <hyperlink r:id="rId79" ref="L21"/>
    <hyperlink r:id="rId80" ref="O21"/>
    <hyperlink r:id="rId81" ref="D22"/>
    <hyperlink r:id="rId82" ref="F22"/>
    <hyperlink r:id="rId83" ref="L22"/>
    <hyperlink r:id="rId84" ref="O22"/>
    <hyperlink r:id="rId85" ref="D23"/>
    <hyperlink r:id="rId86" ref="F23"/>
    <hyperlink r:id="rId87" ref="L23"/>
    <hyperlink r:id="rId88" ref="O23"/>
    <hyperlink r:id="rId89" ref="D24"/>
    <hyperlink r:id="rId90" ref="F24"/>
    <hyperlink r:id="rId91" ref="L24"/>
    <hyperlink r:id="rId92" ref="O24"/>
    <hyperlink r:id="rId93" ref="D25"/>
    <hyperlink r:id="rId94" ref="F25"/>
    <hyperlink r:id="rId95" ref="L25"/>
    <hyperlink r:id="rId96" ref="O25"/>
    <hyperlink r:id="rId97" ref="D26"/>
    <hyperlink r:id="rId98" ref="F26"/>
    <hyperlink r:id="rId99" ref="L26"/>
    <hyperlink r:id="rId100" ref="O26"/>
    <hyperlink r:id="rId101" ref="D27"/>
    <hyperlink r:id="rId102" ref="F27"/>
    <hyperlink r:id="rId103" ref="L27"/>
    <hyperlink r:id="rId104" ref="O27"/>
    <hyperlink r:id="rId105" ref="D28"/>
    <hyperlink r:id="rId106" ref="F28"/>
    <hyperlink r:id="rId107" ref="L28"/>
    <hyperlink r:id="rId108" ref="O28"/>
    <hyperlink r:id="rId109" ref="D29"/>
    <hyperlink r:id="rId110" ref="F29"/>
    <hyperlink r:id="rId111" ref="L29"/>
    <hyperlink r:id="rId112" ref="O29"/>
    <hyperlink r:id="rId113" ref="D30"/>
    <hyperlink r:id="rId114" ref="F30"/>
    <hyperlink r:id="rId115" ref="L30"/>
    <hyperlink r:id="rId116" ref="O30"/>
    <hyperlink r:id="rId117" ref="D31"/>
    <hyperlink r:id="rId118" ref="F31"/>
    <hyperlink r:id="rId119" ref="L31"/>
    <hyperlink r:id="rId120" ref="O31"/>
    <hyperlink r:id="rId121" ref="D32"/>
    <hyperlink r:id="rId122" ref="F32"/>
    <hyperlink r:id="rId123" ref="L32"/>
    <hyperlink r:id="rId124" ref="O32"/>
    <hyperlink r:id="rId125" ref="D33"/>
    <hyperlink r:id="rId126" ref="F33"/>
    <hyperlink r:id="rId127" ref="L33"/>
    <hyperlink r:id="rId128" ref="O33"/>
    <hyperlink r:id="rId129" ref="D34"/>
    <hyperlink r:id="rId130" ref="F34"/>
    <hyperlink r:id="rId131" ref="L34"/>
    <hyperlink r:id="rId132" ref="O34"/>
    <hyperlink r:id="rId133" ref="D35"/>
    <hyperlink r:id="rId134" ref="F35"/>
    <hyperlink r:id="rId135" ref="L35"/>
    <hyperlink r:id="rId136" ref="O35"/>
    <hyperlink r:id="rId137" ref="D36"/>
    <hyperlink r:id="rId138" ref="F36"/>
    <hyperlink r:id="rId139" ref="L36"/>
    <hyperlink r:id="rId140" ref="O36"/>
    <hyperlink r:id="rId141" ref="D37"/>
    <hyperlink r:id="rId142" ref="F37"/>
    <hyperlink r:id="rId143" ref="L37"/>
    <hyperlink r:id="rId144" ref="O37"/>
    <hyperlink r:id="rId145" ref="D38"/>
    <hyperlink r:id="rId146" ref="F38"/>
    <hyperlink r:id="rId147" ref="L38"/>
    <hyperlink r:id="rId148" ref="O38"/>
    <hyperlink r:id="rId149" ref="D39"/>
    <hyperlink r:id="rId150" ref="F39"/>
    <hyperlink r:id="rId151" ref="L39"/>
    <hyperlink r:id="rId152" ref="O39"/>
    <hyperlink r:id="rId153" ref="D40"/>
    <hyperlink r:id="rId154" ref="F40"/>
    <hyperlink r:id="rId155" ref="L40"/>
    <hyperlink r:id="rId156" ref="O40"/>
    <hyperlink r:id="rId157" ref="D41"/>
    <hyperlink r:id="rId158" ref="F41"/>
    <hyperlink r:id="rId159" ref="L41"/>
    <hyperlink r:id="rId160" ref="O41"/>
    <hyperlink r:id="rId161" ref="D42"/>
    <hyperlink r:id="rId162" ref="F42"/>
    <hyperlink r:id="rId163" ref="L42"/>
    <hyperlink r:id="rId164" ref="O42"/>
    <hyperlink r:id="rId165" ref="D43"/>
    <hyperlink r:id="rId166" ref="F43"/>
    <hyperlink r:id="rId167" ref="L43"/>
    <hyperlink r:id="rId168" ref="O43"/>
    <hyperlink r:id="rId169" ref="D44"/>
    <hyperlink r:id="rId170" ref="F44"/>
    <hyperlink r:id="rId171" ref="L44"/>
    <hyperlink r:id="rId172" ref="O44"/>
    <hyperlink r:id="rId173" ref="D45"/>
    <hyperlink r:id="rId174" ref="F45"/>
    <hyperlink r:id="rId175" ref="L45"/>
    <hyperlink r:id="rId176" ref="O45"/>
    <hyperlink r:id="rId177" ref="D46"/>
    <hyperlink r:id="rId178" ref="F46"/>
    <hyperlink r:id="rId179" ref="L46"/>
    <hyperlink r:id="rId180" ref="O46"/>
    <hyperlink r:id="rId181" ref="D47"/>
    <hyperlink r:id="rId182" ref="F47"/>
    <hyperlink r:id="rId183" ref="L47"/>
    <hyperlink r:id="rId184" ref="O47"/>
    <hyperlink r:id="rId185" ref="D48"/>
    <hyperlink r:id="rId186" ref="F48"/>
    <hyperlink r:id="rId187" ref="L48"/>
    <hyperlink r:id="rId188" ref="O48"/>
    <hyperlink r:id="rId189" ref="D49"/>
    <hyperlink r:id="rId190" ref="F49"/>
    <hyperlink r:id="rId191" ref="L49"/>
    <hyperlink r:id="rId192" ref="O49"/>
    <hyperlink r:id="rId193" ref="D50"/>
    <hyperlink r:id="rId194" ref="F50"/>
    <hyperlink r:id="rId195" ref="L50"/>
    <hyperlink r:id="rId196" ref="O50"/>
    <hyperlink r:id="rId197" ref="D51"/>
    <hyperlink r:id="rId198" ref="F51"/>
    <hyperlink r:id="rId199" ref="L51"/>
    <hyperlink r:id="rId200" ref="O51"/>
    <hyperlink r:id="rId201" ref="D52"/>
    <hyperlink r:id="rId202" ref="F52"/>
    <hyperlink r:id="rId203" ref="L52"/>
    <hyperlink r:id="rId204" ref="O52"/>
    <hyperlink r:id="rId205" ref="D53"/>
    <hyperlink r:id="rId206" ref="F53"/>
    <hyperlink r:id="rId207" ref="L53"/>
    <hyperlink r:id="rId208" ref="O53"/>
    <hyperlink r:id="rId209" ref="D54"/>
    <hyperlink r:id="rId210" ref="F54"/>
    <hyperlink r:id="rId211" ref="L54"/>
    <hyperlink r:id="rId212" ref="O54"/>
    <hyperlink r:id="rId213" ref="D55"/>
    <hyperlink r:id="rId214" ref="F55"/>
    <hyperlink r:id="rId215" ref="L55"/>
    <hyperlink r:id="rId216" ref="O55"/>
    <hyperlink r:id="rId217" ref="D56"/>
    <hyperlink r:id="rId218" ref="F56"/>
    <hyperlink r:id="rId219" ref="L56"/>
    <hyperlink r:id="rId220" ref="O56"/>
    <hyperlink r:id="rId221" ref="D57"/>
    <hyperlink r:id="rId222" ref="F57"/>
    <hyperlink r:id="rId223" ref="L57"/>
    <hyperlink r:id="rId224" ref="O57"/>
    <hyperlink r:id="rId225" ref="D58"/>
    <hyperlink r:id="rId226" ref="F58"/>
    <hyperlink r:id="rId227" ref="L58"/>
    <hyperlink r:id="rId228" ref="O58"/>
    <hyperlink r:id="rId229" ref="D59"/>
    <hyperlink r:id="rId230" ref="F59"/>
    <hyperlink r:id="rId231" ref="L59"/>
    <hyperlink r:id="rId232" ref="O59"/>
    <hyperlink r:id="rId233" ref="D60"/>
    <hyperlink r:id="rId234" ref="F60"/>
    <hyperlink r:id="rId235" ref="L60"/>
    <hyperlink r:id="rId236" ref="O60"/>
    <hyperlink r:id="rId237" ref="D61"/>
    <hyperlink r:id="rId238" ref="F61"/>
    <hyperlink r:id="rId239" ref="L61"/>
    <hyperlink r:id="rId240" ref="O61"/>
    <hyperlink r:id="rId241" ref="D62"/>
    <hyperlink r:id="rId242" ref="F62"/>
    <hyperlink r:id="rId243" ref="L62"/>
    <hyperlink r:id="rId244" ref="O62"/>
    <hyperlink r:id="rId245" ref="D63"/>
    <hyperlink r:id="rId246" ref="F63"/>
    <hyperlink r:id="rId247" ref="L63"/>
    <hyperlink r:id="rId248" ref="O63"/>
    <hyperlink r:id="rId249" ref="D64"/>
    <hyperlink r:id="rId250" ref="F64"/>
    <hyperlink r:id="rId251" ref="L64"/>
    <hyperlink r:id="rId252" ref="O64"/>
    <hyperlink r:id="rId253" ref="D65"/>
    <hyperlink r:id="rId254" ref="F65"/>
    <hyperlink r:id="rId255" ref="L65"/>
    <hyperlink r:id="rId256" ref="O65"/>
    <hyperlink r:id="rId257" ref="D66"/>
    <hyperlink r:id="rId258" ref="F66"/>
    <hyperlink r:id="rId259" ref="L66"/>
    <hyperlink r:id="rId260" ref="O66"/>
    <hyperlink r:id="rId261" ref="D67"/>
    <hyperlink r:id="rId262" ref="F67"/>
    <hyperlink r:id="rId263" ref="L67"/>
    <hyperlink r:id="rId264" ref="O67"/>
    <hyperlink r:id="rId265" ref="D68"/>
    <hyperlink r:id="rId266" ref="F68"/>
    <hyperlink r:id="rId267" ref="L68"/>
    <hyperlink r:id="rId268" ref="O68"/>
    <hyperlink r:id="rId269" ref="D69"/>
    <hyperlink r:id="rId270" ref="F69"/>
    <hyperlink r:id="rId271" ref="L69"/>
    <hyperlink r:id="rId272" ref="O69"/>
    <hyperlink r:id="rId273" ref="D70"/>
    <hyperlink r:id="rId274" ref="F70"/>
    <hyperlink r:id="rId275" ref="L70"/>
    <hyperlink r:id="rId276" ref="O70"/>
    <hyperlink r:id="rId277" ref="D71"/>
    <hyperlink r:id="rId278" ref="F71"/>
    <hyperlink r:id="rId279" ref="L71"/>
    <hyperlink r:id="rId280" ref="O71"/>
    <hyperlink r:id="rId281" ref="D72"/>
    <hyperlink r:id="rId282" ref="F72"/>
    <hyperlink r:id="rId283" ref="L72"/>
    <hyperlink r:id="rId284" ref="O72"/>
    <hyperlink r:id="rId285" ref="D73"/>
    <hyperlink r:id="rId286" ref="F73"/>
    <hyperlink r:id="rId287" ref="L73"/>
    <hyperlink r:id="rId288" ref="O73"/>
    <hyperlink r:id="rId289" ref="D74"/>
    <hyperlink r:id="rId290" ref="F74"/>
    <hyperlink r:id="rId291" ref="L74"/>
    <hyperlink r:id="rId292" ref="O74"/>
    <hyperlink r:id="rId293" ref="D75"/>
    <hyperlink r:id="rId294" ref="F75"/>
    <hyperlink r:id="rId295" ref="L75"/>
    <hyperlink r:id="rId296" ref="O75"/>
    <hyperlink r:id="rId297" ref="D76"/>
    <hyperlink r:id="rId298" ref="F76"/>
    <hyperlink r:id="rId299" ref="L76"/>
    <hyperlink r:id="rId300" ref="O76"/>
    <hyperlink r:id="rId301" ref="D77"/>
    <hyperlink r:id="rId302" ref="F77"/>
    <hyperlink r:id="rId303" ref="L77"/>
    <hyperlink r:id="rId304" ref="O77"/>
    <hyperlink r:id="rId305" ref="D78"/>
    <hyperlink r:id="rId306" ref="F78"/>
    <hyperlink r:id="rId307" ref="L78"/>
    <hyperlink r:id="rId308" ref="O78"/>
    <hyperlink r:id="rId309" ref="D79"/>
    <hyperlink r:id="rId310" ref="F79"/>
    <hyperlink r:id="rId311" ref="L79"/>
    <hyperlink r:id="rId312" ref="O79"/>
    <hyperlink r:id="rId313" ref="D80"/>
    <hyperlink r:id="rId314" ref="F80"/>
    <hyperlink r:id="rId315" ref="L80"/>
    <hyperlink r:id="rId316" ref="O80"/>
    <hyperlink r:id="rId317" ref="D81"/>
    <hyperlink r:id="rId318" ref="F81"/>
    <hyperlink r:id="rId319" ref="L81"/>
    <hyperlink r:id="rId320" ref="O81"/>
    <hyperlink r:id="rId321" ref="D82"/>
    <hyperlink r:id="rId322" ref="F82"/>
    <hyperlink r:id="rId323" ref="L82"/>
    <hyperlink r:id="rId324" ref="O82"/>
    <hyperlink r:id="rId325" ref="D83"/>
    <hyperlink r:id="rId326" ref="F83"/>
    <hyperlink r:id="rId327" ref="L83"/>
    <hyperlink r:id="rId328" ref="O83"/>
    <hyperlink r:id="rId329" ref="D84"/>
    <hyperlink r:id="rId330" ref="F84"/>
    <hyperlink r:id="rId331" ref="L84"/>
    <hyperlink r:id="rId332" ref="O84"/>
    <hyperlink r:id="rId333" ref="D85"/>
    <hyperlink r:id="rId334" ref="F85"/>
    <hyperlink r:id="rId335" ref="L85"/>
    <hyperlink r:id="rId336" ref="O85"/>
    <hyperlink r:id="rId337" ref="D86"/>
    <hyperlink r:id="rId338" ref="F86"/>
    <hyperlink r:id="rId339" ref="L86"/>
    <hyperlink r:id="rId340" ref="O86"/>
    <hyperlink r:id="rId341" ref="D87"/>
    <hyperlink r:id="rId342" ref="F87"/>
    <hyperlink r:id="rId343" ref="L87"/>
    <hyperlink r:id="rId344" ref="O87"/>
    <hyperlink r:id="rId345" ref="D88"/>
    <hyperlink r:id="rId346" ref="F88"/>
    <hyperlink r:id="rId347" ref="L88"/>
    <hyperlink r:id="rId348" ref="O88"/>
    <hyperlink r:id="rId349" ref="D89"/>
    <hyperlink r:id="rId350" ref="F89"/>
    <hyperlink r:id="rId351" ref="L89"/>
    <hyperlink r:id="rId352" ref="O89"/>
    <hyperlink r:id="rId353" ref="D90"/>
    <hyperlink r:id="rId354" ref="F90"/>
    <hyperlink r:id="rId355" ref="L90"/>
    <hyperlink r:id="rId356" ref="O90"/>
    <hyperlink r:id="rId357" ref="D91"/>
    <hyperlink r:id="rId358" ref="F91"/>
    <hyperlink r:id="rId359" ref="L91"/>
    <hyperlink r:id="rId360" ref="O91"/>
    <hyperlink r:id="rId361" ref="D92"/>
    <hyperlink r:id="rId362" ref="F92"/>
    <hyperlink r:id="rId363" ref="L92"/>
    <hyperlink r:id="rId364" ref="O92"/>
    <hyperlink r:id="rId365" ref="D93"/>
    <hyperlink r:id="rId366" ref="F93"/>
    <hyperlink r:id="rId367" ref="L93"/>
    <hyperlink r:id="rId368" ref="O93"/>
    <hyperlink r:id="rId369" ref="D94"/>
    <hyperlink r:id="rId370" ref="F94"/>
    <hyperlink r:id="rId371" ref="L94"/>
    <hyperlink r:id="rId372" ref="O94"/>
    <hyperlink r:id="rId373" ref="D95"/>
    <hyperlink r:id="rId374" ref="F95"/>
    <hyperlink r:id="rId375" ref="L95"/>
    <hyperlink r:id="rId376" ref="O95"/>
    <hyperlink r:id="rId377" ref="D96"/>
    <hyperlink r:id="rId378" ref="F96"/>
    <hyperlink r:id="rId379" ref="L96"/>
    <hyperlink r:id="rId380" ref="O96"/>
    <hyperlink r:id="rId381" ref="D97"/>
    <hyperlink r:id="rId382" ref="F97"/>
    <hyperlink r:id="rId383" ref="L97"/>
    <hyperlink r:id="rId384" ref="O97"/>
    <hyperlink r:id="rId385" ref="D98"/>
    <hyperlink r:id="rId386" ref="F98"/>
    <hyperlink r:id="rId387" ref="L98"/>
    <hyperlink r:id="rId388" ref="O98"/>
    <hyperlink r:id="rId389" ref="D99"/>
    <hyperlink r:id="rId390" ref="F99"/>
    <hyperlink r:id="rId391" ref="L99"/>
    <hyperlink r:id="rId392" ref="O99"/>
    <hyperlink r:id="rId393" ref="D100"/>
    <hyperlink r:id="rId394" ref="F100"/>
    <hyperlink r:id="rId395" ref="L100"/>
    <hyperlink r:id="rId396" ref="O100"/>
    <hyperlink r:id="rId397" ref="D101"/>
    <hyperlink r:id="rId398" ref="F101"/>
    <hyperlink r:id="rId399" ref="L101"/>
    <hyperlink r:id="rId400" ref="O101"/>
    <hyperlink r:id="rId401" ref="D102"/>
    <hyperlink r:id="rId402" ref="F102"/>
    <hyperlink r:id="rId403" ref="L102"/>
    <hyperlink r:id="rId404" ref="O102"/>
    <hyperlink r:id="rId405" ref="D103"/>
    <hyperlink r:id="rId406" ref="F103"/>
    <hyperlink r:id="rId407" ref="L103"/>
    <hyperlink r:id="rId408" ref="O103"/>
    <hyperlink r:id="rId409" ref="D104"/>
    <hyperlink r:id="rId410" ref="F104"/>
    <hyperlink r:id="rId411" ref="L104"/>
    <hyperlink r:id="rId412" ref="O104"/>
    <hyperlink r:id="rId413" ref="D105"/>
    <hyperlink r:id="rId414" ref="F105"/>
    <hyperlink r:id="rId415" ref="L105"/>
    <hyperlink r:id="rId416" ref="O105"/>
    <hyperlink r:id="rId417" ref="D106"/>
    <hyperlink r:id="rId418" ref="F106"/>
    <hyperlink r:id="rId419" ref="L106"/>
    <hyperlink r:id="rId420" ref="O106"/>
    <hyperlink r:id="rId421" ref="D107"/>
    <hyperlink r:id="rId422" ref="F107"/>
    <hyperlink r:id="rId423" ref="L107"/>
    <hyperlink r:id="rId424" ref="O107"/>
    <hyperlink r:id="rId425" ref="D108"/>
    <hyperlink r:id="rId426" ref="F108"/>
    <hyperlink r:id="rId427" ref="L108"/>
    <hyperlink r:id="rId428" ref="O108"/>
    <hyperlink r:id="rId429" ref="D109"/>
    <hyperlink r:id="rId430" ref="F109"/>
    <hyperlink r:id="rId431" ref="L109"/>
    <hyperlink r:id="rId432" ref="O109"/>
    <hyperlink r:id="rId433" ref="D110"/>
    <hyperlink r:id="rId434" ref="F110"/>
    <hyperlink r:id="rId435" ref="L110"/>
    <hyperlink r:id="rId436" ref="O110"/>
    <hyperlink r:id="rId437" ref="D111"/>
    <hyperlink r:id="rId438" ref="F111"/>
    <hyperlink r:id="rId439" ref="L111"/>
    <hyperlink r:id="rId440" ref="O111"/>
    <hyperlink r:id="rId441" ref="D112"/>
    <hyperlink r:id="rId442" ref="F112"/>
    <hyperlink r:id="rId443" ref="L112"/>
    <hyperlink r:id="rId444" ref="O112"/>
    <hyperlink r:id="rId445" ref="D113"/>
    <hyperlink r:id="rId446" ref="F113"/>
    <hyperlink r:id="rId447" ref="L113"/>
    <hyperlink r:id="rId448" ref="O113"/>
    <hyperlink r:id="rId449" ref="D114"/>
    <hyperlink r:id="rId450" ref="F114"/>
    <hyperlink r:id="rId451" ref="L114"/>
    <hyperlink r:id="rId452" ref="O114"/>
    <hyperlink r:id="rId453" ref="D115"/>
    <hyperlink r:id="rId454" ref="F115"/>
    <hyperlink r:id="rId455" ref="L115"/>
    <hyperlink r:id="rId456" ref="O115"/>
    <hyperlink r:id="rId457" ref="D116"/>
    <hyperlink r:id="rId458" ref="F116"/>
    <hyperlink r:id="rId459" ref="L116"/>
    <hyperlink r:id="rId460" ref="O116"/>
    <hyperlink r:id="rId461" ref="D117"/>
    <hyperlink r:id="rId462" ref="F117"/>
    <hyperlink r:id="rId463" ref="L117"/>
    <hyperlink r:id="rId464" ref="O117"/>
    <hyperlink r:id="rId465" ref="D118"/>
    <hyperlink r:id="rId466" ref="F118"/>
    <hyperlink r:id="rId467" ref="L118"/>
    <hyperlink r:id="rId468" ref="O118"/>
    <hyperlink r:id="rId469" ref="D119"/>
    <hyperlink r:id="rId470" ref="F119"/>
    <hyperlink r:id="rId471" ref="L119"/>
    <hyperlink r:id="rId472" ref="O119"/>
    <hyperlink r:id="rId473" ref="D120"/>
    <hyperlink r:id="rId474" ref="F120"/>
    <hyperlink r:id="rId475" ref="L120"/>
    <hyperlink r:id="rId476" ref="O120"/>
    <hyperlink r:id="rId477" ref="D121"/>
    <hyperlink r:id="rId478" ref="F121"/>
    <hyperlink r:id="rId479" ref="L121"/>
    <hyperlink r:id="rId480" ref="O121"/>
    <hyperlink r:id="rId481" ref="D122"/>
    <hyperlink r:id="rId482" ref="F122"/>
    <hyperlink r:id="rId483" ref="L122"/>
    <hyperlink r:id="rId484" ref="O122"/>
    <hyperlink r:id="rId485" ref="D123"/>
    <hyperlink r:id="rId486" ref="F123"/>
    <hyperlink r:id="rId487" ref="L123"/>
    <hyperlink r:id="rId488" ref="O123"/>
    <hyperlink r:id="rId489" ref="D124"/>
    <hyperlink r:id="rId490" ref="F124"/>
    <hyperlink r:id="rId491" ref="L124"/>
    <hyperlink r:id="rId492" ref="O124"/>
    <hyperlink r:id="rId493" ref="D125"/>
    <hyperlink r:id="rId494" ref="F125"/>
    <hyperlink r:id="rId495" ref="L125"/>
    <hyperlink r:id="rId496" ref="O125"/>
    <hyperlink r:id="rId497" ref="D126"/>
    <hyperlink r:id="rId498" ref="F126"/>
    <hyperlink r:id="rId499" ref="L126"/>
    <hyperlink r:id="rId500" ref="O126"/>
    <hyperlink r:id="rId501" ref="D127"/>
    <hyperlink r:id="rId502" ref="F127"/>
    <hyperlink r:id="rId503" ref="L127"/>
    <hyperlink r:id="rId504" ref="O127"/>
    <hyperlink r:id="rId505" ref="D128"/>
    <hyperlink r:id="rId506" ref="F128"/>
    <hyperlink r:id="rId507" ref="L128"/>
    <hyperlink r:id="rId508" ref="O128"/>
    <hyperlink r:id="rId509" ref="D129"/>
    <hyperlink r:id="rId510" ref="F129"/>
    <hyperlink r:id="rId511" ref="L129"/>
    <hyperlink r:id="rId512" ref="O129"/>
    <hyperlink r:id="rId513" ref="D130"/>
    <hyperlink r:id="rId514" ref="F130"/>
    <hyperlink r:id="rId515" ref="L130"/>
    <hyperlink r:id="rId516" ref="O130"/>
    <hyperlink r:id="rId517" ref="D131"/>
    <hyperlink r:id="rId518" ref="F131"/>
    <hyperlink r:id="rId519" ref="L131"/>
    <hyperlink r:id="rId520" ref="O131"/>
    <hyperlink r:id="rId521" ref="D132"/>
    <hyperlink r:id="rId522" ref="F132"/>
    <hyperlink r:id="rId523" ref="L132"/>
    <hyperlink r:id="rId524" ref="O132"/>
    <hyperlink r:id="rId525" ref="D133"/>
    <hyperlink r:id="rId526" ref="F133"/>
    <hyperlink r:id="rId527" ref="L133"/>
    <hyperlink r:id="rId528" ref="O133"/>
    <hyperlink r:id="rId529" ref="D134"/>
    <hyperlink r:id="rId530" ref="F134"/>
    <hyperlink r:id="rId531" ref="L134"/>
    <hyperlink r:id="rId532" ref="O134"/>
    <hyperlink r:id="rId533" ref="D135"/>
    <hyperlink r:id="rId534" ref="F135"/>
    <hyperlink r:id="rId535" ref="L135"/>
    <hyperlink r:id="rId536" ref="O135"/>
    <hyperlink r:id="rId537" ref="D136"/>
    <hyperlink r:id="rId538" ref="F136"/>
    <hyperlink r:id="rId539" ref="L136"/>
    <hyperlink r:id="rId540" ref="O136"/>
    <hyperlink r:id="rId541" ref="D137"/>
    <hyperlink r:id="rId542" ref="F137"/>
    <hyperlink r:id="rId543" ref="L137"/>
    <hyperlink r:id="rId544" ref="O137"/>
    <hyperlink r:id="rId545" ref="D138"/>
    <hyperlink r:id="rId546" ref="F138"/>
    <hyperlink r:id="rId547" ref="L138"/>
    <hyperlink r:id="rId548" ref="O138"/>
    <hyperlink r:id="rId549" ref="D139"/>
    <hyperlink r:id="rId550" ref="F139"/>
    <hyperlink r:id="rId551" ref="L139"/>
    <hyperlink r:id="rId552" ref="O139"/>
    <hyperlink r:id="rId553" ref="D140"/>
    <hyperlink r:id="rId554" ref="F140"/>
    <hyperlink r:id="rId555" ref="L140"/>
    <hyperlink r:id="rId556" ref="O140"/>
    <hyperlink r:id="rId557" ref="D141"/>
    <hyperlink r:id="rId558" ref="F141"/>
    <hyperlink r:id="rId559" ref="L141"/>
    <hyperlink r:id="rId560" ref="O141"/>
    <hyperlink r:id="rId561" ref="D142"/>
    <hyperlink r:id="rId562" ref="F142"/>
    <hyperlink r:id="rId563" ref="L142"/>
    <hyperlink r:id="rId564" ref="O142"/>
    <hyperlink r:id="rId565" ref="D143"/>
    <hyperlink r:id="rId566" ref="F143"/>
    <hyperlink r:id="rId567" ref="L143"/>
    <hyperlink r:id="rId568" ref="O143"/>
    <hyperlink r:id="rId569" ref="D144"/>
    <hyperlink r:id="rId570" ref="F144"/>
    <hyperlink r:id="rId571" ref="L144"/>
    <hyperlink r:id="rId572" ref="O144"/>
    <hyperlink r:id="rId573" ref="D145"/>
    <hyperlink r:id="rId574" ref="F145"/>
    <hyperlink r:id="rId575" ref="L145"/>
    <hyperlink r:id="rId576" ref="O145"/>
    <hyperlink r:id="rId577" ref="D146"/>
    <hyperlink r:id="rId578" ref="F146"/>
    <hyperlink r:id="rId579" ref="L146"/>
    <hyperlink r:id="rId580" ref="O146"/>
    <hyperlink r:id="rId581" ref="D147"/>
    <hyperlink r:id="rId582" ref="F147"/>
    <hyperlink r:id="rId583" ref="L147"/>
    <hyperlink r:id="rId584" ref="O147"/>
    <hyperlink r:id="rId585" ref="D148"/>
    <hyperlink r:id="rId586" ref="F148"/>
    <hyperlink r:id="rId587" ref="L148"/>
    <hyperlink r:id="rId588" ref="O148"/>
    <hyperlink r:id="rId589" ref="D149"/>
    <hyperlink r:id="rId590" ref="F149"/>
    <hyperlink r:id="rId591" ref="L149"/>
    <hyperlink r:id="rId592" ref="O149"/>
    <hyperlink r:id="rId593" ref="D150"/>
    <hyperlink r:id="rId594" ref="F150"/>
    <hyperlink r:id="rId595" ref="L150"/>
    <hyperlink r:id="rId596" ref="O150"/>
    <hyperlink r:id="rId597" ref="D151"/>
    <hyperlink r:id="rId598" ref="F151"/>
    <hyperlink r:id="rId599" ref="L151"/>
    <hyperlink r:id="rId600" ref="O151"/>
    <hyperlink r:id="rId601" ref="D152"/>
    <hyperlink r:id="rId602" ref="F152"/>
    <hyperlink r:id="rId603" ref="L152"/>
    <hyperlink r:id="rId604" ref="O152"/>
    <hyperlink r:id="rId605" ref="D153"/>
    <hyperlink r:id="rId606" ref="F153"/>
    <hyperlink r:id="rId607" ref="L153"/>
    <hyperlink r:id="rId608" ref="O153"/>
    <hyperlink r:id="rId609" ref="D154"/>
    <hyperlink r:id="rId610" ref="F154"/>
    <hyperlink r:id="rId611" ref="L154"/>
    <hyperlink r:id="rId612" ref="O154"/>
    <hyperlink r:id="rId613" ref="D155"/>
    <hyperlink r:id="rId614" ref="F155"/>
    <hyperlink r:id="rId615" ref="L155"/>
    <hyperlink r:id="rId616" ref="O155"/>
    <hyperlink r:id="rId617" ref="D156"/>
    <hyperlink r:id="rId618" ref="F156"/>
    <hyperlink r:id="rId619" ref="L156"/>
    <hyperlink r:id="rId620" ref="O156"/>
    <hyperlink r:id="rId621" ref="D157"/>
    <hyperlink r:id="rId622" ref="F157"/>
    <hyperlink r:id="rId623" ref="L157"/>
    <hyperlink r:id="rId624" ref="O157"/>
    <hyperlink r:id="rId625" ref="D158"/>
    <hyperlink r:id="rId626" ref="F158"/>
    <hyperlink r:id="rId627" ref="L158"/>
    <hyperlink r:id="rId628" ref="O158"/>
    <hyperlink r:id="rId629" ref="D159"/>
    <hyperlink r:id="rId630" ref="F159"/>
    <hyperlink r:id="rId631" ref="L159"/>
    <hyperlink r:id="rId632" ref="O159"/>
    <hyperlink r:id="rId633" ref="D160"/>
    <hyperlink r:id="rId634" ref="F160"/>
    <hyperlink r:id="rId635" ref="L160"/>
    <hyperlink r:id="rId636" ref="O160"/>
    <hyperlink r:id="rId637" ref="D161"/>
    <hyperlink r:id="rId638" ref="F161"/>
    <hyperlink r:id="rId639" ref="L161"/>
    <hyperlink r:id="rId640" ref="O161"/>
    <hyperlink r:id="rId641" ref="D162"/>
    <hyperlink r:id="rId642" ref="F162"/>
    <hyperlink r:id="rId643" ref="L162"/>
    <hyperlink r:id="rId644" ref="O162"/>
    <hyperlink r:id="rId645" ref="D163"/>
    <hyperlink r:id="rId646" ref="F163"/>
    <hyperlink r:id="rId647" ref="L163"/>
    <hyperlink r:id="rId648" ref="O163"/>
    <hyperlink r:id="rId649" ref="D164"/>
    <hyperlink r:id="rId650" ref="F164"/>
    <hyperlink r:id="rId651" ref="L164"/>
    <hyperlink r:id="rId652" ref="O164"/>
    <hyperlink r:id="rId653" ref="D165"/>
    <hyperlink r:id="rId654" ref="F165"/>
    <hyperlink r:id="rId655" ref="L165"/>
    <hyperlink r:id="rId656" ref="O165"/>
    <hyperlink r:id="rId657" ref="D166"/>
    <hyperlink r:id="rId658" ref="F166"/>
    <hyperlink r:id="rId659" ref="L166"/>
    <hyperlink r:id="rId660" ref="O166"/>
    <hyperlink r:id="rId661" ref="D167"/>
    <hyperlink r:id="rId662" ref="F167"/>
    <hyperlink r:id="rId663" ref="L167"/>
    <hyperlink r:id="rId664" ref="O167"/>
    <hyperlink r:id="rId665" ref="D168"/>
    <hyperlink r:id="rId666" ref="F168"/>
    <hyperlink r:id="rId667" ref="L168"/>
    <hyperlink r:id="rId668" ref="O168"/>
    <hyperlink r:id="rId669" ref="D169"/>
    <hyperlink r:id="rId670" ref="F169"/>
    <hyperlink r:id="rId671" ref="L169"/>
    <hyperlink r:id="rId672" ref="O169"/>
    <hyperlink r:id="rId673" ref="D170"/>
    <hyperlink r:id="rId674" ref="F170"/>
    <hyperlink r:id="rId675" ref="L170"/>
    <hyperlink r:id="rId676" ref="O170"/>
    <hyperlink r:id="rId677" ref="D171"/>
    <hyperlink r:id="rId678" ref="F171"/>
    <hyperlink r:id="rId679" ref="L171"/>
    <hyperlink r:id="rId680" ref="O171"/>
    <hyperlink r:id="rId681" ref="D172"/>
    <hyperlink r:id="rId682" ref="F172"/>
    <hyperlink r:id="rId683" ref="L172"/>
    <hyperlink r:id="rId684" ref="O172"/>
    <hyperlink r:id="rId685" ref="D173"/>
    <hyperlink r:id="rId686" ref="F173"/>
    <hyperlink r:id="rId687" ref="L173"/>
    <hyperlink r:id="rId688" ref="O173"/>
    <hyperlink r:id="rId689" ref="D174"/>
    <hyperlink r:id="rId690" ref="F174"/>
    <hyperlink r:id="rId691" ref="L174"/>
    <hyperlink r:id="rId692" ref="O174"/>
    <hyperlink r:id="rId693" ref="D175"/>
    <hyperlink r:id="rId694" ref="F175"/>
    <hyperlink r:id="rId695" ref="L175"/>
    <hyperlink r:id="rId696" ref="O175"/>
    <hyperlink r:id="rId697" ref="D176"/>
    <hyperlink r:id="rId698" ref="F176"/>
    <hyperlink r:id="rId699" ref="L176"/>
    <hyperlink r:id="rId700" ref="O176"/>
    <hyperlink r:id="rId701" ref="D177"/>
    <hyperlink r:id="rId702" ref="F177"/>
    <hyperlink r:id="rId703" ref="L177"/>
    <hyperlink r:id="rId704" ref="O177"/>
    <hyperlink r:id="rId705" ref="D178"/>
    <hyperlink r:id="rId706" ref="F178"/>
    <hyperlink r:id="rId707" ref="L178"/>
    <hyperlink r:id="rId708" ref="O178"/>
    <hyperlink r:id="rId709" ref="D179"/>
    <hyperlink r:id="rId710" ref="F179"/>
    <hyperlink r:id="rId711" ref="L179"/>
    <hyperlink r:id="rId712" ref="O179"/>
    <hyperlink r:id="rId713" ref="D180"/>
    <hyperlink r:id="rId714" ref="F180"/>
    <hyperlink r:id="rId715" ref="L180"/>
    <hyperlink r:id="rId716" ref="O180"/>
    <hyperlink r:id="rId717" ref="D181"/>
    <hyperlink r:id="rId718" ref="F181"/>
    <hyperlink r:id="rId719" ref="L181"/>
    <hyperlink r:id="rId720" ref="O181"/>
    <hyperlink r:id="rId721" ref="D182"/>
    <hyperlink r:id="rId722" ref="F182"/>
    <hyperlink r:id="rId723" ref="L182"/>
    <hyperlink r:id="rId724" ref="O182"/>
    <hyperlink r:id="rId725" ref="D183"/>
    <hyperlink r:id="rId726" ref="F183"/>
    <hyperlink r:id="rId727" ref="L183"/>
    <hyperlink r:id="rId728" ref="O183"/>
    <hyperlink r:id="rId729" ref="D184"/>
    <hyperlink r:id="rId730" ref="F184"/>
    <hyperlink r:id="rId731" ref="L184"/>
    <hyperlink r:id="rId732" ref="O184"/>
    <hyperlink r:id="rId733" ref="D185"/>
    <hyperlink r:id="rId734" ref="F185"/>
    <hyperlink r:id="rId735" ref="L185"/>
    <hyperlink r:id="rId736" ref="O185"/>
    <hyperlink r:id="rId737" ref="D186"/>
    <hyperlink r:id="rId738" ref="F186"/>
    <hyperlink r:id="rId739" ref="L186"/>
    <hyperlink r:id="rId740" ref="O186"/>
    <hyperlink r:id="rId741" ref="D187"/>
    <hyperlink r:id="rId742" ref="F187"/>
    <hyperlink r:id="rId743" ref="L187"/>
    <hyperlink r:id="rId744" ref="O187"/>
    <hyperlink r:id="rId745" ref="D188"/>
    <hyperlink r:id="rId746" ref="F188"/>
    <hyperlink r:id="rId747" ref="L188"/>
    <hyperlink r:id="rId748" ref="O188"/>
    <hyperlink r:id="rId749" ref="D189"/>
    <hyperlink r:id="rId750" ref="F189"/>
    <hyperlink r:id="rId751" ref="L189"/>
    <hyperlink r:id="rId752" ref="O189"/>
    <hyperlink r:id="rId753" ref="D190"/>
    <hyperlink r:id="rId754" ref="F190"/>
    <hyperlink r:id="rId755" ref="L190"/>
    <hyperlink r:id="rId756" ref="O190"/>
    <hyperlink r:id="rId757" ref="F191"/>
    <hyperlink r:id="rId758" ref="L191"/>
    <hyperlink r:id="rId759" ref="O191"/>
    <hyperlink r:id="rId760" ref="D192"/>
    <hyperlink r:id="rId761" ref="F192"/>
    <hyperlink r:id="rId762" ref="L192"/>
    <hyperlink r:id="rId763" ref="O192"/>
    <hyperlink r:id="rId764" ref="D193"/>
    <hyperlink r:id="rId765" ref="F193"/>
    <hyperlink r:id="rId766" ref="L193"/>
    <hyperlink r:id="rId767" ref="O193"/>
    <hyperlink r:id="rId768" ref="D194"/>
    <hyperlink r:id="rId769" ref="F194"/>
    <hyperlink r:id="rId770" ref="L194"/>
    <hyperlink r:id="rId771" ref="O194"/>
    <hyperlink r:id="rId772" ref="D195"/>
    <hyperlink r:id="rId773" ref="F195"/>
    <hyperlink r:id="rId774" ref="L195"/>
    <hyperlink r:id="rId775" ref="O195"/>
    <hyperlink r:id="rId776" ref="D196"/>
    <hyperlink r:id="rId777" ref="F196"/>
    <hyperlink r:id="rId778" ref="L196"/>
    <hyperlink r:id="rId779" ref="O196"/>
    <hyperlink r:id="rId780" ref="D197"/>
    <hyperlink r:id="rId781" ref="F197"/>
    <hyperlink r:id="rId782" ref="L197"/>
    <hyperlink r:id="rId783" ref="O197"/>
    <hyperlink r:id="rId784" ref="D198"/>
    <hyperlink r:id="rId785" ref="F198"/>
    <hyperlink r:id="rId786" ref="L198"/>
    <hyperlink r:id="rId787" ref="O198"/>
    <hyperlink r:id="rId788" ref="D199"/>
    <hyperlink r:id="rId789" ref="F199"/>
    <hyperlink r:id="rId790" ref="L199"/>
    <hyperlink r:id="rId791" ref="O199"/>
    <hyperlink r:id="rId792" ref="D200"/>
    <hyperlink r:id="rId793" ref="F200"/>
    <hyperlink r:id="rId794" ref="L200"/>
    <hyperlink r:id="rId795" ref="O200"/>
    <hyperlink r:id="rId796" ref="D201"/>
    <hyperlink r:id="rId797" ref="F201"/>
    <hyperlink r:id="rId798" ref="L201"/>
    <hyperlink r:id="rId799" ref="O201"/>
    <hyperlink r:id="rId800" ref="D202"/>
    <hyperlink r:id="rId801" ref="F202"/>
    <hyperlink r:id="rId802" ref="L202"/>
    <hyperlink r:id="rId803" ref="O202"/>
    <hyperlink r:id="rId804" ref="D203"/>
    <hyperlink r:id="rId805" ref="F203"/>
    <hyperlink r:id="rId806" ref="L203"/>
    <hyperlink r:id="rId807" ref="O203"/>
    <hyperlink r:id="rId808" ref="D204"/>
    <hyperlink r:id="rId809" ref="F204"/>
    <hyperlink r:id="rId810" ref="L204"/>
    <hyperlink r:id="rId811" ref="O204"/>
    <hyperlink r:id="rId812" ref="D205"/>
    <hyperlink r:id="rId813" ref="F205"/>
    <hyperlink r:id="rId814" ref="L205"/>
    <hyperlink r:id="rId815" ref="O205"/>
    <hyperlink r:id="rId816" ref="D206"/>
    <hyperlink r:id="rId817" ref="F206"/>
    <hyperlink r:id="rId818" ref="L206"/>
    <hyperlink r:id="rId819" ref="O206"/>
    <hyperlink r:id="rId820" ref="D207"/>
    <hyperlink r:id="rId821" ref="F207"/>
    <hyperlink r:id="rId822" ref="L207"/>
    <hyperlink r:id="rId823" ref="O207"/>
    <hyperlink r:id="rId824" ref="D208"/>
    <hyperlink r:id="rId825" ref="F208"/>
    <hyperlink r:id="rId826" ref="L208"/>
    <hyperlink r:id="rId827" ref="O208"/>
    <hyperlink r:id="rId828" ref="D209"/>
    <hyperlink r:id="rId829" ref="F209"/>
    <hyperlink r:id="rId830" ref="L209"/>
    <hyperlink r:id="rId831" ref="O209"/>
    <hyperlink r:id="rId832" ref="D210"/>
    <hyperlink r:id="rId833" ref="F210"/>
    <hyperlink r:id="rId834" ref="L210"/>
    <hyperlink r:id="rId835" ref="O210"/>
    <hyperlink r:id="rId836" ref="D211"/>
    <hyperlink r:id="rId837" ref="F211"/>
    <hyperlink r:id="rId838" ref="L211"/>
    <hyperlink r:id="rId839" ref="O211"/>
    <hyperlink r:id="rId840" ref="D212"/>
    <hyperlink r:id="rId841" ref="F212"/>
    <hyperlink r:id="rId842" ref="L212"/>
    <hyperlink r:id="rId843" ref="O212"/>
    <hyperlink r:id="rId844" ref="D213"/>
    <hyperlink r:id="rId845" ref="F213"/>
    <hyperlink r:id="rId846" ref="L213"/>
    <hyperlink r:id="rId847" ref="O213"/>
    <hyperlink r:id="rId848" ref="D214"/>
    <hyperlink r:id="rId849" ref="F214"/>
    <hyperlink r:id="rId850" ref="L214"/>
    <hyperlink r:id="rId851" ref="O214"/>
    <hyperlink r:id="rId852" ref="D215"/>
    <hyperlink r:id="rId853" ref="F215"/>
    <hyperlink r:id="rId854" ref="L215"/>
    <hyperlink r:id="rId855" ref="O215"/>
    <hyperlink r:id="rId856" ref="D216"/>
    <hyperlink r:id="rId857" ref="F216"/>
    <hyperlink r:id="rId858" ref="L216"/>
    <hyperlink r:id="rId859" ref="O216"/>
    <hyperlink r:id="rId860" ref="D217"/>
    <hyperlink r:id="rId861" ref="F217"/>
    <hyperlink r:id="rId862" ref="L217"/>
    <hyperlink r:id="rId863" ref="O217"/>
    <hyperlink r:id="rId864" ref="D218"/>
    <hyperlink r:id="rId865" ref="F218"/>
    <hyperlink r:id="rId866" ref="L218"/>
    <hyperlink r:id="rId867" ref="O218"/>
    <hyperlink r:id="rId868" ref="D219"/>
    <hyperlink r:id="rId869" ref="F219"/>
    <hyperlink r:id="rId870" ref="L219"/>
    <hyperlink r:id="rId871" ref="O219"/>
    <hyperlink r:id="rId872" ref="D220"/>
    <hyperlink r:id="rId873" ref="F220"/>
    <hyperlink r:id="rId874" ref="L220"/>
    <hyperlink r:id="rId875" ref="O220"/>
    <hyperlink r:id="rId876" ref="D221"/>
    <hyperlink r:id="rId877" ref="F221"/>
    <hyperlink r:id="rId878" ref="L221"/>
    <hyperlink r:id="rId879" ref="O221"/>
    <hyperlink r:id="rId880" ref="D222"/>
    <hyperlink r:id="rId881" ref="F222"/>
    <hyperlink r:id="rId882" ref="L222"/>
    <hyperlink r:id="rId883" ref="O222"/>
    <hyperlink r:id="rId884" ref="D223"/>
    <hyperlink r:id="rId885" ref="F223"/>
    <hyperlink r:id="rId886" ref="L223"/>
    <hyperlink r:id="rId887" ref="O223"/>
    <hyperlink r:id="rId888" ref="D224"/>
    <hyperlink r:id="rId889" ref="F224"/>
    <hyperlink r:id="rId890" ref="L224"/>
    <hyperlink r:id="rId891" ref="O224"/>
    <hyperlink r:id="rId892" ref="D225"/>
    <hyperlink r:id="rId893" ref="F225"/>
    <hyperlink r:id="rId894" ref="L225"/>
    <hyperlink r:id="rId895" ref="O225"/>
    <hyperlink r:id="rId896" ref="D226"/>
    <hyperlink r:id="rId897" ref="F226"/>
    <hyperlink r:id="rId898" ref="L226"/>
    <hyperlink r:id="rId899" ref="O226"/>
    <hyperlink r:id="rId900" ref="D227"/>
    <hyperlink r:id="rId901" ref="F227"/>
    <hyperlink r:id="rId902" ref="L227"/>
    <hyperlink r:id="rId903" ref="O227"/>
    <hyperlink r:id="rId904" ref="D228"/>
    <hyperlink r:id="rId905" ref="F228"/>
    <hyperlink r:id="rId906" ref="L228"/>
    <hyperlink r:id="rId907" ref="O228"/>
    <hyperlink r:id="rId908" ref="D229"/>
    <hyperlink r:id="rId909" ref="F229"/>
    <hyperlink r:id="rId910" ref="L229"/>
    <hyperlink r:id="rId911" ref="O229"/>
    <hyperlink r:id="rId912" ref="D230"/>
    <hyperlink r:id="rId913" ref="F230"/>
    <hyperlink r:id="rId914" ref="L230"/>
    <hyperlink r:id="rId915" ref="O230"/>
    <hyperlink r:id="rId916" ref="D231"/>
    <hyperlink r:id="rId917" ref="F231"/>
    <hyperlink r:id="rId918" ref="L231"/>
    <hyperlink r:id="rId919" ref="O231"/>
    <hyperlink r:id="rId920" ref="D232"/>
    <hyperlink r:id="rId921" ref="F232"/>
    <hyperlink r:id="rId922" ref="L232"/>
    <hyperlink r:id="rId923" ref="O232"/>
    <hyperlink r:id="rId924" ref="D233"/>
    <hyperlink r:id="rId925" ref="F233"/>
    <hyperlink r:id="rId926" ref="L233"/>
    <hyperlink r:id="rId927" ref="O233"/>
    <hyperlink r:id="rId928" ref="D234"/>
    <hyperlink r:id="rId929" ref="F234"/>
    <hyperlink r:id="rId930" ref="L234"/>
    <hyperlink r:id="rId931" ref="O234"/>
    <hyperlink r:id="rId932" ref="D235"/>
    <hyperlink r:id="rId933" ref="F235"/>
    <hyperlink r:id="rId934" ref="L235"/>
    <hyperlink r:id="rId935" ref="O235"/>
    <hyperlink r:id="rId936" ref="D236"/>
    <hyperlink r:id="rId937" ref="F236"/>
    <hyperlink r:id="rId938" ref="L236"/>
    <hyperlink r:id="rId939" ref="O236"/>
    <hyperlink r:id="rId940" ref="D237"/>
    <hyperlink r:id="rId941" ref="F237"/>
    <hyperlink r:id="rId942" ref="L237"/>
    <hyperlink r:id="rId943" ref="O237"/>
    <hyperlink r:id="rId944" ref="D238"/>
    <hyperlink r:id="rId945" ref="F238"/>
    <hyperlink r:id="rId946" ref="L238"/>
    <hyperlink r:id="rId947" ref="O238"/>
    <hyperlink r:id="rId948" ref="D239"/>
    <hyperlink r:id="rId949" ref="F239"/>
    <hyperlink r:id="rId950" ref="L239"/>
    <hyperlink r:id="rId951" ref="O239"/>
    <hyperlink r:id="rId952" ref="D240"/>
    <hyperlink r:id="rId953" ref="F240"/>
    <hyperlink r:id="rId954" ref="L240"/>
    <hyperlink r:id="rId955" ref="O240"/>
    <hyperlink r:id="rId956" ref="D241"/>
    <hyperlink r:id="rId957" ref="F241"/>
    <hyperlink r:id="rId958" ref="L241"/>
    <hyperlink r:id="rId959" ref="O241"/>
    <hyperlink r:id="rId960" ref="D242"/>
    <hyperlink r:id="rId961" ref="F242"/>
    <hyperlink r:id="rId962" ref="L242"/>
    <hyperlink r:id="rId963" ref="O242"/>
    <hyperlink r:id="rId964" ref="D243"/>
    <hyperlink r:id="rId965" ref="F243"/>
    <hyperlink r:id="rId966" ref="L243"/>
    <hyperlink r:id="rId967" ref="O243"/>
    <hyperlink r:id="rId968" ref="D244"/>
    <hyperlink r:id="rId969" ref="F244"/>
    <hyperlink r:id="rId970" ref="L244"/>
    <hyperlink r:id="rId971" ref="O244"/>
    <hyperlink r:id="rId972" ref="D245"/>
    <hyperlink r:id="rId973" ref="F245"/>
    <hyperlink r:id="rId974" ref="L245"/>
    <hyperlink r:id="rId975" ref="O245"/>
    <hyperlink r:id="rId976" ref="D246"/>
    <hyperlink r:id="rId977" ref="F246"/>
    <hyperlink r:id="rId978" ref="L246"/>
    <hyperlink r:id="rId979" ref="O246"/>
    <hyperlink r:id="rId980" ref="D247"/>
    <hyperlink r:id="rId981" ref="F247"/>
    <hyperlink r:id="rId982" ref="L247"/>
    <hyperlink r:id="rId983" ref="O247"/>
    <hyperlink r:id="rId984" ref="D248"/>
    <hyperlink r:id="rId985" ref="F248"/>
    <hyperlink r:id="rId986" ref="L248"/>
    <hyperlink r:id="rId987" ref="O248"/>
    <hyperlink r:id="rId988" ref="D249"/>
    <hyperlink r:id="rId989" ref="F249"/>
    <hyperlink r:id="rId990" ref="L249"/>
    <hyperlink r:id="rId991" ref="O249"/>
    <hyperlink r:id="rId992" ref="D250"/>
    <hyperlink r:id="rId993" ref="F250"/>
    <hyperlink r:id="rId994" ref="L250"/>
    <hyperlink r:id="rId995" ref="O250"/>
    <hyperlink r:id="rId996" ref="D251"/>
    <hyperlink r:id="rId997" ref="F251"/>
    <hyperlink r:id="rId998" ref="L251"/>
    <hyperlink r:id="rId999" ref="O251"/>
    <hyperlink r:id="rId1000" ref="D252"/>
    <hyperlink r:id="rId1001" ref="F252"/>
    <hyperlink r:id="rId1002" ref="L252"/>
    <hyperlink r:id="rId1003" ref="O252"/>
    <hyperlink r:id="rId1004" ref="D253"/>
    <hyperlink r:id="rId1005" ref="F253"/>
    <hyperlink r:id="rId1006" ref="L253"/>
    <hyperlink r:id="rId1007" ref="O253"/>
  </hyperlinks>
  <drawing r:id="rId100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88"/>
    <col customWidth="1" min="3" max="3" width="11.13"/>
    <col customWidth="1" min="4" max="4" width="5.75"/>
    <col customWidth="1" min="6" max="6" width="7.25"/>
    <col customWidth="1" min="7" max="8" width="10.38"/>
    <col customWidth="1" min="9" max="9" width="8.88"/>
    <col customWidth="1" min="10" max="10" width="8.0"/>
    <col customWidth="1" min="12" max="12" width="10.38"/>
    <col customWidth="1" min="13" max="13" width="4.88"/>
    <col customWidth="1" min="16" max="16" width="9.25"/>
    <col customWidth="1" min="18" max="18" width="10.13"/>
    <col customWidth="1" min="20" max="20" width="8.63"/>
    <col customWidth="1" min="22" max="22" width="6.0"/>
  </cols>
  <sheetData>
    <row r="1">
      <c r="A1" s="1" t="s">
        <v>2250</v>
      </c>
      <c r="B1" s="1" t="s">
        <v>2251</v>
      </c>
      <c r="C1" s="1" t="s">
        <v>3</v>
      </c>
      <c r="D1" s="1" t="s">
        <v>2252</v>
      </c>
      <c r="E1" s="1" t="s">
        <v>2253</v>
      </c>
      <c r="F1" s="30" t="s">
        <v>2254</v>
      </c>
      <c r="G1" s="30" t="s">
        <v>2255</v>
      </c>
      <c r="H1" s="30" t="s">
        <v>2256</v>
      </c>
      <c r="I1" s="1" t="s">
        <v>2257</v>
      </c>
      <c r="J1" s="1" t="s">
        <v>2258</v>
      </c>
      <c r="K1" s="1" t="s">
        <v>2259</v>
      </c>
      <c r="L1" s="30" t="s">
        <v>2260</v>
      </c>
      <c r="M1" s="1" t="s">
        <v>2261</v>
      </c>
      <c r="N1" s="1" t="s">
        <v>2262</v>
      </c>
      <c r="O1" s="1" t="s">
        <v>2263</v>
      </c>
      <c r="P1" s="1" t="s">
        <v>2264</v>
      </c>
      <c r="Q1" s="1" t="s">
        <v>2265</v>
      </c>
      <c r="R1" s="1" t="s">
        <v>2266</v>
      </c>
      <c r="S1" s="1" t="s">
        <v>2267</v>
      </c>
      <c r="T1" s="1" t="s">
        <v>2268</v>
      </c>
      <c r="U1" s="1" t="s">
        <v>2269</v>
      </c>
      <c r="V1" s="1" t="s">
        <v>2270</v>
      </c>
      <c r="W1" s="1" t="s">
        <v>2271</v>
      </c>
    </row>
    <row r="2">
      <c r="A2" s="1">
        <v>1.0</v>
      </c>
      <c r="B2" s="1" t="s">
        <v>2272</v>
      </c>
      <c r="C2" s="1" t="s">
        <v>2272</v>
      </c>
      <c r="D2" s="1">
        <v>1.0</v>
      </c>
      <c r="E2" s="1" t="s">
        <v>2273</v>
      </c>
      <c r="F2" s="30">
        <v>37072.0</v>
      </c>
      <c r="G2" s="30">
        <v>10959.0</v>
      </c>
      <c r="H2" s="30">
        <v>23742.0</v>
      </c>
      <c r="I2" s="1">
        <v>28.0</v>
      </c>
      <c r="J2" s="1">
        <v>63.0</v>
      </c>
      <c r="K2" s="1">
        <v>34.9972677595628</v>
      </c>
      <c r="L2" s="31"/>
      <c r="U2" s="1" t="s">
        <v>2274</v>
      </c>
    </row>
    <row r="3">
      <c r="A3" s="1">
        <v>2.0</v>
      </c>
      <c r="B3" s="1" t="s">
        <v>2275</v>
      </c>
      <c r="C3" s="1" t="s">
        <v>2275</v>
      </c>
      <c r="D3" s="1">
        <v>1.0</v>
      </c>
      <c r="E3" s="1" t="s">
        <v>2273</v>
      </c>
      <c r="F3" s="30">
        <v>40359.0</v>
      </c>
      <c r="G3" s="30">
        <v>23377.0</v>
      </c>
      <c r="H3" s="30">
        <v>28125.0</v>
      </c>
      <c r="I3" s="1">
        <v>53.0</v>
      </c>
      <c r="J3" s="1">
        <v>66.0</v>
      </c>
      <c r="K3" s="1">
        <v>12.9972677595628</v>
      </c>
      <c r="L3" s="31"/>
      <c r="U3" s="1" t="s">
        <v>2274</v>
      </c>
    </row>
    <row r="4">
      <c r="A4" s="1">
        <v>3.0</v>
      </c>
      <c r="B4" s="1" t="s">
        <v>2276</v>
      </c>
      <c r="C4" s="1" t="s">
        <v>2276</v>
      </c>
      <c r="D4" s="1">
        <v>1.0</v>
      </c>
      <c r="E4" s="1" t="s">
        <v>2273</v>
      </c>
      <c r="F4" s="30">
        <v>45838.0</v>
      </c>
      <c r="G4" s="30">
        <v>27760.0</v>
      </c>
      <c r="H4" s="30">
        <v>32508.0</v>
      </c>
      <c r="I4" s="1">
        <v>50.0</v>
      </c>
      <c r="J4" s="1">
        <v>63.0</v>
      </c>
      <c r="K4" s="1">
        <v>12.9972677595628</v>
      </c>
      <c r="L4" s="31"/>
      <c r="U4" s="1" t="s">
        <v>2274</v>
      </c>
    </row>
    <row r="5">
      <c r="A5" s="1">
        <v>4.0</v>
      </c>
      <c r="B5" s="1" t="s">
        <v>2277</v>
      </c>
      <c r="C5" s="1" t="s">
        <v>2278</v>
      </c>
      <c r="D5" s="1">
        <v>1.0</v>
      </c>
      <c r="E5" s="1" t="s">
        <v>2273</v>
      </c>
      <c r="F5" s="30">
        <v>12965.0</v>
      </c>
      <c r="G5" s="30">
        <v>32259.0</v>
      </c>
      <c r="H5" s="30">
        <v>36487.0</v>
      </c>
      <c r="I5" s="1">
        <v>52.0</v>
      </c>
      <c r="J5" s="1">
        <v>64.0</v>
      </c>
      <c r="K5" s="1">
        <v>11.5780821917808</v>
      </c>
      <c r="L5" s="31"/>
      <c r="U5" s="1" t="s">
        <v>2274</v>
      </c>
    </row>
    <row r="6">
      <c r="A6" s="1">
        <v>5.0</v>
      </c>
      <c r="B6" s="1" t="s">
        <v>2279</v>
      </c>
      <c r="C6" s="1" t="s">
        <v>2279</v>
      </c>
      <c r="D6" s="1">
        <v>1.0</v>
      </c>
      <c r="E6" s="1" t="s">
        <v>2273</v>
      </c>
      <c r="F6" s="30">
        <v>11139.0</v>
      </c>
      <c r="G6" s="30">
        <v>36487.0</v>
      </c>
      <c r="H6" s="30" t="s">
        <v>2280</v>
      </c>
      <c r="I6" s="1">
        <v>69.0</v>
      </c>
      <c r="J6" s="1">
        <v>75.0</v>
      </c>
      <c r="K6" s="1">
        <v>5.92602739726027</v>
      </c>
      <c r="L6" s="31"/>
      <c r="U6" s="1" t="s">
        <v>2274</v>
      </c>
    </row>
    <row r="7">
      <c r="A7" s="1">
        <v>6.0</v>
      </c>
      <c r="B7" s="1" t="s">
        <v>2281</v>
      </c>
      <c r="C7" s="1" t="s">
        <v>2282</v>
      </c>
      <c r="D7" s="1">
        <v>1.0</v>
      </c>
      <c r="E7" s="1" t="s">
        <v>2273</v>
      </c>
      <c r="F7" s="30">
        <v>27575.0</v>
      </c>
      <c r="G7" s="30" t="s">
        <v>2280</v>
      </c>
      <c r="H7" s="30" t="s">
        <v>2283</v>
      </c>
      <c r="I7" s="1">
        <v>30.0</v>
      </c>
      <c r="J7" s="1">
        <v>39.0</v>
      </c>
      <c r="K7" s="1">
        <v>9.51506849315068</v>
      </c>
      <c r="L7" s="31"/>
      <c r="U7" s="1" t="s">
        <v>2274</v>
      </c>
    </row>
    <row r="8">
      <c r="A8" s="1">
        <v>7.0</v>
      </c>
      <c r="B8" s="1" t="s">
        <v>2284</v>
      </c>
      <c r="C8" s="1" t="s">
        <v>2285</v>
      </c>
      <c r="D8" s="1">
        <v>1.0</v>
      </c>
      <c r="E8" s="1" t="s">
        <v>2273</v>
      </c>
      <c r="F8" s="30">
        <v>15522.0</v>
      </c>
      <c r="G8" s="30" t="s">
        <v>2283</v>
      </c>
      <c r="H8" s="30" t="s">
        <v>2286</v>
      </c>
      <c r="I8" s="1">
        <v>72.0</v>
      </c>
      <c r="J8" s="1">
        <v>82.0</v>
      </c>
      <c r="K8" s="1">
        <v>9.91780821917808</v>
      </c>
      <c r="L8" s="31"/>
      <c r="U8" s="1" t="s">
        <v>2274</v>
      </c>
    </row>
    <row r="9">
      <c r="A9" s="1">
        <v>8.0</v>
      </c>
      <c r="B9" s="1" t="s">
        <v>2287</v>
      </c>
      <c r="C9" s="1" t="s">
        <v>2287</v>
      </c>
      <c r="D9" s="1">
        <v>1.0</v>
      </c>
      <c r="E9" s="1" t="s">
        <v>2273</v>
      </c>
      <c r="F9" s="30">
        <v>24653.0</v>
      </c>
      <c r="G9" s="30" t="s">
        <v>2286</v>
      </c>
      <c r="H9" s="30" t="s">
        <v>2288</v>
      </c>
      <c r="I9" s="1">
        <v>57.0</v>
      </c>
      <c r="J9" s="1">
        <v>68.0</v>
      </c>
      <c r="K9" s="1">
        <v>10.7568306010928</v>
      </c>
      <c r="L9" s="31"/>
      <c r="U9" s="1" t="s">
        <v>2274</v>
      </c>
    </row>
    <row r="10">
      <c r="A10" s="1">
        <v>9.0</v>
      </c>
      <c r="B10" s="1" t="s">
        <v>2289</v>
      </c>
      <c r="C10" s="1" t="s">
        <v>2289</v>
      </c>
      <c r="D10" s="1">
        <v>1.0</v>
      </c>
      <c r="E10" s="1" t="s">
        <v>2273</v>
      </c>
      <c r="F10" s="30">
        <v>27210.0</v>
      </c>
      <c r="G10" s="30" t="s">
        <v>2288</v>
      </c>
      <c r="H10" s="30" t="s">
        <v>2290</v>
      </c>
      <c r="I10" s="1">
        <v>61.0</v>
      </c>
      <c r="J10" s="1">
        <v>65.0</v>
      </c>
      <c r="K10" s="1">
        <v>4.01639344262295</v>
      </c>
      <c r="L10" s="31"/>
      <c r="U10" s="1" t="s">
        <v>2274</v>
      </c>
    </row>
    <row r="11">
      <c r="A11" s="1">
        <v>10.0</v>
      </c>
      <c r="B11" s="1" t="s">
        <v>2291</v>
      </c>
      <c r="C11" s="1" t="s">
        <v>2292</v>
      </c>
      <c r="D11" s="1">
        <v>1.0</v>
      </c>
      <c r="E11" s="1" t="s">
        <v>2273</v>
      </c>
      <c r="F11" s="30">
        <v>29767.0</v>
      </c>
      <c r="G11" s="30" t="s">
        <v>2290</v>
      </c>
      <c r="H11" s="30" t="s">
        <v>2293</v>
      </c>
      <c r="I11" s="1">
        <v>58.0</v>
      </c>
      <c r="J11" s="1">
        <v>74.0</v>
      </c>
      <c r="K11" s="1">
        <v>15.4958904109589</v>
      </c>
      <c r="L11" s="31"/>
      <c r="U11" s="1" t="s">
        <v>2274</v>
      </c>
    </row>
    <row r="12">
      <c r="A12" s="1">
        <v>11.0</v>
      </c>
      <c r="B12" s="1" t="s">
        <v>2294</v>
      </c>
      <c r="C12" s="1" t="s">
        <v>2294</v>
      </c>
      <c r="D12" s="1">
        <v>1.0</v>
      </c>
      <c r="E12" s="1" t="s">
        <v>2273</v>
      </c>
      <c r="F12" s="30">
        <v>33785.0</v>
      </c>
      <c r="G12" s="30" t="s">
        <v>2293</v>
      </c>
      <c r="H12" s="30" t="s">
        <v>2295</v>
      </c>
      <c r="I12" s="1">
        <v>63.0</v>
      </c>
      <c r="J12" s="1">
        <v>73.0</v>
      </c>
      <c r="K12" s="1">
        <v>10.7753424657534</v>
      </c>
      <c r="L12" s="31"/>
      <c r="U12" s="1" t="s">
        <v>2274</v>
      </c>
    </row>
    <row r="13">
      <c r="A13" s="1">
        <v>12.0</v>
      </c>
      <c r="B13" s="1" t="s">
        <v>2296</v>
      </c>
      <c r="C13" s="1" t="s">
        <v>2296</v>
      </c>
      <c r="D13" s="1">
        <v>1.0</v>
      </c>
      <c r="E13" s="1" t="s">
        <v>2273</v>
      </c>
      <c r="F13" s="30" t="s">
        <v>2297</v>
      </c>
      <c r="G13" s="30" t="s">
        <v>2295</v>
      </c>
      <c r="H13" s="30" t="s">
        <v>2298</v>
      </c>
      <c r="I13" s="1">
        <v>46.0</v>
      </c>
      <c r="J13" s="1">
        <v>54.0</v>
      </c>
      <c r="K13" s="1">
        <v>8.00547945205479</v>
      </c>
      <c r="L13" s="31"/>
      <c r="U13" s="1" t="s">
        <v>2274</v>
      </c>
    </row>
    <row r="14">
      <c r="A14" s="1">
        <v>13.0</v>
      </c>
      <c r="B14" s="1" t="s">
        <v>2299</v>
      </c>
      <c r="C14" s="1" t="s">
        <v>2299</v>
      </c>
      <c r="D14" s="1">
        <v>1.0</v>
      </c>
      <c r="E14" s="1" t="s">
        <v>2273</v>
      </c>
      <c r="F14" s="30" t="s">
        <v>2300</v>
      </c>
      <c r="G14" s="30" t="s">
        <v>2298</v>
      </c>
      <c r="H14" s="30" t="s">
        <v>2301</v>
      </c>
      <c r="I14" s="1">
        <v>43.0</v>
      </c>
      <c r="J14" s="1">
        <v>58.0</v>
      </c>
      <c r="K14" s="1">
        <v>15.0931506849315</v>
      </c>
      <c r="L14" s="31"/>
      <c r="U14" s="1" t="s">
        <v>2274</v>
      </c>
    </row>
    <row r="15">
      <c r="A15" s="1">
        <v>14.0</v>
      </c>
      <c r="B15" s="1" t="s">
        <v>2302</v>
      </c>
      <c r="C15" s="1" t="s">
        <v>2303</v>
      </c>
      <c r="D15" s="1">
        <v>1.0</v>
      </c>
      <c r="E15" s="1" t="s">
        <v>2273</v>
      </c>
      <c r="F15" s="30" t="s">
        <v>2304</v>
      </c>
      <c r="G15" s="30" t="s">
        <v>2301</v>
      </c>
      <c r="H15" s="30" t="s">
        <v>2305</v>
      </c>
      <c r="I15" s="1">
        <v>33.0</v>
      </c>
      <c r="J15" s="1">
        <v>44.0</v>
      </c>
      <c r="K15" s="1">
        <v>10.172602739726</v>
      </c>
      <c r="L15" s="31"/>
      <c r="U15" s="1" t="s">
        <v>2274</v>
      </c>
    </row>
    <row r="16">
      <c r="A16" s="1">
        <v>15.0</v>
      </c>
      <c r="B16" s="1" t="s">
        <v>2306</v>
      </c>
      <c r="C16" s="1" t="s">
        <v>2306</v>
      </c>
      <c r="D16" s="1">
        <v>1.0</v>
      </c>
      <c r="E16" s="1" t="s">
        <v>2273</v>
      </c>
      <c r="F16" s="30" t="s">
        <v>2307</v>
      </c>
      <c r="G16" s="30" t="s">
        <v>2305</v>
      </c>
      <c r="H16" s="30" t="s">
        <v>2308</v>
      </c>
      <c r="I16" s="1">
        <v>39.0</v>
      </c>
      <c r="J16" s="1">
        <v>57.0</v>
      </c>
      <c r="K16" s="1">
        <v>18.3972602739726</v>
      </c>
      <c r="L16" s="31"/>
      <c r="U16" s="1" t="s">
        <v>2274</v>
      </c>
    </row>
    <row r="17">
      <c r="A17" s="1">
        <v>16.0</v>
      </c>
      <c r="B17" s="1" t="s">
        <v>2309</v>
      </c>
      <c r="C17" s="1" t="s">
        <v>2310</v>
      </c>
      <c r="D17" s="1">
        <v>1.0</v>
      </c>
      <c r="E17" s="1" t="s">
        <v>2273</v>
      </c>
      <c r="F17" s="30" t="s">
        <v>2304</v>
      </c>
      <c r="G17" s="30" t="s">
        <v>2308</v>
      </c>
      <c r="H17" s="30" t="s">
        <v>2311</v>
      </c>
      <c r="I17" s="1">
        <v>62.0</v>
      </c>
      <c r="J17" s="1">
        <v>67.0</v>
      </c>
      <c r="K17" s="1">
        <v>4.81643835616438</v>
      </c>
      <c r="L17" s="31"/>
      <c r="U17" s="1" t="s">
        <v>2274</v>
      </c>
    </row>
    <row r="18">
      <c r="A18" s="1">
        <v>17.0</v>
      </c>
      <c r="B18" s="1" t="s">
        <v>2312</v>
      </c>
      <c r="C18" s="1" t="s">
        <v>2313</v>
      </c>
      <c r="D18" s="1">
        <v>1.0</v>
      </c>
      <c r="E18" s="1" t="s">
        <v>2273</v>
      </c>
      <c r="F18" s="30" t="s">
        <v>2314</v>
      </c>
      <c r="G18" s="30" t="s">
        <v>2311</v>
      </c>
      <c r="H18" s="30" t="s">
        <v>2315</v>
      </c>
      <c r="I18" s="1">
        <v>47.0</v>
      </c>
      <c r="J18" s="1">
        <v>54.0</v>
      </c>
      <c r="K18" s="1">
        <v>7.60547945205479</v>
      </c>
      <c r="L18" s="31"/>
      <c r="U18" s="1" t="s">
        <v>2274</v>
      </c>
    </row>
    <row r="19">
      <c r="A19" s="1">
        <v>18.0</v>
      </c>
      <c r="B19" s="1" t="s">
        <v>2316</v>
      </c>
      <c r="C19" s="1" t="s">
        <v>2316</v>
      </c>
      <c r="D19" s="1">
        <v>1.0</v>
      </c>
      <c r="E19" s="1" t="s">
        <v>2273</v>
      </c>
      <c r="F19" s="30" t="s">
        <v>2314</v>
      </c>
      <c r="G19" s="30" t="s">
        <v>2317</v>
      </c>
      <c r="H19" s="30" t="s">
        <v>2318</v>
      </c>
      <c r="I19" s="1">
        <v>55.0</v>
      </c>
      <c r="J19" s="1">
        <v>60.0</v>
      </c>
      <c r="K19" s="1">
        <v>5.10382513661202</v>
      </c>
      <c r="L19" s="31"/>
      <c r="U19" s="1" t="s">
        <v>2274</v>
      </c>
    </row>
    <row r="20">
      <c r="A20" s="1">
        <v>19.0</v>
      </c>
      <c r="B20" s="1" t="s">
        <v>2319</v>
      </c>
      <c r="C20" s="1" t="s">
        <v>2319</v>
      </c>
      <c r="D20" s="1">
        <v>1.0</v>
      </c>
      <c r="E20" s="1" t="s">
        <v>2273</v>
      </c>
      <c r="F20" s="30" t="s">
        <v>2320</v>
      </c>
      <c r="G20" s="30" t="s">
        <v>2321</v>
      </c>
      <c r="H20" s="30" t="s">
        <v>2322</v>
      </c>
      <c r="I20" s="1">
        <v>55.0</v>
      </c>
      <c r="J20" s="1">
        <v>55.0</v>
      </c>
      <c r="K20" s="1">
        <v>0.117486338797814</v>
      </c>
      <c r="L20" s="31"/>
      <c r="U20" s="1" t="s">
        <v>2274</v>
      </c>
    </row>
    <row r="21">
      <c r="A21" s="1">
        <v>20.0</v>
      </c>
      <c r="B21" s="1" t="s">
        <v>2323</v>
      </c>
      <c r="C21" s="1" t="s">
        <v>2323</v>
      </c>
      <c r="D21" s="1">
        <v>1.0</v>
      </c>
      <c r="E21" s="1" t="s">
        <v>2273</v>
      </c>
      <c r="F21" s="30" t="s">
        <v>2324</v>
      </c>
      <c r="G21" s="30" t="s">
        <v>2325</v>
      </c>
      <c r="H21" s="30" t="s">
        <v>2326</v>
      </c>
      <c r="I21" s="1">
        <v>35.0</v>
      </c>
      <c r="J21" s="1">
        <v>49.0</v>
      </c>
      <c r="K21" s="1">
        <v>14.0273972602739</v>
      </c>
      <c r="L21" s="31"/>
      <c r="U21" s="1" t="s">
        <v>2274</v>
      </c>
    </row>
    <row r="22">
      <c r="A22" s="1">
        <v>21.0</v>
      </c>
      <c r="B22" s="1" t="s">
        <v>2327</v>
      </c>
      <c r="C22" s="1" t="s">
        <v>2327</v>
      </c>
      <c r="D22" s="1">
        <v>1.0</v>
      </c>
      <c r="E22" s="1" t="s">
        <v>2273</v>
      </c>
      <c r="F22" s="30" t="s">
        <v>2320</v>
      </c>
      <c r="G22" s="30" t="s">
        <v>2328</v>
      </c>
      <c r="H22" s="30" t="s">
        <v>2329</v>
      </c>
      <c r="I22" s="1">
        <v>70.0</v>
      </c>
      <c r="J22" s="1">
        <v>72.0</v>
      </c>
      <c r="K22" s="1">
        <v>2.30410958904109</v>
      </c>
      <c r="L22" s="31"/>
      <c r="U22" s="1" t="s">
        <v>2274</v>
      </c>
    </row>
    <row r="23">
      <c r="A23" s="1">
        <v>22.0</v>
      </c>
      <c r="B23" s="1" t="s">
        <v>2330</v>
      </c>
      <c r="C23" s="1" t="s">
        <v>2331</v>
      </c>
      <c r="D23" s="1">
        <v>1.0</v>
      </c>
      <c r="E23" s="1" t="s">
        <v>2273</v>
      </c>
      <c r="F23" s="30" t="s">
        <v>2324</v>
      </c>
      <c r="G23" s="30" t="s">
        <v>2329</v>
      </c>
      <c r="H23" s="30" t="s">
        <v>2332</v>
      </c>
      <c r="I23" s="1">
        <v>52.0</v>
      </c>
      <c r="J23" s="1">
        <v>53.0</v>
      </c>
      <c r="K23" s="1">
        <v>0.693150684931506</v>
      </c>
      <c r="L23" s="31"/>
      <c r="U23" s="1" t="s">
        <v>2274</v>
      </c>
    </row>
    <row r="24">
      <c r="A24" s="1">
        <v>23.0</v>
      </c>
      <c r="B24" s="1" t="s">
        <v>2333</v>
      </c>
      <c r="C24" s="1" t="s">
        <v>2334</v>
      </c>
      <c r="D24" s="1">
        <v>1.0</v>
      </c>
      <c r="E24" s="1" t="s">
        <v>2273</v>
      </c>
      <c r="F24" s="30" t="s">
        <v>2335</v>
      </c>
      <c r="G24" s="30" t="s">
        <v>2336</v>
      </c>
      <c r="H24" s="30" t="s">
        <v>2337</v>
      </c>
      <c r="I24" s="1">
        <v>48.0</v>
      </c>
      <c r="J24" s="1">
        <v>52.0</v>
      </c>
      <c r="K24" s="1">
        <v>3.3917808219178</v>
      </c>
      <c r="L24" s="31"/>
      <c r="U24" s="1" t="s">
        <v>2274</v>
      </c>
    </row>
    <row r="25">
      <c r="A25" s="1">
        <v>24.0</v>
      </c>
      <c r="B25" s="1" t="s">
        <v>2338</v>
      </c>
      <c r="C25" s="1" t="s">
        <v>2285</v>
      </c>
      <c r="D25" s="1">
        <v>2.0</v>
      </c>
      <c r="E25" s="1" t="s">
        <v>2273</v>
      </c>
      <c r="F25" s="30" t="s">
        <v>2339</v>
      </c>
      <c r="G25" s="30" t="s">
        <v>2340</v>
      </c>
      <c r="H25" s="30" t="s">
        <v>2341</v>
      </c>
      <c r="I25" s="1">
        <v>42.0</v>
      </c>
      <c r="J25" s="1">
        <v>43.0</v>
      </c>
      <c r="K25" s="1">
        <v>0.934246575342465</v>
      </c>
      <c r="L25" s="31"/>
      <c r="U25" s="1" t="s">
        <v>2274</v>
      </c>
    </row>
    <row r="26">
      <c r="A26" s="1">
        <v>25.0</v>
      </c>
      <c r="B26" s="1" t="s">
        <v>2342</v>
      </c>
      <c r="C26" s="1" t="s">
        <v>2342</v>
      </c>
      <c r="D26" s="1">
        <v>1.0</v>
      </c>
      <c r="E26" s="1" t="s">
        <v>2273</v>
      </c>
      <c r="F26" s="30" t="s">
        <v>2324</v>
      </c>
      <c r="G26" s="30" t="s">
        <v>2343</v>
      </c>
      <c r="H26" s="30" t="s">
        <v>2344</v>
      </c>
      <c r="I26" s="1">
        <v>59.0</v>
      </c>
      <c r="J26" s="1">
        <v>68.0</v>
      </c>
      <c r="K26" s="1">
        <v>9.43013698630137</v>
      </c>
      <c r="L26" s="31"/>
      <c r="U26" s="1" t="s">
        <v>2274</v>
      </c>
    </row>
    <row r="27">
      <c r="A27" s="1">
        <v>26.0</v>
      </c>
      <c r="B27" s="1" t="s">
        <v>2345</v>
      </c>
      <c r="C27" s="1" t="s">
        <v>2346</v>
      </c>
      <c r="D27" s="1">
        <v>1.0</v>
      </c>
      <c r="E27" s="1" t="s">
        <v>2273</v>
      </c>
      <c r="F27" s="30" t="s">
        <v>2347</v>
      </c>
      <c r="G27" s="30" t="s">
        <v>2348</v>
      </c>
      <c r="H27" s="30" t="s">
        <v>2349</v>
      </c>
      <c r="I27" s="1">
        <v>62.0</v>
      </c>
      <c r="J27" s="1">
        <v>68.0</v>
      </c>
      <c r="K27" s="1">
        <v>5.98356164383561</v>
      </c>
      <c r="L27" s="31"/>
      <c r="U27" s="1" t="s">
        <v>2274</v>
      </c>
    </row>
    <row r="28">
      <c r="A28" s="1">
        <v>27.0</v>
      </c>
      <c r="B28" s="1" t="s">
        <v>2350</v>
      </c>
      <c r="C28" s="1" t="s">
        <v>2350</v>
      </c>
      <c r="D28" s="1">
        <v>1.0</v>
      </c>
      <c r="E28" s="1" t="s">
        <v>2273</v>
      </c>
      <c r="F28" s="30" t="s">
        <v>2351</v>
      </c>
      <c r="G28" s="30" t="s">
        <v>2352</v>
      </c>
      <c r="H28" s="30" t="s">
        <v>2353</v>
      </c>
      <c r="I28" s="1">
        <v>34.0</v>
      </c>
      <c r="J28" s="1">
        <v>43.0</v>
      </c>
      <c r="K28" s="1">
        <v>8.92328767123287</v>
      </c>
      <c r="L28" s="31"/>
      <c r="U28" s="1" t="s">
        <v>2274</v>
      </c>
    </row>
    <row r="29">
      <c r="A29" s="1">
        <v>28.0</v>
      </c>
      <c r="B29" s="1" t="s">
        <v>2354</v>
      </c>
      <c r="C29" s="1" t="s">
        <v>2354</v>
      </c>
      <c r="D29" s="1">
        <v>1.0</v>
      </c>
      <c r="E29" s="1" t="s">
        <v>2273</v>
      </c>
      <c r="F29" s="30" t="s">
        <v>2355</v>
      </c>
      <c r="G29" s="30" t="s">
        <v>2356</v>
      </c>
      <c r="H29" s="30" t="s">
        <v>2357</v>
      </c>
      <c r="I29" s="1">
        <v>38.0</v>
      </c>
      <c r="J29" s="1">
        <v>50.0</v>
      </c>
      <c r="K29" s="1">
        <v>12.3469945355191</v>
      </c>
      <c r="L29" s="31"/>
      <c r="U29" s="1" t="s">
        <v>2274</v>
      </c>
    </row>
    <row r="30">
      <c r="A30" s="1">
        <v>29.0</v>
      </c>
      <c r="B30" s="1" t="s">
        <v>2358</v>
      </c>
      <c r="C30" s="1" t="s">
        <v>2358</v>
      </c>
      <c r="D30" s="1">
        <v>1.0</v>
      </c>
      <c r="E30" s="1" t="s">
        <v>2273</v>
      </c>
      <c r="F30" s="30" t="s">
        <v>2359</v>
      </c>
      <c r="G30" s="30" t="s">
        <v>2360</v>
      </c>
      <c r="H30" s="30" t="s">
        <v>2361</v>
      </c>
      <c r="I30" s="1">
        <v>46.0</v>
      </c>
      <c r="J30" s="1">
        <v>53.0</v>
      </c>
      <c r="K30" s="1">
        <v>7.8224043715847</v>
      </c>
      <c r="L30" s="31"/>
      <c r="U30" s="1" t="s">
        <v>2274</v>
      </c>
    </row>
    <row r="31">
      <c r="A31" s="1">
        <v>30.0</v>
      </c>
      <c r="B31" s="1" t="s">
        <v>2362</v>
      </c>
      <c r="C31" s="1" t="s">
        <v>2363</v>
      </c>
      <c r="D31" s="1">
        <v>1.0</v>
      </c>
      <c r="E31" s="1" t="s">
        <v>2273</v>
      </c>
      <c r="F31" s="30" t="s">
        <v>2364</v>
      </c>
      <c r="G31" s="30" t="s">
        <v>2365</v>
      </c>
      <c r="H31" s="30" t="s">
        <v>2366</v>
      </c>
      <c r="I31" s="1">
        <v>52.0</v>
      </c>
      <c r="J31" s="1">
        <v>53.0</v>
      </c>
      <c r="K31" s="1">
        <v>0.641095890410958</v>
      </c>
      <c r="L31" s="31"/>
      <c r="U31" s="1" t="s">
        <v>2274</v>
      </c>
    </row>
    <row r="32">
      <c r="A32" s="1">
        <v>31.0</v>
      </c>
      <c r="B32" s="1" t="s">
        <v>2367</v>
      </c>
      <c r="C32" s="1" t="s">
        <v>2367</v>
      </c>
      <c r="D32" s="1">
        <v>1.0</v>
      </c>
      <c r="E32" s="1" t="s">
        <v>2273</v>
      </c>
      <c r="F32" s="30" t="s">
        <v>2364</v>
      </c>
      <c r="G32" s="30" t="s">
        <v>2368</v>
      </c>
      <c r="H32" s="30" t="s">
        <v>2369</v>
      </c>
      <c r="I32" s="1">
        <v>53.0</v>
      </c>
      <c r="J32" s="1">
        <v>55.0</v>
      </c>
      <c r="K32" s="1">
        <v>1.33150684931506</v>
      </c>
      <c r="L32" s="31"/>
      <c r="U32" s="1" t="s">
        <v>2274</v>
      </c>
    </row>
    <row r="33">
      <c r="A33" s="1">
        <v>32.0</v>
      </c>
      <c r="B33" s="1" t="s">
        <v>2370</v>
      </c>
      <c r="C33" s="1" t="s">
        <v>2370</v>
      </c>
      <c r="D33" s="1">
        <v>1.0</v>
      </c>
      <c r="E33" s="1" t="s">
        <v>2273</v>
      </c>
      <c r="F33" s="30" t="s">
        <v>2371</v>
      </c>
      <c r="G33" s="30" t="s">
        <v>2372</v>
      </c>
      <c r="H33" s="30" t="s">
        <v>2373</v>
      </c>
      <c r="I33" s="1">
        <v>41.0</v>
      </c>
      <c r="J33" s="1">
        <v>43.0</v>
      </c>
      <c r="K33" s="1">
        <v>2.52602739726027</v>
      </c>
      <c r="L33" s="31"/>
      <c r="U33" s="1" t="s">
        <v>2274</v>
      </c>
    </row>
    <row r="34">
      <c r="A34" s="1">
        <v>33.0</v>
      </c>
      <c r="B34" s="1" t="s">
        <v>2374</v>
      </c>
      <c r="C34" s="1" t="s">
        <v>2375</v>
      </c>
      <c r="D34" s="1">
        <v>1.0</v>
      </c>
      <c r="E34" s="1" t="s">
        <v>2273</v>
      </c>
      <c r="F34" s="30" t="s">
        <v>2376</v>
      </c>
      <c r="G34" s="30" t="s">
        <v>2377</v>
      </c>
      <c r="H34" s="30" t="s">
        <v>2378</v>
      </c>
      <c r="I34" s="1">
        <v>28.0</v>
      </c>
      <c r="J34" s="1">
        <v>50.0</v>
      </c>
      <c r="K34" s="1">
        <v>21.9150684931506</v>
      </c>
      <c r="L34" s="31"/>
      <c r="U34" s="1" t="s">
        <v>2274</v>
      </c>
    </row>
    <row r="35">
      <c r="A35" s="1">
        <v>34.0</v>
      </c>
      <c r="B35" s="1" t="s">
        <v>2379</v>
      </c>
      <c r="C35" s="1" t="s">
        <v>2379</v>
      </c>
      <c r="D35" s="1">
        <v>1.0</v>
      </c>
      <c r="E35" s="1" t="s">
        <v>2273</v>
      </c>
      <c r="F35" s="30" t="s">
        <v>2380</v>
      </c>
      <c r="G35" s="30" t="s">
        <v>2381</v>
      </c>
      <c r="H35" s="30" t="s">
        <v>2382</v>
      </c>
      <c r="I35" s="1">
        <v>45.0</v>
      </c>
      <c r="J35" s="1">
        <v>46.0</v>
      </c>
      <c r="K35" s="1">
        <v>0.718579234972677</v>
      </c>
      <c r="L35" s="31"/>
      <c r="U35" s="1" t="s">
        <v>2274</v>
      </c>
    </row>
    <row r="36">
      <c r="A36" s="1">
        <v>35.0</v>
      </c>
      <c r="B36" s="1" t="s">
        <v>2383</v>
      </c>
      <c r="C36" s="1" t="s">
        <v>2384</v>
      </c>
      <c r="D36" s="1">
        <v>1.0</v>
      </c>
      <c r="E36" s="1" t="s">
        <v>2273</v>
      </c>
      <c r="F36" s="30" t="s">
        <v>2385</v>
      </c>
      <c r="G36" s="30" t="s">
        <v>2386</v>
      </c>
      <c r="H36" s="30" t="s">
        <v>2387</v>
      </c>
      <c r="I36" s="1">
        <v>56.0</v>
      </c>
      <c r="J36" s="1">
        <v>71.0</v>
      </c>
      <c r="K36" s="1">
        <v>15.1803278688524</v>
      </c>
      <c r="L36" s="31"/>
      <c r="U36" s="1" t="s">
        <v>2274</v>
      </c>
    </row>
    <row r="37">
      <c r="A37" s="1">
        <v>36.0</v>
      </c>
      <c r="B37" s="1" t="s">
        <v>2388</v>
      </c>
      <c r="C37" s="1" t="s">
        <v>2388</v>
      </c>
      <c r="D37" s="1">
        <v>1.0</v>
      </c>
      <c r="E37" s="1" t="s">
        <v>58</v>
      </c>
      <c r="F37" s="30" t="s">
        <v>2389</v>
      </c>
      <c r="G37" s="30" t="s">
        <v>2390</v>
      </c>
      <c r="H37" s="30" t="s">
        <v>2391</v>
      </c>
      <c r="I37" s="1">
        <v>41.0</v>
      </c>
      <c r="J37" s="1">
        <v>56.0</v>
      </c>
      <c r="K37" s="1">
        <v>14.3561643835616</v>
      </c>
      <c r="L37" s="31"/>
      <c r="U37" s="1" t="s">
        <v>2274</v>
      </c>
    </row>
    <row r="38">
      <c r="A38" s="1">
        <v>37.0</v>
      </c>
      <c r="B38" s="1" t="s">
        <v>2392</v>
      </c>
      <c r="C38" s="1" t="s">
        <v>2393</v>
      </c>
      <c r="D38" s="1">
        <v>1.0</v>
      </c>
      <c r="E38" s="1" t="s">
        <v>2273</v>
      </c>
      <c r="F38" s="30" t="s">
        <v>2394</v>
      </c>
      <c r="G38" s="30" t="s">
        <v>2395</v>
      </c>
      <c r="H38" s="30" t="s">
        <v>2396</v>
      </c>
      <c r="I38" s="1">
        <v>61.0</v>
      </c>
      <c r="J38" s="1">
        <v>79.0</v>
      </c>
      <c r="K38" s="1">
        <v>18.1945205479452</v>
      </c>
      <c r="L38" s="31"/>
      <c r="U38" s="1" t="s">
        <v>2274</v>
      </c>
    </row>
    <row r="39">
      <c r="A39" s="1">
        <v>38.0</v>
      </c>
      <c r="B39" s="1" t="s">
        <v>2397</v>
      </c>
      <c r="C39" s="1" t="s">
        <v>2397</v>
      </c>
      <c r="D39" s="1">
        <v>1.0</v>
      </c>
      <c r="E39" s="1" t="s">
        <v>2273</v>
      </c>
      <c r="F39" s="30" t="s">
        <v>2398</v>
      </c>
      <c r="G39" s="30" t="s">
        <v>2399</v>
      </c>
      <c r="H39" s="30" t="s">
        <v>2400</v>
      </c>
      <c r="I39" s="1">
        <v>50.0</v>
      </c>
      <c r="J39" s="1">
        <v>65.0</v>
      </c>
      <c r="K39" s="1">
        <v>14.9424657534246</v>
      </c>
      <c r="L39" s="31"/>
      <c r="U39" s="1" t="s">
        <v>2274</v>
      </c>
    </row>
    <row r="40">
      <c r="A40" s="1">
        <v>39.0</v>
      </c>
      <c r="B40" s="1" t="s">
        <v>2401</v>
      </c>
      <c r="C40" s="1" t="s">
        <v>2402</v>
      </c>
      <c r="D40" s="1">
        <v>1.0</v>
      </c>
      <c r="E40" s="1" t="s">
        <v>2273</v>
      </c>
      <c r="F40" s="30" t="s">
        <v>2403</v>
      </c>
      <c r="G40" s="30" t="s">
        <v>2404</v>
      </c>
      <c r="H40" s="30" t="s">
        <v>2405</v>
      </c>
      <c r="I40" s="1">
        <v>59.0</v>
      </c>
      <c r="J40" s="1">
        <v>61.0</v>
      </c>
      <c r="K40" s="1">
        <v>2.06027397260273</v>
      </c>
      <c r="L40" s="31"/>
      <c r="U40" s="1" t="s">
        <v>2274</v>
      </c>
    </row>
    <row r="41">
      <c r="A41" s="1">
        <v>40.0</v>
      </c>
      <c r="B41" s="1" t="s">
        <v>2406</v>
      </c>
      <c r="C41" s="1" t="s">
        <v>2407</v>
      </c>
      <c r="D41" s="1">
        <v>1.0</v>
      </c>
      <c r="E41" s="1" t="s">
        <v>2273</v>
      </c>
      <c r="F41" s="30" t="s">
        <v>2408</v>
      </c>
      <c r="G41" s="30" t="s">
        <v>2409</v>
      </c>
      <c r="H41" s="30" t="s">
        <v>2410</v>
      </c>
      <c r="I41" s="1">
        <v>23.0</v>
      </c>
      <c r="J41" s="1">
        <v>38.0</v>
      </c>
      <c r="K41" s="1">
        <v>15.2219178082191</v>
      </c>
      <c r="L41" s="31"/>
      <c r="U41" s="1" t="s">
        <v>2274</v>
      </c>
    </row>
    <row r="42">
      <c r="A42" s="1">
        <v>41.0</v>
      </c>
      <c r="B42" s="1" t="s">
        <v>2411</v>
      </c>
      <c r="C42" s="1" t="s">
        <v>2411</v>
      </c>
      <c r="D42" s="1">
        <v>1.0</v>
      </c>
      <c r="E42" s="1" t="s">
        <v>2273</v>
      </c>
      <c r="F42" s="30" t="s">
        <v>2412</v>
      </c>
      <c r="G42" s="30" t="s">
        <v>2413</v>
      </c>
      <c r="H42" s="30" t="s">
        <v>2414</v>
      </c>
      <c r="I42" s="1">
        <v>46.0</v>
      </c>
      <c r="J42" s="1">
        <v>48.0</v>
      </c>
      <c r="K42" s="1">
        <v>1.77534246575342</v>
      </c>
      <c r="L42" s="31"/>
      <c r="U42" s="1" t="s">
        <v>2274</v>
      </c>
    </row>
    <row r="43">
      <c r="A43" s="1">
        <v>42.0</v>
      </c>
      <c r="B43" s="1" t="s">
        <v>2415</v>
      </c>
      <c r="C43" s="1" t="s">
        <v>2416</v>
      </c>
      <c r="D43" s="1">
        <v>1.0</v>
      </c>
      <c r="E43" s="1" t="s">
        <v>2273</v>
      </c>
      <c r="F43" s="30" t="s">
        <v>2417</v>
      </c>
      <c r="G43" s="30" t="s">
        <v>2418</v>
      </c>
      <c r="H43" s="30" t="s">
        <v>2419</v>
      </c>
      <c r="I43" s="1">
        <v>41.0</v>
      </c>
      <c r="J43" s="1">
        <v>45.0</v>
      </c>
      <c r="K43" s="1">
        <v>3.68493150684931</v>
      </c>
      <c r="L43" s="31"/>
      <c r="U43" s="1" t="s">
        <v>2274</v>
      </c>
    </row>
    <row r="44">
      <c r="A44" s="1">
        <v>43.0</v>
      </c>
      <c r="B44" s="1" t="s">
        <v>2420</v>
      </c>
      <c r="C44" s="1" t="s">
        <v>2421</v>
      </c>
      <c r="D44" s="1">
        <v>1.0</v>
      </c>
      <c r="E44" s="1" t="s">
        <v>2273</v>
      </c>
      <c r="F44" s="30" t="s">
        <v>2422</v>
      </c>
      <c r="G44" s="30" t="s">
        <v>2423</v>
      </c>
      <c r="H44" s="30" t="s">
        <v>2424</v>
      </c>
      <c r="I44" s="1">
        <v>42.0</v>
      </c>
      <c r="J44" s="1">
        <v>52.0</v>
      </c>
      <c r="K44" s="1">
        <v>9.87704918032787</v>
      </c>
      <c r="L44" s="31"/>
      <c r="U44" s="1" t="s">
        <v>2274</v>
      </c>
    </row>
    <row r="45">
      <c r="A45" s="1">
        <v>44.0</v>
      </c>
      <c r="B45" s="1" t="s">
        <v>2425</v>
      </c>
      <c r="C45" s="1" t="s">
        <v>2285</v>
      </c>
      <c r="D45" s="1">
        <v>3.0</v>
      </c>
      <c r="E45" s="1" t="s">
        <v>2273</v>
      </c>
      <c r="F45" s="30" t="s">
        <v>2426</v>
      </c>
      <c r="G45" s="30" t="s">
        <v>2427</v>
      </c>
      <c r="H45" s="30" t="s">
        <v>2428</v>
      </c>
      <c r="I45" s="1">
        <v>42.0</v>
      </c>
      <c r="J45" s="1">
        <v>50.0</v>
      </c>
      <c r="K45" s="1">
        <v>8.04931506849315</v>
      </c>
      <c r="L45" s="31"/>
      <c r="U45" s="1" t="s">
        <v>2274</v>
      </c>
    </row>
    <row r="46">
      <c r="A46" s="1">
        <v>45.0</v>
      </c>
      <c r="B46" s="1" t="s">
        <v>2429</v>
      </c>
      <c r="C46" s="1" t="s">
        <v>2430</v>
      </c>
      <c r="D46" s="1">
        <v>1.0</v>
      </c>
      <c r="E46" s="1" t="s">
        <v>2273</v>
      </c>
      <c r="F46" s="30" t="s">
        <v>2426</v>
      </c>
      <c r="G46" s="30" t="s">
        <v>2431</v>
      </c>
      <c r="H46" s="30" t="s">
        <v>2432</v>
      </c>
      <c r="I46" s="1">
        <v>50.0</v>
      </c>
      <c r="J46" s="1">
        <v>71.0</v>
      </c>
      <c r="K46" s="1">
        <v>21.1150684931506</v>
      </c>
      <c r="L46" s="31"/>
      <c r="U46" s="1" t="s">
        <v>2274</v>
      </c>
    </row>
    <row r="47">
      <c r="A47" s="1">
        <v>46.0</v>
      </c>
      <c r="B47" s="1" t="s">
        <v>2433</v>
      </c>
      <c r="C47" s="1" t="s">
        <v>2433</v>
      </c>
      <c r="D47" s="1">
        <v>1.0</v>
      </c>
      <c r="E47" s="1" t="s">
        <v>2273</v>
      </c>
      <c r="F47" s="30" t="s">
        <v>2434</v>
      </c>
      <c r="G47" s="30" t="s">
        <v>2435</v>
      </c>
      <c r="H47" s="30" t="s">
        <v>2436</v>
      </c>
      <c r="I47" s="1">
        <v>61.0</v>
      </c>
      <c r="J47" s="1">
        <v>67.0</v>
      </c>
      <c r="K47" s="1">
        <v>6.27868852459016</v>
      </c>
      <c r="L47" s="31"/>
      <c r="U47" s="1" t="s">
        <v>2274</v>
      </c>
    </row>
    <row r="48">
      <c r="A48" s="1">
        <v>47.0</v>
      </c>
      <c r="B48" s="1" t="s">
        <v>2437</v>
      </c>
      <c r="C48" s="1" t="s">
        <v>2437</v>
      </c>
      <c r="D48" s="1">
        <v>1.0</v>
      </c>
      <c r="E48" s="1" t="s">
        <v>2273</v>
      </c>
      <c r="F48" s="30" t="s">
        <v>2438</v>
      </c>
      <c r="G48" s="30" t="s">
        <v>2439</v>
      </c>
      <c r="H48" s="30" t="s">
        <v>2440</v>
      </c>
      <c r="I48" s="1">
        <v>37.0</v>
      </c>
      <c r="J48" s="1">
        <v>52.0</v>
      </c>
      <c r="K48" s="1">
        <v>15.0191256830601</v>
      </c>
      <c r="L48" s="31"/>
      <c r="U48" s="1" t="s">
        <v>2274</v>
      </c>
    </row>
    <row r="49">
      <c r="A49" s="1">
        <v>48.0</v>
      </c>
      <c r="B49" s="1" t="s">
        <v>2441</v>
      </c>
      <c r="C49" s="1" t="s">
        <v>2346</v>
      </c>
      <c r="D49" s="1">
        <v>3.0</v>
      </c>
      <c r="E49" s="1" t="s">
        <v>2273</v>
      </c>
      <c r="F49" s="30" t="s">
        <v>2442</v>
      </c>
      <c r="G49" s="30" t="s">
        <v>2443</v>
      </c>
      <c r="H49" s="30" t="s">
        <v>2444</v>
      </c>
      <c r="I49" s="1">
        <v>42.0</v>
      </c>
      <c r="J49" s="1">
        <v>51.0</v>
      </c>
      <c r="K49" s="1">
        <v>8.96721311475409</v>
      </c>
      <c r="L49" s="31"/>
      <c r="U49" s="1" t="s">
        <v>2274</v>
      </c>
    </row>
    <row r="50">
      <c r="A50" s="1">
        <v>49.0</v>
      </c>
      <c r="B50" s="1" t="s">
        <v>2445</v>
      </c>
      <c r="C50" s="1" t="s">
        <v>2446</v>
      </c>
      <c r="D50" s="1">
        <v>1.0</v>
      </c>
      <c r="E50" s="1" t="s">
        <v>2273</v>
      </c>
      <c r="F50" s="30" t="s">
        <v>2447</v>
      </c>
      <c r="G50" s="30" t="s">
        <v>2444</v>
      </c>
      <c r="H50" s="30" t="s">
        <v>2448</v>
      </c>
      <c r="I50" s="1">
        <v>81.0</v>
      </c>
      <c r="J50" s="1">
        <v>86.0</v>
      </c>
      <c r="K50" s="1">
        <v>4.72602739726027</v>
      </c>
      <c r="L50" s="31"/>
      <c r="U50" s="1" t="s">
        <v>2274</v>
      </c>
    </row>
    <row r="51">
      <c r="A51" s="1">
        <v>50.0</v>
      </c>
      <c r="B51" s="1" t="s">
        <v>2449</v>
      </c>
      <c r="C51" s="1" t="s">
        <v>2402</v>
      </c>
      <c r="D51" s="1">
        <v>2.0</v>
      </c>
      <c r="E51" s="1" t="s">
        <v>58</v>
      </c>
      <c r="F51" s="30" t="s">
        <v>2450</v>
      </c>
      <c r="G51" s="30" t="s">
        <v>2451</v>
      </c>
      <c r="H51" s="30" t="s">
        <v>2452</v>
      </c>
      <c r="I51" s="1">
        <v>51.0</v>
      </c>
      <c r="J51" s="1">
        <v>53.0</v>
      </c>
      <c r="K51" s="1">
        <v>1.98630136986301</v>
      </c>
      <c r="L51" s="31"/>
      <c r="U51" s="1" t="s">
        <v>2274</v>
      </c>
    </row>
    <row r="52">
      <c r="A52" s="1">
        <v>51.0</v>
      </c>
      <c r="B52" s="1" t="s">
        <v>2453</v>
      </c>
      <c r="C52" s="1" t="s">
        <v>2453</v>
      </c>
      <c r="D52" s="1">
        <v>1.0</v>
      </c>
      <c r="E52" s="1" t="s">
        <v>2273</v>
      </c>
      <c r="F52" s="30" t="s">
        <v>2454</v>
      </c>
      <c r="G52" s="30" t="s">
        <v>2455</v>
      </c>
      <c r="H52" s="30" t="s">
        <v>2456</v>
      </c>
      <c r="I52" s="1">
        <v>38.0</v>
      </c>
      <c r="J52" s="1">
        <v>54.0</v>
      </c>
      <c r="K52" s="1">
        <v>15.6547945205479</v>
      </c>
      <c r="L52" s="31"/>
      <c r="U52" s="1" t="s">
        <v>2274</v>
      </c>
    </row>
    <row r="53">
      <c r="A53" s="1">
        <v>52.0</v>
      </c>
      <c r="B53" s="1" t="s">
        <v>2457</v>
      </c>
      <c r="C53" s="1" t="s">
        <v>2457</v>
      </c>
      <c r="D53" s="1">
        <v>1.0</v>
      </c>
      <c r="E53" s="1" t="s">
        <v>2273</v>
      </c>
      <c r="F53" s="30" t="s">
        <v>2458</v>
      </c>
      <c r="G53" s="30" t="s">
        <v>2459</v>
      </c>
      <c r="H53" s="30" t="s">
        <v>2460</v>
      </c>
      <c r="I53" s="1">
        <v>64.0</v>
      </c>
      <c r="J53" s="1">
        <v>73.0</v>
      </c>
      <c r="K53" s="1">
        <v>9.04644808743169</v>
      </c>
      <c r="L53" s="31"/>
      <c r="U53" s="1" t="s">
        <v>2274</v>
      </c>
    </row>
    <row r="54">
      <c r="A54" s="1">
        <v>53.0</v>
      </c>
      <c r="B54" s="1" t="s">
        <v>2461</v>
      </c>
      <c r="C54" s="1" t="s">
        <v>2462</v>
      </c>
      <c r="D54" s="1">
        <v>1.0</v>
      </c>
      <c r="E54" s="1" t="s">
        <v>2273</v>
      </c>
      <c r="F54" s="30" t="s">
        <v>2463</v>
      </c>
      <c r="G54" s="30" t="s">
        <v>2464</v>
      </c>
      <c r="H54" s="30" t="s">
        <v>2465</v>
      </c>
      <c r="I54" s="1">
        <v>53.0</v>
      </c>
      <c r="J54" s="1">
        <v>55.0</v>
      </c>
      <c r="K54" s="1">
        <v>2.76164383561643</v>
      </c>
      <c r="L54" s="31"/>
      <c r="U54" s="1" t="s">
        <v>2274</v>
      </c>
    </row>
    <row r="55">
      <c r="A55" s="1">
        <v>54.0</v>
      </c>
      <c r="B55" s="1" t="s">
        <v>2466</v>
      </c>
      <c r="C55" s="1" t="s">
        <v>2346</v>
      </c>
      <c r="D55" s="1">
        <v>4.0</v>
      </c>
      <c r="E55" s="1" t="s">
        <v>2273</v>
      </c>
      <c r="F55" s="30" t="s">
        <v>2467</v>
      </c>
      <c r="G55" s="30" t="s">
        <v>2468</v>
      </c>
      <c r="H55" s="30" t="s">
        <v>2469</v>
      </c>
      <c r="I55" s="1">
        <v>36.0</v>
      </c>
      <c r="J55" s="1">
        <v>40.0</v>
      </c>
      <c r="K55" s="1">
        <v>4.1972602739726</v>
      </c>
      <c r="L55" s="31"/>
      <c r="U55" s="1" t="s">
        <v>2274</v>
      </c>
    </row>
    <row r="56">
      <c r="A56" s="1">
        <v>55.0</v>
      </c>
      <c r="B56" s="1" t="s">
        <v>2470</v>
      </c>
      <c r="C56" s="1" t="s">
        <v>2416</v>
      </c>
      <c r="D56" s="1">
        <v>2.0</v>
      </c>
      <c r="E56" s="1" t="s">
        <v>58</v>
      </c>
      <c r="F56" s="30" t="s">
        <v>2467</v>
      </c>
      <c r="G56" s="30" t="s">
        <v>2469</v>
      </c>
      <c r="H56" s="30" t="s">
        <v>2471</v>
      </c>
      <c r="I56" s="1">
        <v>40.0</v>
      </c>
      <c r="J56" s="1">
        <v>42.0</v>
      </c>
      <c r="K56" s="1">
        <v>2.06849315068493</v>
      </c>
      <c r="L56" s="31"/>
      <c r="U56" s="1" t="s">
        <v>2274</v>
      </c>
    </row>
    <row r="57">
      <c r="A57" s="1">
        <v>56.0</v>
      </c>
      <c r="B57" s="1" t="s">
        <v>2472</v>
      </c>
      <c r="C57" s="1" t="s">
        <v>2462</v>
      </c>
      <c r="D57" s="1">
        <v>2.0</v>
      </c>
      <c r="E57" s="1" t="s">
        <v>58</v>
      </c>
      <c r="F57" s="30" t="s">
        <v>2473</v>
      </c>
      <c r="G57" s="30" t="s">
        <v>2474</v>
      </c>
      <c r="H57" s="30" t="s">
        <v>2475</v>
      </c>
      <c r="I57" s="1">
        <v>59.0</v>
      </c>
      <c r="J57" s="1">
        <v>61.0</v>
      </c>
      <c r="K57" s="1">
        <v>2.34520547945205</v>
      </c>
      <c r="L57" s="31"/>
      <c r="U57" s="1" t="s">
        <v>2274</v>
      </c>
    </row>
    <row r="58">
      <c r="A58" s="1">
        <v>57.0</v>
      </c>
      <c r="B58" s="1" t="s">
        <v>2476</v>
      </c>
      <c r="C58" s="1" t="s">
        <v>2477</v>
      </c>
      <c r="D58" s="1">
        <v>1.0</v>
      </c>
      <c r="E58" s="1" t="s">
        <v>2273</v>
      </c>
      <c r="F58" s="30" t="s">
        <v>2467</v>
      </c>
      <c r="G58" s="30" t="s">
        <v>2478</v>
      </c>
      <c r="H58" s="30" t="s">
        <v>2479</v>
      </c>
      <c r="I58" s="1">
        <v>44.0</v>
      </c>
      <c r="J58" s="1">
        <v>45.0</v>
      </c>
      <c r="K58" s="1">
        <v>0.942622950819672</v>
      </c>
      <c r="L58" s="31"/>
      <c r="U58" s="1" t="s">
        <v>2274</v>
      </c>
    </row>
    <row r="59">
      <c r="A59" s="1">
        <v>58.0</v>
      </c>
      <c r="B59" s="1" t="s">
        <v>2480</v>
      </c>
      <c r="C59" s="1" t="s">
        <v>2480</v>
      </c>
      <c r="D59" s="1">
        <v>1.0</v>
      </c>
      <c r="E59" s="1" t="s">
        <v>2273</v>
      </c>
      <c r="F59" s="30" t="s">
        <v>2481</v>
      </c>
      <c r="G59" s="30" t="s">
        <v>2482</v>
      </c>
      <c r="H59" s="30" t="s">
        <v>2483</v>
      </c>
      <c r="I59" s="1">
        <v>55.0</v>
      </c>
      <c r="J59" s="1">
        <v>56.0</v>
      </c>
      <c r="K59" s="1">
        <v>0.756164383561643</v>
      </c>
      <c r="L59" s="31"/>
      <c r="U59" s="1" t="s">
        <v>2274</v>
      </c>
    </row>
    <row r="60">
      <c r="A60" s="1">
        <v>59.0</v>
      </c>
      <c r="B60" s="1" t="s">
        <v>2484</v>
      </c>
      <c r="C60" s="1" t="s">
        <v>2484</v>
      </c>
      <c r="D60" s="1">
        <v>1.0</v>
      </c>
      <c r="E60" s="1" t="s">
        <v>58</v>
      </c>
      <c r="F60" s="30" t="s">
        <v>2485</v>
      </c>
      <c r="G60" s="30" t="s">
        <v>2486</v>
      </c>
      <c r="H60" s="30" t="s">
        <v>2487</v>
      </c>
      <c r="I60" s="1">
        <v>36.0</v>
      </c>
      <c r="J60" s="1">
        <v>54.0</v>
      </c>
      <c r="K60" s="1">
        <v>18.191256830601</v>
      </c>
      <c r="L60" s="31"/>
      <c r="U60" s="1" t="s">
        <v>2274</v>
      </c>
    </row>
    <row r="61">
      <c r="A61" s="1">
        <v>60.0</v>
      </c>
      <c r="B61" s="1" t="s">
        <v>2488</v>
      </c>
      <c r="C61" s="1" t="s">
        <v>2489</v>
      </c>
      <c r="D61" s="1">
        <v>1.0</v>
      </c>
      <c r="E61" s="1" t="s">
        <v>58</v>
      </c>
      <c r="F61" s="30" t="s">
        <v>2490</v>
      </c>
      <c r="G61" s="30" t="s">
        <v>2491</v>
      </c>
      <c r="H61" s="30" t="s">
        <v>2492</v>
      </c>
      <c r="I61" s="1">
        <v>50.0</v>
      </c>
      <c r="J61" s="1">
        <v>55.0</v>
      </c>
      <c r="K61" s="1">
        <v>4.88219178082191</v>
      </c>
      <c r="L61" s="31"/>
      <c r="U61" s="1" t="s">
        <v>2274</v>
      </c>
    </row>
    <row r="62">
      <c r="A62" s="1">
        <v>61.0</v>
      </c>
      <c r="B62" s="1" t="s">
        <v>2493</v>
      </c>
      <c r="C62" s="1" t="s">
        <v>2462</v>
      </c>
      <c r="D62" s="1">
        <v>3.0</v>
      </c>
      <c r="E62" s="1" t="s">
        <v>58</v>
      </c>
      <c r="F62" s="30" t="s">
        <v>2494</v>
      </c>
      <c r="G62" s="30" t="s">
        <v>2495</v>
      </c>
      <c r="H62" s="30" t="s">
        <v>2496</v>
      </c>
      <c r="I62" s="1">
        <v>41.0</v>
      </c>
      <c r="J62" s="1">
        <v>54.0</v>
      </c>
      <c r="K62" s="1">
        <v>12.9890410958904</v>
      </c>
      <c r="L62" s="31"/>
      <c r="U62" s="1" t="s">
        <v>2274</v>
      </c>
    </row>
    <row r="63">
      <c r="A63" s="1">
        <v>62.0</v>
      </c>
      <c r="B63" s="1" t="s">
        <v>2497</v>
      </c>
      <c r="C63" s="1" t="s">
        <v>2498</v>
      </c>
      <c r="D63" s="1">
        <v>1.0</v>
      </c>
      <c r="E63" s="1" t="s">
        <v>58</v>
      </c>
      <c r="F63" s="30" t="s">
        <v>2499</v>
      </c>
      <c r="G63" s="30" t="s">
        <v>2500</v>
      </c>
      <c r="H63" s="30" t="s">
        <v>2501</v>
      </c>
      <c r="I63" s="1">
        <v>49.0</v>
      </c>
      <c r="J63" s="1">
        <v>54.0</v>
      </c>
      <c r="K63" s="1">
        <v>4.15846994535519</v>
      </c>
      <c r="L63" s="31"/>
      <c r="U63" s="1" t="s">
        <v>2274</v>
      </c>
    </row>
    <row r="64">
      <c r="A64" s="1">
        <v>63.0</v>
      </c>
      <c r="B64" s="1" t="s">
        <v>2502</v>
      </c>
      <c r="C64" s="1" t="s">
        <v>2489</v>
      </c>
      <c r="D64" s="1">
        <v>2.0</v>
      </c>
      <c r="E64" s="1" t="s">
        <v>58</v>
      </c>
      <c r="F64" s="30" t="s">
        <v>2494</v>
      </c>
      <c r="G64" s="30" t="s">
        <v>2503</v>
      </c>
      <c r="H64" s="30" t="s">
        <v>2504</v>
      </c>
      <c r="I64" s="1">
        <v>59.0</v>
      </c>
      <c r="J64" s="1">
        <v>69.0</v>
      </c>
      <c r="K64" s="1">
        <v>10.2</v>
      </c>
      <c r="L64" s="31"/>
      <c r="U64" s="1" t="s">
        <v>2274</v>
      </c>
    </row>
    <row r="65">
      <c r="A65" s="1">
        <v>64.0</v>
      </c>
      <c r="B65" s="1" t="s">
        <v>2505</v>
      </c>
      <c r="C65" s="1" t="s">
        <v>2506</v>
      </c>
      <c r="D65" s="1">
        <v>1.0</v>
      </c>
      <c r="E65" s="1" t="s">
        <v>2273</v>
      </c>
      <c r="F65" s="30" t="s">
        <v>2507</v>
      </c>
      <c r="G65" s="30" t="s">
        <v>2508</v>
      </c>
      <c r="H65" s="30" t="s">
        <v>2509</v>
      </c>
      <c r="I65" s="1">
        <v>50.0</v>
      </c>
      <c r="J65" s="1">
        <v>63.0</v>
      </c>
      <c r="K65" s="1">
        <v>13.5218579234972</v>
      </c>
      <c r="L65" s="31"/>
      <c r="U65" s="1" t="s">
        <v>2274</v>
      </c>
    </row>
    <row r="66">
      <c r="A66" s="1">
        <v>65.0</v>
      </c>
      <c r="B66" s="1" t="s">
        <v>2510</v>
      </c>
      <c r="C66" s="1" t="s">
        <v>2510</v>
      </c>
      <c r="D66" s="1">
        <v>1.0</v>
      </c>
      <c r="E66" s="1" t="s">
        <v>58</v>
      </c>
      <c r="F66" s="30" t="s">
        <v>2511</v>
      </c>
      <c r="G66" s="30" t="s">
        <v>2512</v>
      </c>
      <c r="H66" s="30" t="s">
        <v>2513</v>
      </c>
      <c r="I66" s="1">
        <v>74.0</v>
      </c>
      <c r="J66" s="1">
        <v>75.0</v>
      </c>
      <c r="K66" s="1">
        <v>1.44383561643835</v>
      </c>
      <c r="L66" s="31"/>
      <c r="U66" s="1" t="s">
        <v>2274</v>
      </c>
    </row>
    <row r="67">
      <c r="A67" s="1">
        <v>66.0</v>
      </c>
      <c r="B67" s="1" t="s">
        <v>2514</v>
      </c>
      <c r="C67" s="1" t="s">
        <v>2416</v>
      </c>
      <c r="D67" s="1">
        <v>3.0</v>
      </c>
      <c r="E67" s="1" t="s">
        <v>58</v>
      </c>
      <c r="F67" s="30" t="s">
        <v>2507</v>
      </c>
      <c r="G67" s="30" t="s">
        <v>2515</v>
      </c>
      <c r="H67" s="30" t="s">
        <v>2516</v>
      </c>
      <c r="I67" s="1">
        <v>66.0</v>
      </c>
      <c r="J67" s="1">
        <v>67.0</v>
      </c>
      <c r="K67" s="1">
        <v>0.728767123287671</v>
      </c>
      <c r="L67" s="31"/>
      <c r="U67" s="1" t="s">
        <v>2274</v>
      </c>
    </row>
    <row r="68">
      <c r="A68" s="1">
        <v>67.0</v>
      </c>
      <c r="B68" s="1" t="s">
        <v>2517</v>
      </c>
      <c r="C68" s="1" t="s">
        <v>2416</v>
      </c>
      <c r="D68" s="1">
        <v>4.0</v>
      </c>
      <c r="E68" s="1" t="s">
        <v>2273</v>
      </c>
      <c r="F68" s="30" t="s">
        <v>2518</v>
      </c>
      <c r="G68" s="30" t="s">
        <v>2519</v>
      </c>
      <c r="H68" s="30" t="s">
        <v>2520</v>
      </c>
      <c r="I68" s="1">
        <v>58.0</v>
      </c>
      <c r="J68" s="1">
        <v>64.0</v>
      </c>
      <c r="K68" s="1">
        <v>6.64383561643835</v>
      </c>
      <c r="L68" s="31"/>
      <c r="U68" s="1" t="s">
        <v>2274</v>
      </c>
    </row>
    <row r="69">
      <c r="A69" s="1">
        <v>68.0</v>
      </c>
      <c r="B69" s="1" t="s">
        <v>2521</v>
      </c>
      <c r="C69" s="1" t="s">
        <v>2522</v>
      </c>
      <c r="D69" s="1">
        <v>1.0</v>
      </c>
      <c r="E69" s="1" t="s">
        <v>2273</v>
      </c>
      <c r="F69" s="30" t="s">
        <v>2523</v>
      </c>
      <c r="G69" s="30" t="s">
        <v>2524</v>
      </c>
      <c r="H69" s="30" t="s">
        <v>2525</v>
      </c>
      <c r="I69" s="1">
        <v>45.0</v>
      </c>
      <c r="J69" s="1">
        <v>48.0</v>
      </c>
      <c r="K69" s="1">
        <v>2.98630136986301</v>
      </c>
      <c r="L69" s="31"/>
      <c r="U69" s="1" t="s">
        <v>2274</v>
      </c>
    </row>
    <row r="70">
      <c r="A70" s="1">
        <v>69.0</v>
      </c>
      <c r="B70" s="1" t="s">
        <v>2526</v>
      </c>
      <c r="C70" s="1" t="s">
        <v>2416</v>
      </c>
      <c r="D70" s="1">
        <v>5.0</v>
      </c>
      <c r="E70" s="1" t="s">
        <v>58</v>
      </c>
      <c r="F70" s="30" t="s">
        <v>2527</v>
      </c>
      <c r="G70" s="30" t="s">
        <v>2528</v>
      </c>
      <c r="H70" s="30" t="s">
        <v>2529</v>
      </c>
      <c r="I70" s="1">
        <v>44.0</v>
      </c>
      <c r="J70" s="1">
        <v>50.0</v>
      </c>
      <c r="K70" s="1">
        <v>5.83835616438356</v>
      </c>
      <c r="L70" s="31"/>
      <c r="U70" s="1" t="s">
        <v>2274</v>
      </c>
    </row>
    <row r="71">
      <c r="A71" s="1">
        <v>70.0</v>
      </c>
      <c r="B71" s="1" t="s">
        <v>2530</v>
      </c>
      <c r="C71" s="1" t="s">
        <v>2531</v>
      </c>
      <c r="D71" s="1">
        <v>1.0</v>
      </c>
      <c r="E71" s="1" t="s">
        <v>58</v>
      </c>
      <c r="F71" s="30" t="s">
        <v>2532</v>
      </c>
      <c r="G71" s="30" t="s">
        <v>2533</v>
      </c>
      <c r="H71" s="30" t="s">
        <v>2534</v>
      </c>
      <c r="I71" s="1">
        <v>40.0</v>
      </c>
      <c r="J71" s="1">
        <v>53.0</v>
      </c>
      <c r="K71" s="1">
        <v>12.958904109589</v>
      </c>
      <c r="L71" s="31"/>
      <c r="U71" s="1" t="s">
        <v>2274</v>
      </c>
    </row>
    <row r="72">
      <c r="A72" s="1">
        <v>71.0</v>
      </c>
      <c r="B72" s="1" t="s">
        <v>2535</v>
      </c>
      <c r="C72" s="1" t="s">
        <v>2535</v>
      </c>
      <c r="D72" s="1">
        <v>1.0</v>
      </c>
      <c r="E72" s="1" t="s">
        <v>58</v>
      </c>
      <c r="F72" s="30" t="s">
        <v>2532</v>
      </c>
      <c r="G72" s="30" t="s">
        <v>2536</v>
      </c>
      <c r="H72" s="30" t="s">
        <v>2537</v>
      </c>
      <c r="I72" s="1">
        <v>54.0</v>
      </c>
      <c r="J72" s="1">
        <v>55.0</v>
      </c>
      <c r="K72" s="1">
        <v>0.180821917808219</v>
      </c>
      <c r="L72" s="31"/>
      <c r="U72" s="1" t="s">
        <v>2274</v>
      </c>
    </row>
    <row r="73">
      <c r="A73" s="1">
        <v>72.0</v>
      </c>
      <c r="B73" s="1" t="s">
        <v>2538</v>
      </c>
      <c r="C73" s="1" t="s">
        <v>2462</v>
      </c>
      <c r="D73" s="1">
        <v>4.0</v>
      </c>
      <c r="E73" s="1" t="s">
        <v>58</v>
      </c>
      <c r="F73" s="30" t="s">
        <v>2539</v>
      </c>
      <c r="G73" s="30" t="s">
        <v>2540</v>
      </c>
      <c r="H73" s="30" t="s">
        <v>2541</v>
      </c>
      <c r="I73" s="1">
        <v>53.0</v>
      </c>
      <c r="J73" s="1">
        <v>55.0</v>
      </c>
      <c r="K73" s="1">
        <v>1.8</v>
      </c>
      <c r="L73" s="31"/>
      <c r="U73" s="1" t="s">
        <v>2274</v>
      </c>
    </row>
    <row r="74">
      <c r="A74" s="1">
        <v>73.0</v>
      </c>
      <c r="B74" s="1" t="s">
        <v>2542</v>
      </c>
      <c r="C74" s="1" t="s">
        <v>2543</v>
      </c>
      <c r="D74" s="1">
        <v>1.0</v>
      </c>
      <c r="E74" s="1" t="s">
        <v>58</v>
      </c>
      <c r="F74" s="30" t="s">
        <v>2544</v>
      </c>
      <c r="G74" s="30" t="s">
        <v>2545</v>
      </c>
      <c r="H74" s="30" t="s">
        <v>2546</v>
      </c>
      <c r="I74" s="1">
        <v>32.0</v>
      </c>
      <c r="J74" s="1">
        <v>38.0</v>
      </c>
      <c r="K74" s="1">
        <v>6.46849315068493</v>
      </c>
      <c r="L74" s="31"/>
      <c r="U74" s="1" t="s">
        <v>2274</v>
      </c>
    </row>
    <row r="75">
      <c r="A75" s="1">
        <v>74.0</v>
      </c>
      <c r="B75" s="1" t="s">
        <v>2547</v>
      </c>
      <c r="C75" s="1" t="s">
        <v>2548</v>
      </c>
      <c r="D75" s="1">
        <v>1.0</v>
      </c>
      <c r="E75" s="1" t="s">
        <v>2273</v>
      </c>
      <c r="F75" s="30" t="s">
        <v>2549</v>
      </c>
      <c r="G75" s="30" t="s">
        <v>2550</v>
      </c>
      <c r="H75" s="30" t="s">
        <v>2551</v>
      </c>
      <c r="I75" s="1">
        <v>59.0</v>
      </c>
      <c r="J75" s="1">
        <v>65.0</v>
      </c>
      <c r="K75" s="1">
        <v>6.3551912568306</v>
      </c>
      <c r="L75" s="31"/>
      <c r="U75" s="1" t="s">
        <v>2274</v>
      </c>
    </row>
    <row r="76">
      <c r="A76" s="1">
        <v>75.0</v>
      </c>
      <c r="B76" s="1" t="s">
        <v>2552</v>
      </c>
      <c r="C76" s="1" t="s">
        <v>2553</v>
      </c>
      <c r="D76" s="1">
        <v>1.0</v>
      </c>
      <c r="E76" s="1" t="s">
        <v>2273</v>
      </c>
      <c r="F76" s="30" t="s">
        <v>2554</v>
      </c>
      <c r="G76" s="30" t="s">
        <v>2555</v>
      </c>
      <c r="H76" s="30" t="s">
        <v>2556</v>
      </c>
      <c r="I76" s="1">
        <v>39.0</v>
      </c>
      <c r="J76" s="1">
        <v>41.0</v>
      </c>
      <c r="K76" s="1">
        <v>2.81095890410958</v>
      </c>
      <c r="L76" s="31"/>
      <c r="U76" s="1" t="s">
        <v>2274</v>
      </c>
    </row>
    <row r="77">
      <c r="A77" s="1">
        <v>76.0</v>
      </c>
      <c r="B77" s="1" t="s">
        <v>2557</v>
      </c>
      <c r="C77" s="1" t="s">
        <v>2557</v>
      </c>
      <c r="D77" s="1">
        <v>1.0</v>
      </c>
      <c r="E77" s="1" t="s">
        <v>2273</v>
      </c>
      <c r="F77" s="30" t="s">
        <v>2558</v>
      </c>
      <c r="G77" s="30" t="s">
        <v>2559</v>
      </c>
      <c r="H77" s="30" t="s">
        <v>2560</v>
      </c>
      <c r="I77" s="1">
        <v>57.0</v>
      </c>
      <c r="J77" s="1">
        <v>71.0</v>
      </c>
      <c r="K77" s="1">
        <v>14.4945355191256</v>
      </c>
      <c r="L77" s="31"/>
      <c r="U77" s="1" t="s">
        <v>2274</v>
      </c>
    </row>
    <row r="78">
      <c r="A78" s="1">
        <v>77.0</v>
      </c>
      <c r="B78" s="1" t="s">
        <v>2561</v>
      </c>
      <c r="C78" s="1" t="s">
        <v>2522</v>
      </c>
      <c r="D78" s="1">
        <v>2.0</v>
      </c>
      <c r="E78" s="1" t="s">
        <v>58</v>
      </c>
      <c r="F78" s="30" t="s">
        <v>2562</v>
      </c>
      <c r="G78" s="30" t="s">
        <v>2563</v>
      </c>
      <c r="H78" s="30" t="s">
        <v>2564</v>
      </c>
      <c r="I78" s="1">
        <v>50.0</v>
      </c>
      <c r="J78" s="1">
        <v>54.0</v>
      </c>
      <c r="K78" s="1">
        <v>4.18356164383561</v>
      </c>
      <c r="L78" s="31"/>
      <c r="U78" s="1" t="s">
        <v>2274</v>
      </c>
    </row>
    <row r="79">
      <c r="A79" s="1">
        <v>78.0</v>
      </c>
      <c r="B79" s="1" t="s">
        <v>2565</v>
      </c>
      <c r="C79" s="1" t="s">
        <v>2565</v>
      </c>
      <c r="D79" s="1">
        <v>1.0</v>
      </c>
      <c r="E79" s="1" t="s">
        <v>58</v>
      </c>
      <c r="F79" s="30" t="s">
        <v>2544</v>
      </c>
      <c r="G79" s="30" t="s">
        <v>2566</v>
      </c>
      <c r="H79" s="30" t="s">
        <v>2567</v>
      </c>
      <c r="I79" s="1">
        <v>66.0</v>
      </c>
      <c r="J79" s="1">
        <v>67.0</v>
      </c>
      <c r="K79" s="1">
        <v>1.43835616438356</v>
      </c>
      <c r="L79" s="31"/>
      <c r="U79" s="1" t="s">
        <v>2274</v>
      </c>
    </row>
    <row r="80">
      <c r="A80" s="1">
        <v>79.0</v>
      </c>
      <c r="B80" s="1" t="s">
        <v>2568</v>
      </c>
      <c r="C80" s="1" t="s">
        <v>2568</v>
      </c>
      <c r="D80" s="1">
        <v>1.0</v>
      </c>
      <c r="E80" s="1" t="s">
        <v>2273</v>
      </c>
      <c r="F80" s="30" t="s">
        <v>2569</v>
      </c>
      <c r="G80" s="30" t="s">
        <v>2570</v>
      </c>
      <c r="H80" s="30" t="s">
        <v>2571</v>
      </c>
      <c r="I80" s="1">
        <v>100.0</v>
      </c>
      <c r="J80" s="1">
        <v>103.0</v>
      </c>
      <c r="K80" s="1">
        <v>2.53972602739726</v>
      </c>
      <c r="L80" s="31"/>
      <c r="U80" s="1" t="s">
        <v>2274</v>
      </c>
    </row>
    <row r="81">
      <c r="A81" s="1">
        <v>80.0</v>
      </c>
      <c r="B81" s="1" t="s">
        <v>2572</v>
      </c>
      <c r="C81" s="1" t="s">
        <v>2430</v>
      </c>
      <c r="D81" s="1">
        <v>2.0</v>
      </c>
      <c r="E81" s="1" t="s">
        <v>2273</v>
      </c>
      <c r="F81" s="30" t="s">
        <v>2573</v>
      </c>
      <c r="G81" s="30" t="s">
        <v>2574</v>
      </c>
      <c r="H81" s="30" t="s">
        <v>2575</v>
      </c>
      <c r="I81" s="1">
        <v>71.0</v>
      </c>
      <c r="J81" s="1">
        <v>72.0</v>
      </c>
      <c r="K81" s="1">
        <v>0.876712328767123</v>
      </c>
      <c r="L81" s="31"/>
      <c r="U81" s="1" t="s">
        <v>2274</v>
      </c>
    </row>
    <row r="82">
      <c r="A82" s="1">
        <v>81.0</v>
      </c>
      <c r="B82" s="1" t="s">
        <v>2576</v>
      </c>
      <c r="C82" s="1" t="s">
        <v>2498</v>
      </c>
      <c r="D82" s="1">
        <v>2.0</v>
      </c>
      <c r="E82" s="1" t="s">
        <v>2273</v>
      </c>
      <c r="F82" s="30" t="s">
        <v>2577</v>
      </c>
      <c r="G82" s="30" t="s">
        <v>2578</v>
      </c>
      <c r="H82" s="30" t="s">
        <v>2579</v>
      </c>
      <c r="I82" s="1">
        <v>48.0</v>
      </c>
      <c r="J82" s="1">
        <v>49.0</v>
      </c>
      <c r="K82" s="1">
        <v>0.865753424657534</v>
      </c>
      <c r="L82" s="31"/>
      <c r="U82" s="1" t="s">
        <v>2274</v>
      </c>
    </row>
    <row r="83">
      <c r="A83" s="1">
        <v>82.0</v>
      </c>
      <c r="B83" s="1" t="s">
        <v>2580</v>
      </c>
      <c r="C83" s="1" t="s">
        <v>2462</v>
      </c>
      <c r="D83" s="1">
        <v>5.0</v>
      </c>
      <c r="E83" s="1" t="s">
        <v>58</v>
      </c>
      <c r="F83" s="30" t="s">
        <v>2577</v>
      </c>
      <c r="G83" s="30" t="s">
        <v>2581</v>
      </c>
      <c r="H83" s="30" t="s">
        <v>2582</v>
      </c>
      <c r="I83" s="1">
        <v>50.0</v>
      </c>
      <c r="J83" s="1">
        <v>51.0</v>
      </c>
      <c r="K83" s="1">
        <v>1.02739726027397</v>
      </c>
      <c r="L83" s="31"/>
      <c r="U83" s="1" t="s">
        <v>2274</v>
      </c>
    </row>
    <row r="84">
      <c r="A84" s="1">
        <v>83.0</v>
      </c>
      <c r="B84" s="1" t="s">
        <v>2583</v>
      </c>
      <c r="C84" s="1" t="s">
        <v>2583</v>
      </c>
      <c r="D84" s="1">
        <v>1.0</v>
      </c>
      <c r="E84" s="1" t="s">
        <v>58</v>
      </c>
      <c r="F84" s="30" t="s">
        <v>2584</v>
      </c>
      <c r="G84" s="30" t="s">
        <v>2585</v>
      </c>
      <c r="H84" s="30" t="s">
        <v>2586</v>
      </c>
      <c r="I84" s="1">
        <v>56.0</v>
      </c>
      <c r="J84" s="1">
        <v>57.0</v>
      </c>
      <c r="K84" s="1">
        <v>0.917808219178082</v>
      </c>
      <c r="L84" s="31"/>
      <c r="U84" s="1" t="s">
        <v>2274</v>
      </c>
    </row>
    <row r="85">
      <c r="A85" s="1">
        <v>84.0</v>
      </c>
      <c r="B85" s="1" t="s">
        <v>2587</v>
      </c>
      <c r="C85" s="1" t="s">
        <v>2588</v>
      </c>
      <c r="D85" s="1">
        <v>1.0</v>
      </c>
      <c r="E85" s="1" t="s">
        <v>2273</v>
      </c>
      <c r="F85" s="30" t="s">
        <v>2589</v>
      </c>
      <c r="G85" s="30" t="s">
        <v>2590</v>
      </c>
      <c r="H85" s="30" t="s">
        <v>2591</v>
      </c>
      <c r="I85" s="1">
        <v>37.0</v>
      </c>
      <c r="J85" s="1">
        <v>51.0</v>
      </c>
      <c r="K85" s="1">
        <v>13.731506849315</v>
      </c>
      <c r="L85" s="31"/>
      <c r="U85" s="1" t="s">
        <v>2274</v>
      </c>
    </row>
    <row r="86">
      <c r="A86" s="1">
        <v>85.0</v>
      </c>
      <c r="B86" s="1" t="s">
        <v>2592</v>
      </c>
      <c r="C86" s="1" t="s">
        <v>2462</v>
      </c>
      <c r="D86" s="1">
        <v>6.0</v>
      </c>
      <c r="E86" s="1" t="s">
        <v>58</v>
      </c>
      <c r="F86" s="30" t="s">
        <v>2589</v>
      </c>
      <c r="G86" s="30" t="s">
        <v>2593</v>
      </c>
      <c r="H86" s="30" t="s">
        <v>2594</v>
      </c>
      <c r="I86" s="1">
        <v>51.0</v>
      </c>
      <c r="J86" s="1">
        <v>54.0</v>
      </c>
      <c r="K86" s="1">
        <v>3.2</v>
      </c>
      <c r="L86" s="31"/>
      <c r="U86" s="1" t="s">
        <v>2274</v>
      </c>
    </row>
    <row r="87">
      <c r="A87" s="1">
        <v>86.0</v>
      </c>
      <c r="B87" s="1" t="s">
        <v>2595</v>
      </c>
      <c r="C87" s="1" t="s">
        <v>2462</v>
      </c>
      <c r="D87" s="1">
        <v>7.0</v>
      </c>
      <c r="E87" s="1" t="s">
        <v>58</v>
      </c>
      <c r="F87" s="30" t="s">
        <v>2596</v>
      </c>
      <c r="G87" s="30" t="s">
        <v>2597</v>
      </c>
      <c r="H87" s="30" t="s">
        <v>2598</v>
      </c>
      <c r="I87" s="1">
        <v>49.0</v>
      </c>
      <c r="J87" s="1">
        <v>52.0</v>
      </c>
      <c r="K87" s="1">
        <v>2.6311475409836</v>
      </c>
      <c r="L87" s="31"/>
      <c r="U87" s="1" t="s">
        <v>2274</v>
      </c>
    </row>
    <row r="88">
      <c r="A88" s="1">
        <v>87.0</v>
      </c>
      <c r="B88" s="1" t="s">
        <v>2599</v>
      </c>
      <c r="C88" s="1" t="s">
        <v>2599</v>
      </c>
      <c r="D88" s="1">
        <v>1.0</v>
      </c>
      <c r="E88" s="1" t="s">
        <v>58</v>
      </c>
      <c r="F88" s="30" t="s">
        <v>2589</v>
      </c>
      <c r="G88" s="30" t="s">
        <v>2600</v>
      </c>
      <c r="H88" s="30" t="s">
        <v>2601</v>
      </c>
      <c r="I88" s="1">
        <v>57.0</v>
      </c>
      <c r="J88" s="1">
        <v>57.0</v>
      </c>
      <c r="K88" s="1">
        <v>0.0546448087431694</v>
      </c>
      <c r="L88" s="31"/>
      <c r="U88" s="1" t="s">
        <v>2274</v>
      </c>
    </row>
    <row r="89">
      <c r="A89" s="1">
        <v>88.0</v>
      </c>
      <c r="B89" s="1" t="s">
        <v>2602</v>
      </c>
      <c r="C89" s="1" t="s">
        <v>2602</v>
      </c>
      <c r="D89" s="1">
        <v>1.0</v>
      </c>
      <c r="E89" s="1" t="s">
        <v>58</v>
      </c>
      <c r="F89" s="30" t="s">
        <v>2603</v>
      </c>
      <c r="G89" s="30" t="s">
        <v>2604</v>
      </c>
      <c r="H89" s="30" t="s">
        <v>2605</v>
      </c>
      <c r="I89" s="1">
        <v>43.0</v>
      </c>
      <c r="J89" s="1">
        <v>50.0</v>
      </c>
      <c r="K89" s="1">
        <v>7.04098360655737</v>
      </c>
      <c r="L89" s="31"/>
      <c r="U89" s="1" t="s">
        <v>2274</v>
      </c>
    </row>
    <row r="90">
      <c r="A90" s="1">
        <v>89.0</v>
      </c>
      <c r="B90" s="1" t="s">
        <v>2606</v>
      </c>
      <c r="C90" s="1" t="s">
        <v>2506</v>
      </c>
      <c r="D90" s="1">
        <v>2.0</v>
      </c>
      <c r="E90" s="1" t="s">
        <v>2273</v>
      </c>
      <c r="F90" s="30" t="s">
        <v>2607</v>
      </c>
      <c r="G90" s="30" t="s">
        <v>2608</v>
      </c>
      <c r="H90" s="30" t="s">
        <v>2609</v>
      </c>
      <c r="I90" s="1">
        <v>45.0</v>
      </c>
      <c r="J90" s="1">
        <v>61.0</v>
      </c>
      <c r="K90" s="1">
        <v>15.7342465753424</v>
      </c>
      <c r="L90" s="31"/>
      <c r="U90" s="1" t="s">
        <v>2274</v>
      </c>
    </row>
    <row r="91">
      <c r="A91" s="1">
        <v>90.0</v>
      </c>
      <c r="B91" s="1" t="s">
        <v>2610</v>
      </c>
      <c r="C91" s="1" t="s">
        <v>2506</v>
      </c>
      <c r="D91" s="1">
        <v>3.0</v>
      </c>
      <c r="E91" s="1" t="s">
        <v>2273</v>
      </c>
      <c r="F91" s="30" t="s">
        <v>2607</v>
      </c>
      <c r="G91" s="30" t="s">
        <v>2611</v>
      </c>
      <c r="H91" s="30" t="s">
        <v>2612</v>
      </c>
      <c r="I91" s="1">
        <v>61.0</v>
      </c>
      <c r="J91" s="1">
        <v>72.0</v>
      </c>
      <c r="K91" s="1">
        <v>10.6986301369863</v>
      </c>
      <c r="L91" s="31"/>
      <c r="U91" s="1" t="s">
        <v>2274</v>
      </c>
    </row>
    <row r="92">
      <c r="A92" s="1">
        <v>91.0</v>
      </c>
      <c r="B92" s="1" t="s">
        <v>2613</v>
      </c>
      <c r="C92" s="1" t="s">
        <v>2613</v>
      </c>
      <c r="D92" s="1">
        <v>1.0</v>
      </c>
      <c r="E92" s="1" t="s">
        <v>2273</v>
      </c>
      <c r="F92" s="30" t="s">
        <v>2614</v>
      </c>
      <c r="G92" s="30" t="s">
        <v>2615</v>
      </c>
      <c r="H92" s="30" t="s">
        <v>2616</v>
      </c>
      <c r="I92" s="1">
        <v>62.0</v>
      </c>
      <c r="J92" s="1">
        <v>72.0</v>
      </c>
      <c r="K92" s="1">
        <v>10.3005464480874</v>
      </c>
      <c r="L92" s="31"/>
      <c r="U92" s="1" t="s">
        <v>2274</v>
      </c>
    </row>
    <row r="93">
      <c r="A93" s="1">
        <v>92.0</v>
      </c>
      <c r="B93" s="1" t="s">
        <v>2617</v>
      </c>
      <c r="C93" s="1" t="s">
        <v>2334</v>
      </c>
      <c r="D93" s="1">
        <v>2.0</v>
      </c>
      <c r="E93" s="1" t="s">
        <v>2273</v>
      </c>
      <c r="F93" s="30" t="s">
        <v>2618</v>
      </c>
      <c r="G93" s="30" t="s">
        <v>2619</v>
      </c>
      <c r="H93" s="30" t="s">
        <v>2620</v>
      </c>
      <c r="I93" s="1">
        <v>37.0</v>
      </c>
      <c r="J93" s="1">
        <v>42.0</v>
      </c>
      <c r="K93" s="1">
        <v>5.08493150684931</v>
      </c>
      <c r="L93" s="31"/>
      <c r="U93" s="1" t="s">
        <v>2274</v>
      </c>
    </row>
    <row r="94">
      <c r="A94" s="1">
        <v>93.0</v>
      </c>
      <c r="B94" s="1" t="s">
        <v>2621</v>
      </c>
      <c r="C94" s="1" t="s">
        <v>2622</v>
      </c>
      <c r="D94" s="1">
        <v>1.0</v>
      </c>
      <c r="E94" s="1" t="s">
        <v>2273</v>
      </c>
      <c r="F94" s="30" t="s">
        <v>2623</v>
      </c>
      <c r="G94" s="30" t="s">
        <v>2624</v>
      </c>
      <c r="H94" s="30" t="s">
        <v>2625</v>
      </c>
      <c r="I94" s="1">
        <v>56.0</v>
      </c>
      <c r="J94" s="1">
        <v>66.0</v>
      </c>
      <c r="K94" s="1">
        <v>10.0819672131147</v>
      </c>
      <c r="L94" s="31"/>
      <c r="U94" s="1" t="s">
        <v>2274</v>
      </c>
    </row>
    <row r="95">
      <c r="A95" s="1">
        <v>94.0</v>
      </c>
      <c r="B95" s="1" t="s">
        <v>2626</v>
      </c>
      <c r="C95" s="1" t="s">
        <v>2334</v>
      </c>
      <c r="D95" s="1">
        <v>3.0</v>
      </c>
      <c r="E95" s="1" t="s">
        <v>2273</v>
      </c>
      <c r="F95" s="30" t="s">
        <v>2627</v>
      </c>
      <c r="G95" s="30" t="s">
        <v>2628</v>
      </c>
      <c r="H95" s="30" t="s">
        <v>2629</v>
      </c>
      <c r="I95" s="1">
        <v>45.0</v>
      </c>
      <c r="J95" s="1">
        <v>48.0</v>
      </c>
      <c r="K95" s="1">
        <v>3.46448087431693</v>
      </c>
      <c r="L95" s="31"/>
      <c r="U95" s="1" t="s">
        <v>2274</v>
      </c>
    </row>
    <row r="96">
      <c r="A96" s="1">
        <v>95.0</v>
      </c>
      <c r="B96" s="1" t="s">
        <v>2630</v>
      </c>
      <c r="C96" s="1" t="s">
        <v>2631</v>
      </c>
      <c r="D96" s="1">
        <v>1.0</v>
      </c>
      <c r="E96" s="1" t="s">
        <v>58</v>
      </c>
      <c r="F96" s="30" t="s">
        <v>2623</v>
      </c>
      <c r="G96" s="30" t="s">
        <v>2632</v>
      </c>
      <c r="H96" s="30" t="s">
        <v>2633</v>
      </c>
      <c r="I96" s="1">
        <v>71.0</v>
      </c>
      <c r="J96" s="1">
        <v>95.0</v>
      </c>
      <c r="K96" s="1">
        <v>23.8986301369863</v>
      </c>
      <c r="L96" s="31"/>
      <c r="U96" s="1" t="s">
        <v>2274</v>
      </c>
    </row>
    <row r="97">
      <c r="A97" s="1">
        <v>96.0</v>
      </c>
      <c r="B97" s="1" t="s">
        <v>2634</v>
      </c>
      <c r="C97" s="1" t="s">
        <v>2430</v>
      </c>
      <c r="D97" s="1">
        <v>3.0</v>
      </c>
      <c r="E97" s="1" t="s">
        <v>2273</v>
      </c>
      <c r="F97" s="30" t="s">
        <v>2635</v>
      </c>
      <c r="G97" s="30" t="s">
        <v>2633</v>
      </c>
      <c r="H97" s="30" t="s">
        <v>2636</v>
      </c>
      <c r="I97" s="1">
        <v>45.0</v>
      </c>
      <c r="J97" s="1">
        <v>65.0</v>
      </c>
      <c r="K97" s="1">
        <v>20.4617486338797</v>
      </c>
      <c r="L97" s="31"/>
      <c r="U97" s="1" t="s">
        <v>2274</v>
      </c>
    </row>
    <row r="98">
      <c r="A98" s="1">
        <v>97.0</v>
      </c>
      <c r="B98" s="1" t="s">
        <v>2637</v>
      </c>
      <c r="C98" s="1" t="s">
        <v>2334</v>
      </c>
      <c r="D98" s="1">
        <v>4.0</v>
      </c>
      <c r="E98" s="1" t="s">
        <v>2273</v>
      </c>
      <c r="F98" s="30" t="s">
        <v>2638</v>
      </c>
      <c r="G98" s="30" t="s">
        <v>2639</v>
      </c>
      <c r="H98" s="30" t="s">
        <v>2640</v>
      </c>
      <c r="I98" s="1">
        <v>45.0</v>
      </c>
      <c r="J98" s="1">
        <v>46.0</v>
      </c>
      <c r="K98" s="1">
        <v>0.591780821917808</v>
      </c>
      <c r="L98" s="31"/>
      <c r="U98" s="1" t="s">
        <v>2274</v>
      </c>
    </row>
    <row r="99">
      <c r="A99" s="1">
        <v>98.0</v>
      </c>
      <c r="B99" s="1" t="s">
        <v>2641</v>
      </c>
      <c r="C99" s="1" t="s">
        <v>2642</v>
      </c>
      <c r="D99" s="1">
        <v>1.0</v>
      </c>
      <c r="E99" s="1" t="s">
        <v>2273</v>
      </c>
      <c r="F99" s="30" t="s">
        <v>2643</v>
      </c>
      <c r="G99" s="30" t="s">
        <v>2644</v>
      </c>
      <c r="H99" s="30" t="s">
        <v>2645</v>
      </c>
      <c r="I99" s="1">
        <v>41.0</v>
      </c>
      <c r="J99" s="1">
        <v>48.0</v>
      </c>
      <c r="K99" s="1">
        <v>7.04644808743169</v>
      </c>
      <c r="L99" s="31"/>
      <c r="U99" s="1" t="s">
        <v>2274</v>
      </c>
    </row>
    <row r="100">
      <c r="A100" s="1">
        <v>99.0</v>
      </c>
      <c r="B100" s="1" t="s">
        <v>2646</v>
      </c>
      <c r="C100" s="1" t="s">
        <v>2553</v>
      </c>
      <c r="D100" s="1">
        <v>2.0</v>
      </c>
      <c r="E100" s="1" t="s">
        <v>58</v>
      </c>
      <c r="F100" s="30" t="s">
        <v>2647</v>
      </c>
      <c r="G100" s="30" t="s">
        <v>2648</v>
      </c>
      <c r="H100" s="30" t="s">
        <v>2649</v>
      </c>
      <c r="I100" s="1">
        <v>43.0</v>
      </c>
      <c r="J100" s="1">
        <v>47.0</v>
      </c>
      <c r="K100" s="1">
        <v>3.30327868852459</v>
      </c>
      <c r="L100" s="31"/>
      <c r="U100" s="1" t="s">
        <v>2274</v>
      </c>
    </row>
    <row r="101">
      <c r="A101" s="1">
        <v>100.0</v>
      </c>
      <c r="B101" s="1" t="s">
        <v>2650</v>
      </c>
      <c r="C101" s="1" t="s">
        <v>2650</v>
      </c>
      <c r="D101" s="1">
        <v>1.0</v>
      </c>
      <c r="E101" s="1" t="s">
        <v>58</v>
      </c>
      <c r="F101" s="30" t="s">
        <v>2647</v>
      </c>
      <c r="G101" s="30" t="s">
        <v>2651</v>
      </c>
      <c r="H101" s="30" t="s">
        <v>2652</v>
      </c>
      <c r="I101" s="1">
        <v>47.0</v>
      </c>
      <c r="J101" s="1">
        <v>47.0</v>
      </c>
      <c r="K101" s="1">
        <v>0.109289617486338</v>
      </c>
      <c r="L101" s="31"/>
      <c r="U101" s="1" t="s">
        <v>2274</v>
      </c>
    </row>
    <row r="102">
      <c r="A102" s="1">
        <v>101.0</v>
      </c>
      <c r="B102" s="1" t="s">
        <v>2653</v>
      </c>
      <c r="C102" s="1" t="s">
        <v>2506</v>
      </c>
      <c r="D102" s="1">
        <v>4.0</v>
      </c>
      <c r="E102" s="1" t="s">
        <v>58</v>
      </c>
      <c r="F102" s="30" t="s">
        <v>2654</v>
      </c>
      <c r="G102" s="30" t="s">
        <v>2655</v>
      </c>
      <c r="H102" s="30" t="s">
        <v>2656</v>
      </c>
      <c r="I102" s="1">
        <v>37.0</v>
      </c>
      <c r="J102" s="1">
        <v>53.0</v>
      </c>
      <c r="K102" s="1">
        <v>16.0983606557377</v>
      </c>
      <c r="L102" s="31"/>
      <c r="U102" s="1" t="s">
        <v>2274</v>
      </c>
    </row>
    <row r="103">
      <c r="A103" s="1">
        <v>102.0</v>
      </c>
      <c r="B103" s="1" t="s">
        <v>2657</v>
      </c>
      <c r="C103" s="1" t="s">
        <v>2588</v>
      </c>
      <c r="D103" s="1">
        <v>2.0</v>
      </c>
      <c r="E103" s="1" t="s">
        <v>58</v>
      </c>
      <c r="F103" s="30" t="s">
        <v>2654</v>
      </c>
      <c r="G103" s="30" t="s">
        <v>2656</v>
      </c>
      <c r="H103" s="30" t="s">
        <v>2658</v>
      </c>
      <c r="I103" s="1">
        <v>53.0</v>
      </c>
      <c r="J103" s="1">
        <v>56.0</v>
      </c>
      <c r="K103" s="1">
        <v>3.00547945205479</v>
      </c>
      <c r="L103" s="31"/>
      <c r="U103" s="1" t="s">
        <v>2274</v>
      </c>
    </row>
    <row r="104">
      <c r="A104" s="1">
        <v>103.0</v>
      </c>
      <c r="B104" s="1" t="s">
        <v>2659</v>
      </c>
      <c r="C104" s="1" t="s">
        <v>2430</v>
      </c>
      <c r="D104" s="1">
        <v>4.0</v>
      </c>
      <c r="E104" s="1" t="s">
        <v>2273</v>
      </c>
      <c r="F104" s="30" t="s">
        <v>2654</v>
      </c>
      <c r="G104" s="30" t="s">
        <v>2660</v>
      </c>
      <c r="H104" s="30" t="s">
        <v>2661</v>
      </c>
      <c r="I104" s="1">
        <v>56.0</v>
      </c>
      <c r="J104" s="1">
        <v>65.0</v>
      </c>
      <c r="K104" s="1">
        <v>8.26775956284153</v>
      </c>
      <c r="L104" s="31"/>
      <c r="U104" s="1" t="s">
        <v>2274</v>
      </c>
    </row>
    <row r="105">
      <c r="A105" s="1">
        <v>104.0</v>
      </c>
      <c r="B105" s="1" t="s">
        <v>2662</v>
      </c>
      <c r="C105" s="1" t="s">
        <v>2498</v>
      </c>
      <c r="D105" s="1">
        <v>3.0</v>
      </c>
      <c r="E105" s="1" t="s">
        <v>58</v>
      </c>
      <c r="F105" s="30" t="s">
        <v>2663</v>
      </c>
      <c r="G105" s="30" t="s">
        <v>2664</v>
      </c>
      <c r="H105" s="30" t="s">
        <v>2665</v>
      </c>
      <c r="I105" s="1">
        <v>45.0</v>
      </c>
      <c r="J105" s="1">
        <v>47.0</v>
      </c>
      <c r="K105" s="1">
        <v>2.54794520547945</v>
      </c>
      <c r="L105" s="31"/>
      <c r="U105" s="1" t="s">
        <v>2274</v>
      </c>
    </row>
    <row r="106">
      <c r="A106" s="1">
        <v>105.0</v>
      </c>
      <c r="B106" s="1" t="s">
        <v>2666</v>
      </c>
      <c r="C106" s="1" t="s">
        <v>2667</v>
      </c>
      <c r="D106" s="1">
        <v>1.0</v>
      </c>
      <c r="E106" s="1" t="s">
        <v>2273</v>
      </c>
      <c r="F106" s="30" t="s">
        <v>2668</v>
      </c>
      <c r="G106" s="30" t="s">
        <v>2669</v>
      </c>
      <c r="H106" s="30" t="s">
        <v>2670</v>
      </c>
      <c r="I106" s="1">
        <v>57.0</v>
      </c>
      <c r="J106" s="1">
        <v>67.0</v>
      </c>
      <c r="K106" s="1">
        <v>9.55464480874317</v>
      </c>
      <c r="L106" s="31"/>
      <c r="U106" s="1" t="s">
        <v>2274</v>
      </c>
    </row>
    <row r="107">
      <c r="A107" s="1">
        <v>106.0</v>
      </c>
      <c r="B107" s="1" t="s">
        <v>2671</v>
      </c>
      <c r="C107" s="1" t="s">
        <v>2631</v>
      </c>
      <c r="D107" s="1">
        <v>2.0</v>
      </c>
      <c r="E107" s="1" t="s">
        <v>58</v>
      </c>
      <c r="F107" s="30" t="s">
        <v>2672</v>
      </c>
      <c r="G107" s="30" t="s">
        <v>2673</v>
      </c>
      <c r="H107" s="30" t="s">
        <v>2674</v>
      </c>
      <c r="I107" s="1">
        <v>75.0</v>
      </c>
      <c r="J107" s="1">
        <v>80.0</v>
      </c>
      <c r="K107" s="1">
        <v>5.0</v>
      </c>
      <c r="L107" s="31"/>
      <c r="U107" s="1" t="s">
        <v>2274</v>
      </c>
    </row>
    <row r="108">
      <c r="A108" s="1">
        <v>107.0</v>
      </c>
      <c r="B108" s="1" t="s">
        <v>2675</v>
      </c>
      <c r="C108" s="1" t="s">
        <v>2462</v>
      </c>
      <c r="D108" s="1">
        <v>8.0</v>
      </c>
      <c r="E108" s="1" t="s">
        <v>58</v>
      </c>
      <c r="F108" s="30" t="s">
        <v>2676</v>
      </c>
      <c r="G108" s="30" t="s">
        <v>2674</v>
      </c>
      <c r="H108" s="30" t="s">
        <v>2677</v>
      </c>
      <c r="I108" s="1">
        <v>52.0</v>
      </c>
      <c r="J108" s="1">
        <v>62.0</v>
      </c>
      <c r="K108" s="1">
        <v>10.0054794520547</v>
      </c>
      <c r="L108" s="31"/>
      <c r="U108" s="1" t="s">
        <v>2274</v>
      </c>
    </row>
    <row r="109">
      <c r="A109" s="1">
        <v>108.0</v>
      </c>
      <c r="B109" s="1" t="s">
        <v>2678</v>
      </c>
      <c r="C109" s="1" t="s">
        <v>2679</v>
      </c>
      <c r="D109" s="1">
        <v>1.0</v>
      </c>
      <c r="E109" s="1" t="s">
        <v>58</v>
      </c>
      <c r="F109" s="30" t="s">
        <v>2680</v>
      </c>
      <c r="G109" s="30" t="s">
        <v>2677</v>
      </c>
      <c r="H109" s="30" t="s">
        <v>2681</v>
      </c>
      <c r="I109" s="1">
        <v>52.0</v>
      </c>
      <c r="J109" s="1">
        <v>53.0</v>
      </c>
      <c r="K109" s="1">
        <v>1.41256830601092</v>
      </c>
      <c r="L109" s="31"/>
      <c r="U109" s="1" t="s">
        <v>2274</v>
      </c>
    </row>
    <row r="110">
      <c r="A110" s="1">
        <v>109.0</v>
      </c>
      <c r="B110" s="1" t="s">
        <v>2682</v>
      </c>
      <c r="C110" s="1" t="s">
        <v>2631</v>
      </c>
      <c r="D110" s="1">
        <v>3.0</v>
      </c>
      <c r="E110" s="1" t="s">
        <v>2273</v>
      </c>
      <c r="F110" s="30" t="s">
        <v>2680</v>
      </c>
      <c r="G110" s="30" t="s">
        <v>2683</v>
      </c>
      <c r="H110" s="30" t="s">
        <v>2684</v>
      </c>
      <c r="I110" s="1">
        <v>53.0</v>
      </c>
      <c r="J110" s="1">
        <v>55.0</v>
      </c>
      <c r="K110" s="1">
        <v>1.33150684931506</v>
      </c>
      <c r="L110" s="31"/>
      <c r="U110" s="1" t="s">
        <v>2274</v>
      </c>
    </row>
    <row r="111">
      <c r="A111" s="1">
        <v>110.0</v>
      </c>
      <c r="B111" s="1" t="s">
        <v>2685</v>
      </c>
      <c r="C111" s="1" t="s">
        <v>2334</v>
      </c>
      <c r="D111" s="1">
        <v>5.0</v>
      </c>
      <c r="E111" s="1" t="s">
        <v>2273</v>
      </c>
      <c r="F111" s="30" t="s">
        <v>2686</v>
      </c>
      <c r="G111" s="30" t="s">
        <v>2687</v>
      </c>
      <c r="H111" s="30" t="s">
        <v>2688</v>
      </c>
      <c r="I111" s="1">
        <v>45.0</v>
      </c>
      <c r="J111" s="1">
        <v>51.0</v>
      </c>
      <c r="K111" s="1">
        <v>5.97260273972602</v>
      </c>
      <c r="L111" s="31"/>
      <c r="U111" s="1" t="s">
        <v>2274</v>
      </c>
    </row>
    <row r="112">
      <c r="A112" s="1">
        <v>111.0</v>
      </c>
      <c r="B112" s="1" t="s">
        <v>2689</v>
      </c>
      <c r="C112" s="1" t="s">
        <v>2689</v>
      </c>
      <c r="D112" s="1">
        <v>1.0</v>
      </c>
      <c r="E112" s="1" t="s">
        <v>58</v>
      </c>
      <c r="F112" s="30" t="s">
        <v>2690</v>
      </c>
      <c r="G112" s="30" t="s">
        <v>2691</v>
      </c>
      <c r="H112" s="30" t="s">
        <v>2692</v>
      </c>
      <c r="I112" s="1">
        <v>86.0</v>
      </c>
      <c r="J112" s="1">
        <v>90.0</v>
      </c>
      <c r="K112" s="1">
        <v>4.49453551912568</v>
      </c>
      <c r="L112" s="31"/>
      <c r="U112" s="1" t="s">
        <v>2274</v>
      </c>
    </row>
    <row r="113">
      <c r="A113" s="1">
        <v>112.0</v>
      </c>
      <c r="B113" s="1" t="s">
        <v>2693</v>
      </c>
      <c r="C113" s="1" t="s">
        <v>2416</v>
      </c>
      <c r="D113" s="1">
        <v>6.0</v>
      </c>
      <c r="E113" s="1" t="s">
        <v>58</v>
      </c>
      <c r="F113" s="30" t="s">
        <v>2694</v>
      </c>
      <c r="G113" s="30" t="s">
        <v>2695</v>
      </c>
      <c r="H113" s="30" t="s">
        <v>2696</v>
      </c>
      <c r="I113" s="1">
        <v>89.0</v>
      </c>
      <c r="J113" s="1">
        <v>89.0</v>
      </c>
      <c r="K113" s="1">
        <v>0.0410958904109589</v>
      </c>
      <c r="L113" s="31"/>
      <c r="U113" s="1" t="s">
        <v>2274</v>
      </c>
    </row>
    <row r="114">
      <c r="A114" s="1">
        <v>113.0</v>
      </c>
      <c r="B114" s="1" t="s">
        <v>2697</v>
      </c>
      <c r="C114" s="1" t="s">
        <v>2334</v>
      </c>
      <c r="D114" s="1">
        <v>6.0</v>
      </c>
      <c r="E114" s="1" t="s">
        <v>2273</v>
      </c>
      <c r="F114" s="30" t="s">
        <v>2698</v>
      </c>
      <c r="G114" s="30" t="s">
        <v>2699</v>
      </c>
      <c r="H114" s="30" t="s">
        <v>2700</v>
      </c>
      <c r="I114" s="1">
        <v>45.0</v>
      </c>
      <c r="J114" s="1">
        <v>47.0</v>
      </c>
      <c r="K114" s="1">
        <v>1.23013698630136</v>
      </c>
      <c r="L114" s="31"/>
      <c r="U114" s="1" t="s">
        <v>2274</v>
      </c>
    </row>
    <row r="115">
      <c r="A115" s="1">
        <v>114.0</v>
      </c>
      <c r="B115" s="1" t="s">
        <v>2701</v>
      </c>
      <c r="C115" s="1" t="s">
        <v>2701</v>
      </c>
      <c r="D115" s="1">
        <v>1.0</v>
      </c>
      <c r="E115" s="1" t="s">
        <v>58</v>
      </c>
      <c r="F115" s="30" t="s">
        <v>2698</v>
      </c>
      <c r="G115" s="30" t="s">
        <v>2700</v>
      </c>
      <c r="H115" s="30" t="s">
        <v>2702</v>
      </c>
      <c r="I115" s="1">
        <v>47.0</v>
      </c>
      <c r="J115" s="1">
        <v>47.0</v>
      </c>
      <c r="K115" s="1">
        <v>0.216438356164383</v>
      </c>
      <c r="L115" s="31"/>
      <c r="U115" s="1" t="s">
        <v>2274</v>
      </c>
    </row>
    <row r="116">
      <c r="A116" s="1">
        <v>115.0</v>
      </c>
      <c r="B116" s="1" t="s">
        <v>2703</v>
      </c>
      <c r="C116" s="1" t="s">
        <v>2543</v>
      </c>
      <c r="D116" s="1">
        <v>2.0</v>
      </c>
      <c r="E116" s="1" t="s">
        <v>58</v>
      </c>
      <c r="F116" s="30" t="s">
        <v>2686</v>
      </c>
      <c r="G116" s="30" t="s">
        <v>2704</v>
      </c>
      <c r="H116" s="30" t="s">
        <v>2705</v>
      </c>
      <c r="I116" s="1">
        <v>57.0</v>
      </c>
      <c r="J116" s="1">
        <v>57.0</v>
      </c>
      <c r="K116" s="1">
        <v>0.0520547945205479</v>
      </c>
      <c r="L116" s="31"/>
      <c r="U116" s="1" t="s">
        <v>2274</v>
      </c>
    </row>
    <row r="117">
      <c r="A117" s="1">
        <v>116.0</v>
      </c>
      <c r="B117" s="1" t="s">
        <v>2706</v>
      </c>
      <c r="C117" s="1" t="s">
        <v>2462</v>
      </c>
      <c r="D117" s="1">
        <v>9.0</v>
      </c>
      <c r="E117" s="1" t="s">
        <v>58</v>
      </c>
      <c r="F117" s="30" t="s">
        <v>2686</v>
      </c>
      <c r="G117" s="30" t="s">
        <v>2707</v>
      </c>
      <c r="H117" s="30" t="s">
        <v>2708</v>
      </c>
      <c r="I117" s="1">
        <v>57.0</v>
      </c>
      <c r="J117" s="1">
        <v>59.0</v>
      </c>
      <c r="K117" s="1">
        <v>1.96438356164383</v>
      </c>
      <c r="L117" s="31"/>
      <c r="U117" s="1" t="s">
        <v>2274</v>
      </c>
    </row>
    <row r="118">
      <c r="A118" s="1">
        <v>117.0</v>
      </c>
      <c r="B118" s="1" t="s">
        <v>2709</v>
      </c>
      <c r="C118" s="1" t="s">
        <v>2498</v>
      </c>
      <c r="D118" s="1">
        <v>4.0</v>
      </c>
      <c r="E118" s="1" t="s">
        <v>58</v>
      </c>
      <c r="F118" s="30" t="s">
        <v>2686</v>
      </c>
      <c r="G118" s="30" t="s">
        <v>2710</v>
      </c>
      <c r="H118" s="30" t="s">
        <v>2711</v>
      </c>
      <c r="I118" s="1">
        <v>59.0</v>
      </c>
      <c r="J118" s="1">
        <v>63.0</v>
      </c>
      <c r="K118" s="1">
        <v>3.4904109589041</v>
      </c>
      <c r="L118" s="31"/>
      <c r="U118" s="1" t="s">
        <v>2274</v>
      </c>
    </row>
    <row r="119">
      <c r="A119" s="1">
        <v>118.0</v>
      </c>
      <c r="B119" s="1" t="s">
        <v>2712</v>
      </c>
      <c r="C119" s="1" t="s">
        <v>2430</v>
      </c>
      <c r="D119" s="1">
        <v>5.0</v>
      </c>
      <c r="E119" s="1" t="s">
        <v>58</v>
      </c>
      <c r="F119" s="30" t="s">
        <v>2713</v>
      </c>
      <c r="G119" s="30" t="s">
        <v>2711</v>
      </c>
      <c r="H119" s="30" t="s">
        <v>2714</v>
      </c>
      <c r="I119" s="1">
        <v>58.0</v>
      </c>
      <c r="J119" s="1">
        <v>58.0</v>
      </c>
      <c r="K119" s="1">
        <v>0.33879781420765</v>
      </c>
      <c r="L119" s="31"/>
      <c r="U119" s="1" t="s">
        <v>2274</v>
      </c>
    </row>
    <row r="120">
      <c r="A120" s="1">
        <v>119.0</v>
      </c>
      <c r="B120" s="1" t="s">
        <v>2715</v>
      </c>
      <c r="C120" s="1" t="s">
        <v>2588</v>
      </c>
      <c r="D120" s="1">
        <v>3.0</v>
      </c>
      <c r="E120" s="1" t="s">
        <v>58</v>
      </c>
      <c r="F120" s="30" t="s">
        <v>2716</v>
      </c>
      <c r="G120" s="30" t="s">
        <v>2717</v>
      </c>
      <c r="H120" s="30" t="s">
        <v>2718</v>
      </c>
      <c r="I120" s="1">
        <v>43.0</v>
      </c>
      <c r="J120" s="1">
        <v>50.0</v>
      </c>
      <c r="K120" s="1">
        <v>7.20547945205479</v>
      </c>
      <c r="L120" s="31"/>
      <c r="U120" s="1" t="s">
        <v>2274</v>
      </c>
    </row>
    <row r="121">
      <c r="A121" s="1">
        <v>120.0</v>
      </c>
      <c r="B121" s="1" t="s">
        <v>2719</v>
      </c>
      <c r="C121" s="1" t="s">
        <v>2402</v>
      </c>
      <c r="D121" s="1">
        <v>3.0</v>
      </c>
      <c r="E121" s="1" t="s">
        <v>58</v>
      </c>
      <c r="F121" s="30" t="s">
        <v>2720</v>
      </c>
      <c r="G121" s="30" t="s">
        <v>2718</v>
      </c>
      <c r="H121" s="30" t="s">
        <v>2721</v>
      </c>
      <c r="I121" s="1">
        <v>45.0</v>
      </c>
      <c r="J121" s="1">
        <v>47.0</v>
      </c>
      <c r="K121" s="1">
        <v>2.13150684931506</v>
      </c>
      <c r="L121" s="31"/>
      <c r="U121" s="1" t="s">
        <v>2274</v>
      </c>
    </row>
    <row r="122">
      <c r="A122" s="1">
        <v>121.0</v>
      </c>
      <c r="B122" s="1" t="s">
        <v>2722</v>
      </c>
      <c r="C122" s="1" t="s">
        <v>2722</v>
      </c>
      <c r="D122" s="1">
        <v>1.0</v>
      </c>
      <c r="E122" s="1" t="s">
        <v>58</v>
      </c>
      <c r="F122" s="30" t="s">
        <v>2720</v>
      </c>
      <c r="G122" s="30" t="s">
        <v>2723</v>
      </c>
      <c r="H122" s="30" t="s">
        <v>2724</v>
      </c>
      <c r="I122" s="1">
        <v>48.0</v>
      </c>
      <c r="J122" s="1">
        <v>48.0</v>
      </c>
      <c r="K122" s="1">
        <v>0.583561643835616</v>
      </c>
      <c r="L122" s="31"/>
      <c r="U122" s="1" t="s">
        <v>2274</v>
      </c>
    </row>
    <row r="123">
      <c r="A123" s="1">
        <v>122.0</v>
      </c>
      <c r="B123" s="1" t="s">
        <v>2725</v>
      </c>
      <c r="C123" s="1" t="s">
        <v>2462</v>
      </c>
      <c r="D123" s="1">
        <v>10.0</v>
      </c>
      <c r="E123" s="1" t="s">
        <v>58</v>
      </c>
      <c r="F123" s="30" t="s">
        <v>2716</v>
      </c>
      <c r="G123" s="30" t="s">
        <v>2726</v>
      </c>
      <c r="H123" s="30" t="s">
        <v>2727</v>
      </c>
      <c r="I123" s="1">
        <v>53.0</v>
      </c>
      <c r="J123" s="1">
        <v>67.0</v>
      </c>
      <c r="K123" s="1">
        <v>14.2410958904109</v>
      </c>
      <c r="L123" s="31"/>
      <c r="U123" s="1" t="s">
        <v>2274</v>
      </c>
    </row>
    <row r="124">
      <c r="A124" s="1">
        <v>123.0</v>
      </c>
      <c r="B124" s="1" t="s">
        <v>2728</v>
      </c>
      <c r="C124" s="1" t="s">
        <v>2430</v>
      </c>
      <c r="D124" s="1">
        <v>6.0</v>
      </c>
      <c r="E124" s="1" t="s">
        <v>58</v>
      </c>
      <c r="F124" s="30" t="s">
        <v>2729</v>
      </c>
      <c r="G124" s="30" t="s">
        <v>2727</v>
      </c>
      <c r="H124" s="30" t="s">
        <v>2730</v>
      </c>
      <c r="I124" s="1">
        <v>47.0</v>
      </c>
      <c r="J124" s="1">
        <v>48.0</v>
      </c>
      <c r="K124" s="1">
        <v>0.512328767123287</v>
      </c>
      <c r="L124" s="31"/>
      <c r="U124" s="1" t="s">
        <v>2274</v>
      </c>
    </row>
    <row r="125">
      <c r="A125" s="1">
        <v>124.0</v>
      </c>
      <c r="B125" s="1" t="s">
        <v>2731</v>
      </c>
      <c r="C125" s="1" t="s">
        <v>2334</v>
      </c>
      <c r="D125" s="1">
        <v>7.0</v>
      </c>
      <c r="E125" s="1" t="s">
        <v>2273</v>
      </c>
      <c r="F125" s="30" t="s">
        <v>2729</v>
      </c>
      <c r="G125" s="30" t="s">
        <v>2732</v>
      </c>
      <c r="H125" s="30" t="s">
        <v>2733</v>
      </c>
      <c r="I125" s="1">
        <v>48.0</v>
      </c>
      <c r="J125" s="1">
        <v>50.0</v>
      </c>
      <c r="K125" s="1">
        <v>2.02739726027397</v>
      </c>
      <c r="L125" s="31"/>
      <c r="U125" s="1" t="s">
        <v>2274</v>
      </c>
    </row>
    <row r="126">
      <c r="A126" s="1">
        <v>125.0</v>
      </c>
      <c r="B126" s="1" t="s">
        <v>2734</v>
      </c>
      <c r="C126" s="1" t="s">
        <v>2462</v>
      </c>
      <c r="D126" s="1">
        <v>11.0</v>
      </c>
      <c r="E126" s="1" t="s">
        <v>58</v>
      </c>
      <c r="F126" s="30" t="s">
        <v>2735</v>
      </c>
      <c r="G126" s="30" t="s">
        <v>2736</v>
      </c>
      <c r="H126" s="30" t="s">
        <v>2737</v>
      </c>
      <c r="I126" s="1">
        <v>20.0</v>
      </c>
      <c r="J126" s="1">
        <v>25.0</v>
      </c>
      <c r="K126" s="1">
        <v>4.71311475409836</v>
      </c>
      <c r="L126" s="31"/>
      <c r="U126" s="1" t="s">
        <v>2274</v>
      </c>
    </row>
    <row r="127">
      <c r="A127" s="1">
        <v>126.0</v>
      </c>
      <c r="B127" s="1" t="s">
        <v>2738</v>
      </c>
      <c r="C127" s="1" t="s">
        <v>2430</v>
      </c>
      <c r="D127" s="1">
        <v>7.0</v>
      </c>
      <c r="E127" s="1" t="s">
        <v>58</v>
      </c>
      <c r="F127" s="30" t="s">
        <v>2739</v>
      </c>
      <c r="G127" s="30" t="s">
        <v>2740</v>
      </c>
      <c r="H127" s="30" t="s">
        <v>2741</v>
      </c>
      <c r="I127" s="1">
        <v>50.0</v>
      </c>
      <c r="J127" s="1">
        <v>54.0</v>
      </c>
      <c r="K127" s="1">
        <v>3.52328767123287</v>
      </c>
      <c r="L127" s="31"/>
      <c r="U127" s="1" t="s">
        <v>2274</v>
      </c>
    </row>
    <row r="128">
      <c r="A128" s="1">
        <v>127.0</v>
      </c>
      <c r="B128" s="1" t="s">
        <v>2742</v>
      </c>
      <c r="C128" s="1" t="s">
        <v>2334</v>
      </c>
      <c r="D128" s="1">
        <v>8.0</v>
      </c>
      <c r="E128" s="1" t="s">
        <v>2273</v>
      </c>
      <c r="F128" s="30" t="s">
        <v>2743</v>
      </c>
      <c r="G128" s="30" t="s">
        <v>2744</v>
      </c>
      <c r="H128" s="30" t="s">
        <v>2745</v>
      </c>
      <c r="I128" s="1">
        <v>39.0</v>
      </c>
      <c r="J128" s="1">
        <v>42.0</v>
      </c>
      <c r="K128" s="1">
        <v>3.2958904109589</v>
      </c>
      <c r="L128" s="31"/>
      <c r="U128" s="1" t="s">
        <v>2274</v>
      </c>
    </row>
    <row r="129">
      <c r="A129" s="1">
        <v>128.0</v>
      </c>
      <c r="B129" s="1" t="s">
        <v>2746</v>
      </c>
      <c r="C129" s="1" t="s">
        <v>2679</v>
      </c>
      <c r="D129" s="1">
        <v>2.0</v>
      </c>
      <c r="E129" s="1" t="s">
        <v>58</v>
      </c>
      <c r="F129" s="30" t="s">
        <v>2743</v>
      </c>
      <c r="G129" s="30" t="s">
        <v>2745</v>
      </c>
      <c r="H129" s="30" t="s">
        <v>2747</v>
      </c>
      <c r="I129" s="1">
        <v>42.0</v>
      </c>
      <c r="J129" s="1">
        <v>45.0</v>
      </c>
      <c r="K129" s="1">
        <v>3.50136986301369</v>
      </c>
      <c r="L129" s="31"/>
      <c r="U129" s="1" t="s">
        <v>2274</v>
      </c>
    </row>
    <row r="130">
      <c r="A130" s="1">
        <v>129.0</v>
      </c>
      <c r="B130" s="1" t="s">
        <v>2748</v>
      </c>
      <c r="C130" s="1" t="s">
        <v>2477</v>
      </c>
      <c r="D130" s="1">
        <v>2.0</v>
      </c>
      <c r="E130" s="1" t="s">
        <v>58</v>
      </c>
      <c r="F130" s="30" t="s">
        <v>2749</v>
      </c>
      <c r="G130" s="30" t="s">
        <v>2750</v>
      </c>
      <c r="H130" s="30" t="s">
        <v>2751</v>
      </c>
      <c r="I130" s="1">
        <v>40.0</v>
      </c>
      <c r="J130" s="1">
        <v>50.0</v>
      </c>
      <c r="K130" s="1">
        <v>9.49726775956284</v>
      </c>
      <c r="L130" s="31"/>
      <c r="U130" s="1" t="s">
        <v>2274</v>
      </c>
    </row>
    <row r="131">
      <c r="A131" s="1">
        <v>130.0</v>
      </c>
      <c r="B131" s="1" t="s">
        <v>2752</v>
      </c>
      <c r="C131" s="1" t="s">
        <v>2462</v>
      </c>
      <c r="D131" s="1">
        <v>12.0</v>
      </c>
      <c r="E131" s="1" t="s">
        <v>58</v>
      </c>
      <c r="F131" s="30" t="s">
        <v>2753</v>
      </c>
      <c r="G131" s="30" t="s">
        <v>2754</v>
      </c>
      <c r="H131" s="30" t="s">
        <v>2755</v>
      </c>
      <c r="I131" s="1">
        <v>25.0</v>
      </c>
      <c r="J131" s="1">
        <v>33.0</v>
      </c>
      <c r="K131" s="1">
        <v>7.97260273972602</v>
      </c>
      <c r="L131" s="31"/>
      <c r="U131" s="1" t="s">
        <v>2274</v>
      </c>
    </row>
    <row r="132">
      <c r="A132" s="1">
        <v>130.0</v>
      </c>
      <c r="B132" s="1" t="s">
        <v>2752</v>
      </c>
      <c r="C132" s="1" t="s">
        <v>2462</v>
      </c>
      <c r="D132" s="1">
        <v>12.0</v>
      </c>
      <c r="E132" s="1" t="s">
        <v>58</v>
      </c>
      <c r="F132" s="30" t="s">
        <v>2756</v>
      </c>
      <c r="G132" s="30" t="s">
        <v>2757</v>
      </c>
      <c r="H132" s="30" t="s">
        <v>2758</v>
      </c>
      <c r="I132" s="1">
        <v>26.0</v>
      </c>
      <c r="J132" s="1">
        <v>26.0</v>
      </c>
      <c r="K132" s="1">
        <v>0.21311475409836</v>
      </c>
      <c r="L132" s="31"/>
      <c r="U132" s="1" t="s">
        <v>2274</v>
      </c>
    </row>
    <row r="133">
      <c r="A133" s="1">
        <v>131.0</v>
      </c>
      <c r="B133" s="1" t="s">
        <v>2759</v>
      </c>
      <c r="C133" s="1" t="s">
        <v>2498</v>
      </c>
      <c r="D133" s="1">
        <v>5.0</v>
      </c>
      <c r="E133" s="1" t="s">
        <v>58</v>
      </c>
      <c r="F133" s="30" t="s">
        <v>2760</v>
      </c>
      <c r="G133" s="30" t="s">
        <v>2761</v>
      </c>
      <c r="H133" s="30" t="s">
        <v>2762</v>
      </c>
      <c r="I133" s="1">
        <v>48.0</v>
      </c>
      <c r="J133" s="1">
        <v>48.0</v>
      </c>
      <c r="K133" s="1">
        <v>0.0876712328767123</v>
      </c>
      <c r="L133" s="31"/>
      <c r="U133" s="1" t="s">
        <v>2274</v>
      </c>
    </row>
    <row r="134">
      <c r="A134" s="1">
        <v>132.0</v>
      </c>
      <c r="B134" s="1" t="s">
        <v>2763</v>
      </c>
      <c r="C134" s="1" t="s">
        <v>2430</v>
      </c>
      <c r="D134" s="1">
        <v>8.0</v>
      </c>
      <c r="E134" s="1" t="s">
        <v>58</v>
      </c>
      <c r="F134" s="30" t="s">
        <v>2760</v>
      </c>
      <c r="G134" s="30" t="s">
        <v>2762</v>
      </c>
      <c r="H134" s="30" t="s">
        <v>2764</v>
      </c>
      <c r="I134" s="1">
        <v>48.0</v>
      </c>
      <c r="J134" s="1">
        <v>49.0</v>
      </c>
      <c r="K134" s="1">
        <v>0.687671232876712</v>
      </c>
      <c r="L134" s="31"/>
      <c r="U134" s="1" t="s">
        <v>2274</v>
      </c>
    </row>
    <row r="135">
      <c r="A135" s="1">
        <v>133.0</v>
      </c>
      <c r="B135" s="1" t="s">
        <v>2765</v>
      </c>
      <c r="C135" s="1" t="s">
        <v>2462</v>
      </c>
      <c r="D135" s="1">
        <v>13.0</v>
      </c>
      <c r="E135" s="1" t="s">
        <v>58</v>
      </c>
      <c r="F135" s="30" t="s">
        <v>2753</v>
      </c>
      <c r="G135" s="30" t="s">
        <v>2766</v>
      </c>
      <c r="H135" s="30" t="s">
        <v>2767</v>
      </c>
      <c r="I135" s="1">
        <v>35.0</v>
      </c>
      <c r="J135" s="1">
        <v>42.0</v>
      </c>
      <c r="K135" s="1">
        <v>6.93169398907103</v>
      </c>
      <c r="L135" s="31"/>
      <c r="U135" s="1" t="s">
        <v>2274</v>
      </c>
    </row>
    <row r="136">
      <c r="A136" s="1">
        <v>134.0</v>
      </c>
      <c r="B136" s="1" t="s">
        <v>2768</v>
      </c>
      <c r="C136" s="1" t="s">
        <v>2498</v>
      </c>
      <c r="D136" s="1">
        <v>6.0</v>
      </c>
      <c r="E136" s="1" t="s">
        <v>58</v>
      </c>
      <c r="F136" s="30" t="s">
        <v>2769</v>
      </c>
      <c r="G136" s="30" t="s">
        <v>2770</v>
      </c>
      <c r="H136" s="30" t="s">
        <v>2771</v>
      </c>
      <c r="I136" s="1">
        <v>47.0</v>
      </c>
      <c r="J136" s="1">
        <v>48.0</v>
      </c>
      <c r="K136" s="1">
        <v>1.38356164383561</v>
      </c>
      <c r="L136" s="31"/>
      <c r="U136" s="1" t="s">
        <v>2274</v>
      </c>
    </row>
    <row r="137">
      <c r="A137" s="1">
        <v>135.0</v>
      </c>
      <c r="B137" s="1" t="s">
        <v>2772</v>
      </c>
      <c r="C137" s="1" t="s">
        <v>2498</v>
      </c>
      <c r="D137" s="1">
        <v>7.0</v>
      </c>
      <c r="E137" s="1" t="s">
        <v>58</v>
      </c>
      <c r="F137" s="30" t="s">
        <v>2753</v>
      </c>
      <c r="G137" s="30" t="s">
        <v>2773</v>
      </c>
      <c r="H137" s="30" t="s">
        <v>2774</v>
      </c>
      <c r="I137" s="1">
        <v>44.0</v>
      </c>
      <c r="J137" s="1">
        <v>53.0</v>
      </c>
      <c r="K137" s="1">
        <v>8.77260273972602</v>
      </c>
      <c r="L137" s="31"/>
      <c r="U137" s="1" t="s">
        <v>2274</v>
      </c>
    </row>
    <row r="138">
      <c r="A138" s="1">
        <v>136.0</v>
      </c>
      <c r="B138" s="1" t="s">
        <v>2775</v>
      </c>
      <c r="C138" s="1" t="s">
        <v>2462</v>
      </c>
      <c r="D138" s="1">
        <v>14.0</v>
      </c>
      <c r="E138" s="1" t="s">
        <v>58</v>
      </c>
      <c r="F138" s="30" t="s">
        <v>2776</v>
      </c>
      <c r="G138" s="30" t="s">
        <v>2777</v>
      </c>
      <c r="H138" s="30" t="s">
        <v>2778</v>
      </c>
      <c r="I138" s="1">
        <v>43.0</v>
      </c>
      <c r="J138" s="1">
        <v>44.0</v>
      </c>
      <c r="K138" s="1">
        <v>0.718579234972677</v>
      </c>
      <c r="L138" s="31"/>
      <c r="U138" s="1" t="s">
        <v>2274</v>
      </c>
    </row>
    <row r="139">
      <c r="A139" s="1">
        <v>137.0</v>
      </c>
      <c r="B139" s="1" t="s">
        <v>2779</v>
      </c>
      <c r="C139" s="1" t="s">
        <v>2462</v>
      </c>
      <c r="D139" s="1">
        <v>15.0</v>
      </c>
      <c r="E139" s="1" t="s">
        <v>58</v>
      </c>
      <c r="F139" s="30" t="s">
        <v>2780</v>
      </c>
      <c r="G139" s="30" t="s">
        <v>2781</v>
      </c>
      <c r="H139" s="30" t="s">
        <v>2782</v>
      </c>
      <c r="I139" s="1">
        <v>35.0</v>
      </c>
      <c r="J139" s="1">
        <v>45.0</v>
      </c>
      <c r="K139" s="1">
        <v>10.6147540983606</v>
      </c>
      <c r="L139" s="31"/>
      <c r="U139" s="1" t="s">
        <v>2274</v>
      </c>
    </row>
    <row r="140">
      <c r="A140" s="1">
        <v>138.0</v>
      </c>
      <c r="B140" s="1" t="s">
        <v>2783</v>
      </c>
      <c r="C140" s="1" t="s">
        <v>2506</v>
      </c>
      <c r="D140" s="1">
        <v>5.0</v>
      </c>
      <c r="E140" s="1" t="s">
        <v>58</v>
      </c>
      <c r="F140" s="30" t="s">
        <v>2784</v>
      </c>
      <c r="G140" s="30" t="s">
        <v>2785</v>
      </c>
      <c r="H140" s="30" t="s">
        <v>2786</v>
      </c>
      <c r="I140" s="1">
        <v>23.0</v>
      </c>
      <c r="J140" s="1">
        <v>26.0</v>
      </c>
      <c r="K140" s="1">
        <v>2.7972602739726</v>
      </c>
      <c r="L140" s="31"/>
      <c r="U140" s="1" t="s">
        <v>2274</v>
      </c>
    </row>
    <row r="141">
      <c r="A141" s="1">
        <v>139.0</v>
      </c>
      <c r="B141" s="1" t="s">
        <v>2787</v>
      </c>
      <c r="C141" s="1" t="s">
        <v>2375</v>
      </c>
      <c r="D141" s="1">
        <v>2.0</v>
      </c>
      <c r="E141" s="1" t="s">
        <v>58</v>
      </c>
      <c r="F141" s="30" t="s">
        <v>2776</v>
      </c>
      <c r="G141" s="30" t="s">
        <v>2788</v>
      </c>
      <c r="H141" s="30" t="s">
        <v>2789</v>
      </c>
      <c r="I141" s="1">
        <v>58.0</v>
      </c>
      <c r="J141" s="1">
        <v>62.0</v>
      </c>
      <c r="K141" s="1">
        <v>4.10928961748633</v>
      </c>
      <c r="L141" s="31"/>
      <c r="U141" s="1" t="s">
        <v>2274</v>
      </c>
    </row>
    <row r="142">
      <c r="A142" s="1">
        <v>140.0</v>
      </c>
      <c r="B142" s="1" t="s">
        <v>2790</v>
      </c>
      <c r="C142" s="1" t="s">
        <v>2462</v>
      </c>
      <c r="D142" s="1">
        <v>17.0</v>
      </c>
      <c r="E142" s="1" t="s">
        <v>58</v>
      </c>
      <c r="F142" s="30" t="s">
        <v>2791</v>
      </c>
      <c r="G142" s="30" t="s">
        <v>2792</v>
      </c>
      <c r="H142" s="30" t="s">
        <v>2793</v>
      </c>
      <c r="I142" s="1">
        <v>47.0</v>
      </c>
      <c r="J142" s="1">
        <v>48.0</v>
      </c>
      <c r="K142" s="1">
        <v>0.475409836065573</v>
      </c>
      <c r="L142" s="31"/>
      <c r="U142" s="1" t="s">
        <v>2274</v>
      </c>
    </row>
    <row r="143">
      <c r="A143" s="1">
        <v>141.0</v>
      </c>
      <c r="B143" s="1" t="s">
        <v>2794</v>
      </c>
      <c r="C143" s="1" t="s">
        <v>2462</v>
      </c>
      <c r="D143" s="1">
        <v>18.0</v>
      </c>
      <c r="E143" s="1" t="s">
        <v>58</v>
      </c>
      <c r="F143" s="30" t="s">
        <v>2795</v>
      </c>
      <c r="G143" s="30" t="s">
        <v>2796</v>
      </c>
      <c r="H143" s="30" t="s">
        <v>2797</v>
      </c>
      <c r="I143" s="1">
        <v>38.0</v>
      </c>
      <c r="J143" s="1">
        <v>44.0</v>
      </c>
      <c r="K143" s="1">
        <v>5.56164383561643</v>
      </c>
      <c r="L143" s="31"/>
      <c r="U143" s="1" t="s">
        <v>2274</v>
      </c>
    </row>
    <row r="144">
      <c r="A144" s="1">
        <v>142.0</v>
      </c>
      <c r="B144" s="1" t="s">
        <v>2798</v>
      </c>
      <c r="C144" s="1" t="s">
        <v>2588</v>
      </c>
      <c r="D144" s="1">
        <v>4.0</v>
      </c>
      <c r="E144" s="1" t="s">
        <v>58</v>
      </c>
      <c r="F144" s="30" t="s">
        <v>2799</v>
      </c>
      <c r="G144" s="30" t="s">
        <v>2800</v>
      </c>
      <c r="H144" s="30" t="s">
        <v>2801</v>
      </c>
      <c r="I144" s="1">
        <v>39.0</v>
      </c>
      <c r="J144" s="1">
        <v>41.0</v>
      </c>
      <c r="K144" s="1">
        <v>2.78142076502732</v>
      </c>
      <c r="L144" s="31"/>
      <c r="U144" s="1" t="s">
        <v>2274</v>
      </c>
    </row>
    <row r="145">
      <c r="A145" s="1">
        <v>143.0</v>
      </c>
      <c r="B145" s="1" t="s">
        <v>2802</v>
      </c>
      <c r="C145" s="1" t="s">
        <v>2498</v>
      </c>
      <c r="D145" s="1">
        <v>8.0</v>
      </c>
      <c r="E145" s="1" t="s">
        <v>58</v>
      </c>
      <c r="F145" s="30" t="s">
        <v>2803</v>
      </c>
      <c r="G145" s="30" t="s">
        <v>2804</v>
      </c>
      <c r="H145" s="30" t="s">
        <v>2805</v>
      </c>
      <c r="I145" s="1">
        <v>31.0</v>
      </c>
      <c r="J145" s="1">
        <v>43.0</v>
      </c>
      <c r="K145" s="1">
        <v>11.8934426229508</v>
      </c>
      <c r="L145" s="31"/>
      <c r="U145" s="1" t="s">
        <v>2274</v>
      </c>
    </row>
    <row r="146">
      <c r="A146" s="1">
        <v>144.0</v>
      </c>
      <c r="B146" s="1" t="s">
        <v>2806</v>
      </c>
      <c r="C146" s="1" t="s">
        <v>2462</v>
      </c>
      <c r="D146" s="1">
        <v>19.0</v>
      </c>
      <c r="E146" s="1" t="s">
        <v>58</v>
      </c>
      <c r="F146" s="30" t="s">
        <v>2807</v>
      </c>
      <c r="G146" s="30" t="s">
        <v>2808</v>
      </c>
      <c r="H146" s="30" t="s">
        <v>2809</v>
      </c>
      <c r="I146" s="1">
        <v>48.0</v>
      </c>
      <c r="J146" s="1">
        <v>57.0</v>
      </c>
      <c r="K146" s="1">
        <v>8.3972602739726</v>
      </c>
      <c r="L146" s="31"/>
      <c r="U146" s="1" t="s">
        <v>2274</v>
      </c>
    </row>
    <row r="147">
      <c r="A147" s="1">
        <v>145.0</v>
      </c>
      <c r="B147" s="1" t="s">
        <v>2810</v>
      </c>
      <c r="C147" s="1" t="s">
        <v>2498</v>
      </c>
      <c r="D147" s="1">
        <v>9.0</v>
      </c>
      <c r="E147" s="1" t="s">
        <v>58</v>
      </c>
      <c r="F147" s="30" t="s">
        <v>58</v>
      </c>
      <c r="G147" s="30" t="s">
        <v>2811</v>
      </c>
      <c r="H147" s="30" t="s">
        <v>2812</v>
      </c>
      <c r="I147" s="1" t="s">
        <v>58</v>
      </c>
      <c r="J147" s="1" t="s">
        <v>58</v>
      </c>
      <c r="K147" s="1">
        <v>12.1945205479452</v>
      </c>
      <c r="L147" s="31"/>
      <c r="U147" s="1" t="s">
        <v>2274</v>
      </c>
    </row>
    <row r="148">
      <c r="A148" s="1">
        <v>146.0</v>
      </c>
      <c r="B148" s="1" t="s">
        <v>2813</v>
      </c>
      <c r="C148" s="1" t="s">
        <v>2375</v>
      </c>
      <c r="D148" s="1">
        <v>3.0</v>
      </c>
      <c r="E148" s="1" t="s">
        <v>58</v>
      </c>
      <c r="F148" s="30" t="s">
        <v>2814</v>
      </c>
      <c r="G148" s="30" t="s">
        <v>2815</v>
      </c>
      <c r="H148" s="30" t="s">
        <v>2816</v>
      </c>
      <c r="I148" s="1">
        <v>44.0</v>
      </c>
      <c r="J148" s="1">
        <v>44.0</v>
      </c>
      <c r="K148" s="1">
        <v>0.153424657534246</v>
      </c>
      <c r="L148" s="31"/>
      <c r="U148" s="1" t="s">
        <v>2274</v>
      </c>
    </row>
    <row r="149">
      <c r="A149" s="1">
        <v>147.0</v>
      </c>
      <c r="B149" s="1" t="s">
        <v>2810</v>
      </c>
      <c r="C149" s="1" t="s">
        <v>2498</v>
      </c>
      <c r="D149" s="1">
        <v>9.0</v>
      </c>
      <c r="E149" s="1" t="s">
        <v>58</v>
      </c>
      <c r="F149" s="30" t="s">
        <v>58</v>
      </c>
      <c r="G149" s="30" t="s">
        <v>2816</v>
      </c>
      <c r="H149" s="30" t="s">
        <v>2817</v>
      </c>
      <c r="I149" s="1" t="s">
        <v>58</v>
      </c>
      <c r="J149" s="1" t="s">
        <v>58</v>
      </c>
      <c r="K149" s="1">
        <v>0.142465753424657</v>
      </c>
      <c r="L149" s="31"/>
      <c r="U149" s="1" t="s">
        <v>2274</v>
      </c>
    </row>
    <row r="150">
      <c r="A150" s="1">
        <v>148.0</v>
      </c>
      <c r="B150" s="1" t="s">
        <v>2818</v>
      </c>
      <c r="C150" s="1" t="s">
        <v>2506</v>
      </c>
      <c r="D150" s="1">
        <v>6.0</v>
      </c>
      <c r="E150" s="1" t="s">
        <v>58</v>
      </c>
      <c r="F150" s="30" t="s">
        <v>2814</v>
      </c>
      <c r="G150" s="30" t="s">
        <v>2819</v>
      </c>
      <c r="H150" s="30" t="s">
        <v>2820</v>
      </c>
      <c r="I150" s="1">
        <v>44.0</v>
      </c>
      <c r="J150" s="1">
        <v>46.0</v>
      </c>
      <c r="K150" s="1">
        <v>1.62739726027397</v>
      </c>
      <c r="L150" s="31"/>
      <c r="U150" s="1" t="s">
        <v>2274</v>
      </c>
    </row>
    <row r="151">
      <c r="A151" s="1">
        <v>149.0</v>
      </c>
      <c r="B151" s="1" t="s">
        <v>2821</v>
      </c>
      <c r="C151" s="1" t="s">
        <v>2278</v>
      </c>
      <c r="D151" s="1">
        <v>2.0</v>
      </c>
      <c r="E151" s="1" t="s">
        <v>58</v>
      </c>
      <c r="F151" s="30" t="s">
        <v>2822</v>
      </c>
      <c r="G151" s="30" t="s">
        <v>2823</v>
      </c>
      <c r="H151" s="30" t="s">
        <v>2824</v>
      </c>
      <c r="I151" s="1">
        <v>79.0</v>
      </c>
      <c r="J151" s="1">
        <v>80.0</v>
      </c>
      <c r="K151" s="1">
        <v>0.791780821917808</v>
      </c>
      <c r="L151" s="31"/>
      <c r="U151" s="1" t="s">
        <v>2274</v>
      </c>
    </row>
    <row r="152">
      <c r="A152" s="1">
        <v>150.0</v>
      </c>
      <c r="B152" s="1" t="s">
        <v>2810</v>
      </c>
      <c r="C152" s="1" t="s">
        <v>2498</v>
      </c>
      <c r="D152" s="1">
        <v>9.0</v>
      </c>
      <c r="E152" s="1" t="s">
        <v>58</v>
      </c>
      <c r="F152" s="30" t="s">
        <v>2825</v>
      </c>
      <c r="G152" s="30" t="s">
        <v>2826</v>
      </c>
      <c r="H152" s="30" t="s">
        <v>2827</v>
      </c>
      <c r="I152" s="1">
        <v>35.0</v>
      </c>
      <c r="J152" s="1">
        <v>36.0</v>
      </c>
      <c r="K152" s="1">
        <v>0.688524590163934</v>
      </c>
      <c r="L152" s="31"/>
      <c r="U152" s="1" t="s">
        <v>2274</v>
      </c>
      <c r="V152" s="1" t="s">
        <v>28</v>
      </c>
    </row>
    <row r="153">
      <c r="A153" s="1">
        <v>151.0</v>
      </c>
      <c r="B153" s="1" t="s">
        <v>2828</v>
      </c>
      <c r="C153" s="1" t="s">
        <v>2393</v>
      </c>
      <c r="D153" s="1">
        <v>2.0</v>
      </c>
      <c r="E153" s="1" t="s">
        <v>58</v>
      </c>
      <c r="F153" s="30" t="s">
        <v>2814</v>
      </c>
      <c r="G153" s="30" t="s">
        <v>2827</v>
      </c>
      <c r="H153" s="30" t="s">
        <v>2829</v>
      </c>
      <c r="I153" s="1">
        <v>48.0</v>
      </c>
      <c r="J153" s="1">
        <v>48.0</v>
      </c>
      <c r="K153" s="1">
        <v>0.0630136986301369</v>
      </c>
      <c r="L153" s="31"/>
      <c r="U153" s="1" t="s">
        <v>2274</v>
      </c>
    </row>
    <row r="154">
      <c r="A154" s="1">
        <v>152.0</v>
      </c>
      <c r="B154" s="1" t="s">
        <v>2830</v>
      </c>
      <c r="C154" s="1" t="s">
        <v>2430</v>
      </c>
      <c r="D154" s="1">
        <v>9.0</v>
      </c>
      <c r="E154" s="1" t="s">
        <v>2273</v>
      </c>
      <c r="F154" s="30" t="s">
        <v>2831</v>
      </c>
      <c r="G154" s="30" t="s">
        <v>2832</v>
      </c>
      <c r="H154" s="30" t="s">
        <v>2833</v>
      </c>
      <c r="I154" s="1">
        <v>46.0</v>
      </c>
      <c r="J154" s="1">
        <v>51.0</v>
      </c>
      <c r="K154" s="1">
        <v>5.18082191780821</v>
      </c>
      <c r="L154" s="31"/>
      <c r="U154" s="1" t="s">
        <v>2274</v>
      </c>
    </row>
    <row r="155">
      <c r="A155" s="1">
        <v>153.0</v>
      </c>
      <c r="B155" s="1" t="s">
        <v>2834</v>
      </c>
      <c r="C155" s="1" t="s">
        <v>2303</v>
      </c>
      <c r="D155" s="1">
        <v>2.0</v>
      </c>
      <c r="E155" s="1" t="s">
        <v>58</v>
      </c>
      <c r="F155" s="30" t="s">
        <v>2835</v>
      </c>
      <c r="G155" s="30" t="s">
        <v>2836</v>
      </c>
      <c r="H155" s="30" t="s">
        <v>2837</v>
      </c>
      <c r="I155" s="1">
        <v>36.0</v>
      </c>
      <c r="J155" s="1">
        <v>39.0</v>
      </c>
      <c r="K155" s="1">
        <v>2.2904109589041</v>
      </c>
      <c r="L155" s="31"/>
      <c r="U155" s="1" t="s">
        <v>2274</v>
      </c>
    </row>
    <row r="156">
      <c r="A156" s="1">
        <v>154.0</v>
      </c>
      <c r="B156" s="1" t="s">
        <v>2838</v>
      </c>
      <c r="C156" s="1" t="s">
        <v>2334</v>
      </c>
      <c r="D156" s="1">
        <v>9.0</v>
      </c>
      <c r="E156" s="1" t="s">
        <v>2273</v>
      </c>
      <c r="F156" s="30" t="s">
        <v>2839</v>
      </c>
      <c r="G156" s="30" t="s">
        <v>2840</v>
      </c>
      <c r="H156" s="30" t="s">
        <v>2841</v>
      </c>
      <c r="I156" s="1">
        <v>37.0</v>
      </c>
      <c r="J156" s="1">
        <v>37.0</v>
      </c>
      <c r="K156" s="1">
        <v>0.654794520547945</v>
      </c>
      <c r="L156" s="31"/>
      <c r="U156" s="1" t="s">
        <v>2274</v>
      </c>
    </row>
    <row r="157">
      <c r="A157" s="1">
        <v>155.0</v>
      </c>
      <c r="B157" s="1" t="s">
        <v>2842</v>
      </c>
      <c r="C157" s="1" t="s">
        <v>2667</v>
      </c>
      <c r="D157" s="1">
        <v>2.0</v>
      </c>
      <c r="E157" s="1" t="s">
        <v>58</v>
      </c>
      <c r="F157" s="30" t="s">
        <v>2803</v>
      </c>
      <c r="G157" s="30" t="s">
        <v>2843</v>
      </c>
      <c r="H157" s="30" t="s">
        <v>2844</v>
      </c>
      <c r="I157" s="1">
        <v>78.0</v>
      </c>
      <c r="J157" s="1">
        <v>81.0</v>
      </c>
      <c r="K157" s="1">
        <v>2.63835616438356</v>
      </c>
      <c r="L157" s="31"/>
      <c r="U157" s="1" t="s">
        <v>2274</v>
      </c>
    </row>
    <row r="158">
      <c r="A158" s="1">
        <v>156.0</v>
      </c>
      <c r="B158" s="1" t="s">
        <v>2845</v>
      </c>
      <c r="C158" s="1" t="s">
        <v>2282</v>
      </c>
      <c r="D158" s="1">
        <v>2.0</v>
      </c>
      <c r="E158" s="1" t="s">
        <v>58</v>
      </c>
      <c r="F158" s="30" t="s">
        <v>2835</v>
      </c>
      <c r="G158" s="30" t="s">
        <v>2846</v>
      </c>
      <c r="H158" s="30" t="s">
        <v>2847</v>
      </c>
      <c r="I158" s="1">
        <v>43.0</v>
      </c>
      <c r="J158" s="1">
        <v>54.0</v>
      </c>
      <c r="K158" s="1">
        <v>11.5561643835616</v>
      </c>
      <c r="L158" s="31"/>
      <c r="U158" s="1" t="s">
        <v>2274</v>
      </c>
    </row>
    <row r="159">
      <c r="A159" s="1">
        <v>157.0</v>
      </c>
      <c r="B159" s="1" t="s">
        <v>2848</v>
      </c>
      <c r="C159" s="1" t="s">
        <v>2506</v>
      </c>
      <c r="D159" s="1">
        <v>7.0</v>
      </c>
      <c r="E159" s="1" t="s">
        <v>2273</v>
      </c>
      <c r="F159" s="30" t="s">
        <v>2849</v>
      </c>
      <c r="G159" s="30" t="s">
        <v>2850</v>
      </c>
      <c r="H159" s="30" t="s">
        <v>2851</v>
      </c>
      <c r="I159" s="1">
        <v>57.0</v>
      </c>
      <c r="J159" s="1">
        <v>69.0</v>
      </c>
      <c r="K159" s="1">
        <v>12.0904109589041</v>
      </c>
      <c r="L159" s="31"/>
      <c r="U159" s="1" t="s">
        <v>2274</v>
      </c>
    </row>
    <row r="160">
      <c r="A160" s="1">
        <v>158.0</v>
      </c>
      <c r="B160" s="1" t="s">
        <v>2852</v>
      </c>
      <c r="C160" s="1" t="s">
        <v>2303</v>
      </c>
      <c r="D160" s="1">
        <v>3.0</v>
      </c>
      <c r="E160" s="1" t="s">
        <v>2853</v>
      </c>
      <c r="F160" s="30" t="s">
        <v>2854</v>
      </c>
      <c r="G160" s="30" t="s">
        <v>2855</v>
      </c>
      <c r="H160" s="30" t="s">
        <v>2856</v>
      </c>
      <c r="I160" s="1">
        <v>59.0</v>
      </c>
      <c r="J160" s="1">
        <v>61.0</v>
      </c>
      <c r="K160" s="1">
        <v>1.31420765027322</v>
      </c>
      <c r="L160" s="31"/>
      <c r="U160" s="1" t="s">
        <v>2274</v>
      </c>
    </row>
    <row r="161">
      <c r="A161" s="1">
        <v>159.0</v>
      </c>
      <c r="B161" s="1" t="s">
        <v>2857</v>
      </c>
      <c r="C161" s="1" t="s">
        <v>2313</v>
      </c>
      <c r="D161" s="1">
        <v>2.0</v>
      </c>
      <c r="E161" s="1" t="s">
        <v>2853</v>
      </c>
      <c r="F161" s="30" t="s">
        <v>2858</v>
      </c>
      <c r="G161" s="30" t="s">
        <v>2859</v>
      </c>
      <c r="H161" s="30" t="s">
        <v>2860</v>
      </c>
      <c r="I161" s="1">
        <v>45.0</v>
      </c>
      <c r="J161" s="1">
        <v>57.0</v>
      </c>
      <c r="K161" s="1">
        <v>11.3808219178082</v>
      </c>
      <c r="L161" s="31"/>
      <c r="U161" s="1" t="s">
        <v>2274</v>
      </c>
    </row>
    <row r="162">
      <c r="A162" s="1">
        <v>160.0</v>
      </c>
      <c r="B162" s="1" t="s">
        <v>2861</v>
      </c>
      <c r="C162" s="1" t="s">
        <v>2642</v>
      </c>
      <c r="D162" s="1">
        <v>2.0</v>
      </c>
      <c r="E162" s="1" t="s">
        <v>58</v>
      </c>
      <c r="F162" s="30" t="s">
        <v>2862</v>
      </c>
      <c r="G162" s="30" t="s">
        <v>2863</v>
      </c>
      <c r="H162" s="30" t="s">
        <v>2864</v>
      </c>
      <c r="I162" s="1">
        <v>49.0</v>
      </c>
      <c r="J162" s="1">
        <v>67.0</v>
      </c>
      <c r="K162" s="1">
        <v>18.4410958904109</v>
      </c>
      <c r="L162" s="31"/>
      <c r="U162" s="1" t="s">
        <v>2274</v>
      </c>
    </row>
    <row r="163">
      <c r="A163" s="1">
        <v>161.0</v>
      </c>
      <c r="B163" s="1" t="s">
        <v>2865</v>
      </c>
      <c r="C163" s="1" t="s">
        <v>2446</v>
      </c>
      <c r="D163" s="1">
        <v>2.0</v>
      </c>
      <c r="E163" s="1" t="s">
        <v>58</v>
      </c>
      <c r="F163" s="30" t="s">
        <v>2866</v>
      </c>
      <c r="G163" s="30" t="s">
        <v>2867</v>
      </c>
      <c r="H163" s="30" t="s">
        <v>2868</v>
      </c>
      <c r="I163" s="1">
        <v>56.0</v>
      </c>
      <c r="J163" s="1">
        <v>57.0</v>
      </c>
      <c r="K163" s="1">
        <v>1.01369863013698</v>
      </c>
      <c r="L163" s="31"/>
      <c r="U163" s="1" t="s">
        <v>2274</v>
      </c>
    </row>
    <row r="164">
      <c r="A164" s="1">
        <v>162.0</v>
      </c>
      <c r="B164" s="1" t="s">
        <v>2869</v>
      </c>
      <c r="C164" s="1" t="s">
        <v>2310</v>
      </c>
      <c r="D164" s="1">
        <v>2.0</v>
      </c>
      <c r="E164" s="1" t="s">
        <v>58</v>
      </c>
      <c r="F164" s="30" t="s">
        <v>2870</v>
      </c>
      <c r="G164" s="30" t="s">
        <v>2871</v>
      </c>
      <c r="H164" s="30" t="s">
        <v>2872</v>
      </c>
      <c r="I164" s="1">
        <v>58.0</v>
      </c>
      <c r="J164" s="1">
        <v>64.0</v>
      </c>
      <c r="K164" s="1">
        <v>5.86065573770491</v>
      </c>
      <c r="L164" s="31"/>
      <c r="U164" s="1" t="s">
        <v>2274</v>
      </c>
    </row>
    <row r="165">
      <c r="A165" s="1">
        <v>163.0</v>
      </c>
      <c r="B165" s="1" t="s">
        <v>2873</v>
      </c>
      <c r="C165" s="1" t="s">
        <v>2531</v>
      </c>
      <c r="D165" s="1">
        <v>2.0</v>
      </c>
      <c r="E165" s="1" t="s">
        <v>58</v>
      </c>
      <c r="F165" s="30" t="s">
        <v>2874</v>
      </c>
      <c r="G165" s="30" t="s">
        <v>2875</v>
      </c>
      <c r="H165" s="30" t="s">
        <v>2876</v>
      </c>
      <c r="I165" s="1">
        <v>64.0</v>
      </c>
      <c r="J165" s="1">
        <v>70.0</v>
      </c>
      <c r="K165" s="1">
        <v>5.14794520547945</v>
      </c>
      <c r="L165" s="31"/>
      <c r="U165" s="1" t="s">
        <v>2274</v>
      </c>
    </row>
    <row r="166">
      <c r="A166" s="1">
        <v>164.0</v>
      </c>
      <c r="B166" s="1" t="s">
        <v>2877</v>
      </c>
      <c r="C166" s="1" t="s">
        <v>2407</v>
      </c>
      <c r="D166" s="1">
        <v>2.0</v>
      </c>
      <c r="E166" s="1" t="s">
        <v>58</v>
      </c>
      <c r="F166" s="30" t="s">
        <v>2878</v>
      </c>
      <c r="G166" s="30" t="s">
        <v>2879</v>
      </c>
      <c r="H166" s="30" t="s">
        <v>2880</v>
      </c>
      <c r="I166" s="1">
        <v>47.0</v>
      </c>
      <c r="J166" s="1">
        <v>61.0</v>
      </c>
      <c r="K166" s="1">
        <v>13.6082191780821</v>
      </c>
      <c r="L166" s="31"/>
      <c r="U166" s="1" t="s">
        <v>2274</v>
      </c>
    </row>
    <row r="167">
      <c r="A167" s="1">
        <v>165.0</v>
      </c>
      <c r="B167" s="1" t="s">
        <v>2881</v>
      </c>
      <c r="C167" s="1" t="s">
        <v>2421</v>
      </c>
      <c r="D167" s="1">
        <v>2.0</v>
      </c>
      <c r="E167" s="1" t="s">
        <v>58</v>
      </c>
      <c r="F167" s="30" t="s">
        <v>2882</v>
      </c>
      <c r="G167" s="30" t="s">
        <v>2883</v>
      </c>
      <c r="H167" s="30" t="s">
        <v>2884</v>
      </c>
      <c r="I167" s="1">
        <v>58.0</v>
      </c>
      <c r="J167" s="1">
        <v>58.0</v>
      </c>
      <c r="K167" s="1">
        <v>0.448087431693989</v>
      </c>
      <c r="L167" s="31"/>
      <c r="U167" s="1" t="s">
        <v>2274</v>
      </c>
    </row>
    <row r="168">
      <c r="A168" s="1">
        <v>166.0</v>
      </c>
      <c r="B168" s="1" t="s">
        <v>2885</v>
      </c>
      <c r="C168" s="1" t="s">
        <v>2331</v>
      </c>
      <c r="D168" s="1">
        <v>2.0</v>
      </c>
      <c r="E168" s="1" t="s">
        <v>58</v>
      </c>
      <c r="F168" s="30" t="s">
        <v>2886</v>
      </c>
      <c r="G168" s="30" t="s">
        <v>2887</v>
      </c>
      <c r="H168" s="30" t="s">
        <v>2888</v>
      </c>
      <c r="I168" s="1">
        <v>64.0</v>
      </c>
      <c r="J168" s="1">
        <v>65.0</v>
      </c>
      <c r="K168" s="1">
        <v>0.931506849315068</v>
      </c>
      <c r="L168" s="31"/>
      <c r="U168" s="1" t="s">
        <v>2274</v>
      </c>
    </row>
    <row r="169">
      <c r="A169" s="1">
        <v>167.0</v>
      </c>
      <c r="B169" s="1" t="s">
        <v>2889</v>
      </c>
      <c r="C169" s="1" t="s">
        <v>2553</v>
      </c>
      <c r="D169" s="1">
        <v>3.0</v>
      </c>
      <c r="E169" s="1" t="s">
        <v>2853</v>
      </c>
      <c r="F169" s="30" t="s">
        <v>2890</v>
      </c>
      <c r="G169" s="30" t="s">
        <v>2888</v>
      </c>
      <c r="H169" s="30" t="s">
        <v>2891</v>
      </c>
      <c r="I169" s="1">
        <v>64.0</v>
      </c>
      <c r="J169" s="1">
        <v>73.0</v>
      </c>
      <c r="K169" s="1">
        <v>8.3917808219178</v>
      </c>
      <c r="L169" s="31"/>
      <c r="U169" s="1" t="s">
        <v>2274</v>
      </c>
    </row>
    <row r="170">
      <c r="A170" s="1">
        <v>168.0</v>
      </c>
      <c r="B170" s="1" t="s">
        <v>2892</v>
      </c>
      <c r="C170" s="1" t="s">
        <v>2402</v>
      </c>
      <c r="D170" s="1">
        <v>4.0</v>
      </c>
      <c r="E170" s="1" t="s">
        <v>58</v>
      </c>
      <c r="F170" s="30" t="s">
        <v>2893</v>
      </c>
      <c r="G170" s="30" t="s">
        <v>2894</v>
      </c>
      <c r="H170" s="30" t="s">
        <v>2895</v>
      </c>
      <c r="I170" s="1">
        <v>80.0</v>
      </c>
      <c r="J170" s="1">
        <v>81.0</v>
      </c>
      <c r="K170" s="1">
        <v>1.3945205479452</v>
      </c>
      <c r="L170" s="31"/>
      <c r="U170" s="1" t="s">
        <v>2274</v>
      </c>
    </row>
    <row r="171">
      <c r="A171" s="1">
        <v>169.0</v>
      </c>
      <c r="B171" s="1" t="s">
        <v>2896</v>
      </c>
      <c r="C171" s="1" t="s">
        <v>2631</v>
      </c>
      <c r="D171" s="1">
        <v>4.0</v>
      </c>
      <c r="E171" s="1" t="s">
        <v>58</v>
      </c>
      <c r="F171" s="30" t="s">
        <v>2897</v>
      </c>
      <c r="G171" s="30" t="s">
        <v>2898</v>
      </c>
      <c r="H171" s="30" t="s">
        <v>2899</v>
      </c>
      <c r="I171" s="1">
        <v>54.0</v>
      </c>
      <c r="J171" s="1">
        <v>59.0</v>
      </c>
      <c r="K171" s="1">
        <v>4.74246575342465</v>
      </c>
      <c r="L171" s="31"/>
      <c r="U171" s="1" t="s">
        <v>2274</v>
      </c>
    </row>
    <row r="172">
      <c r="A172" s="1">
        <v>170.0</v>
      </c>
      <c r="B172" s="1" t="s">
        <v>2900</v>
      </c>
      <c r="C172" s="1" t="s">
        <v>2282</v>
      </c>
      <c r="D172" s="1">
        <v>3.0</v>
      </c>
      <c r="E172" s="1" t="s">
        <v>58</v>
      </c>
      <c r="F172" s="30" t="s">
        <v>2897</v>
      </c>
      <c r="G172" s="30" t="s">
        <v>2901</v>
      </c>
      <c r="H172" s="30" t="s">
        <v>2902</v>
      </c>
      <c r="I172" s="1">
        <v>59.0</v>
      </c>
      <c r="J172" s="1">
        <v>81.0</v>
      </c>
      <c r="K172" s="1">
        <v>21.9780821917808</v>
      </c>
      <c r="L172" s="31"/>
      <c r="U172" s="1" t="s">
        <v>2274</v>
      </c>
    </row>
    <row r="173">
      <c r="A173" s="1">
        <v>171.0</v>
      </c>
      <c r="B173" s="1" t="s">
        <v>2903</v>
      </c>
      <c r="C173" s="1" t="s">
        <v>2331</v>
      </c>
      <c r="D173" s="1">
        <v>3.0</v>
      </c>
      <c r="E173" s="1" t="s">
        <v>58</v>
      </c>
      <c r="F173" s="30" t="s">
        <v>2904</v>
      </c>
      <c r="G173" s="30" t="s">
        <v>2905</v>
      </c>
      <c r="H173" s="30" t="s">
        <v>2906</v>
      </c>
      <c r="I173" s="1">
        <v>84.0</v>
      </c>
      <c r="J173" s="1">
        <v>88.0</v>
      </c>
      <c r="K173" s="1">
        <v>4.23287671232876</v>
      </c>
      <c r="L173" s="31"/>
      <c r="U173" s="1" t="s">
        <v>2274</v>
      </c>
    </row>
    <row r="174">
      <c r="A174" s="1">
        <v>172.0</v>
      </c>
      <c r="B174" s="1" t="s">
        <v>2907</v>
      </c>
      <c r="C174" s="1" t="s">
        <v>2313</v>
      </c>
      <c r="D174" s="1">
        <v>3.0</v>
      </c>
      <c r="E174" s="1" t="s">
        <v>58</v>
      </c>
      <c r="F174" s="30" t="s">
        <v>2908</v>
      </c>
      <c r="G174" s="30" t="s">
        <v>2906</v>
      </c>
      <c r="H174" s="30" t="s">
        <v>2909</v>
      </c>
      <c r="I174" s="1">
        <v>65.0</v>
      </c>
      <c r="J174" s="1">
        <v>67.0</v>
      </c>
      <c r="K174" s="1">
        <v>1.90136986301369</v>
      </c>
      <c r="L174" s="31"/>
      <c r="U174" s="1" t="s">
        <v>2274</v>
      </c>
    </row>
    <row r="175">
      <c r="A175" s="1">
        <v>173.0</v>
      </c>
      <c r="B175" s="1" t="s">
        <v>2910</v>
      </c>
      <c r="C175" s="1" t="s">
        <v>2506</v>
      </c>
      <c r="D175" s="1">
        <v>8.0</v>
      </c>
      <c r="E175" s="1" t="s">
        <v>58</v>
      </c>
      <c r="F175" s="30" t="s">
        <v>2897</v>
      </c>
      <c r="G175" s="30" t="s">
        <v>2911</v>
      </c>
      <c r="H175" s="30" t="s">
        <v>2912</v>
      </c>
      <c r="I175" s="1">
        <v>87.0</v>
      </c>
      <c r="J175" s="1">
        <v>87.0</v>
      </c>
      <c r="K175" s="1">
        <v>0.155737704918032</v>
      </c>
      <c r="L175" s="31"/>
      <c r="U175" s="1" t="s">
        <v>2274</v>
      </c>
    </row>
    <row r="176">
      <c r="A176" s="1">
        <v>174.0</v>
      </c>
      <c r="B176" s="1" t="s">
        <v>2913</v>
      </c>
      <c r="C176" s="1" t="s">
        <v>2278</v>
      </c>
      <c r="D176" s="1">
        <v>3.0</v>
      </c>
      <c r="E176" s="1" t="s">
        <v>58</v>
      </c>
      <c r="F176" s="30" t="s">
        <v>2914</v>
      </c>
      <c r="G176" s="30" t="s">
        <v>2915</v>
      </c>
      <c r="H176" s="30" t="s">
        <v>2916</v>
      </c>
      <c r="I176" s="1">
        <v>57.0</v>
      </c>
      <c r="J176" s="1">
        <v>60.0</v>
      </c>
      <c r="K176" s="1">
        <v>3.24931506849315</v>
      </c>
      <c r="L176" s="31"/>
      <c r="U176" s="1" t="s">
        <v>2274</v>
      </c>
    </row>
    <row r="177">
      <c r="A177" s="1">
        <v>175.0</v>
      </c>
      <c r="B177" s="1" t="s">
        <v>2917</v>
      </c>
      <c r="C177" s="1" t="s">
        <v>2421</v>
      </c>
      <c r="D177" s="1">
        <v>3.0</v>
      </c>
      <c r="E177" s="1" t="s">
        <v>58</v>
      </c>
      <c r="F177" s="30" t="s">
        <v>2918</v>
      </c>
      <c r="G177" s="30" t="s">
        <v>2919</v>
      </c>
      <c r="H177" s="30" t="s">
        <v>2920</v>
      </c>
      <c r="I177" s="1">
        <v>84.0</v>
      </c>
      <c r="J177" s="1">
        <v>91.0</v>
      </c>
      <c r="K177" s="1">
        <v>6.77808219178082</v>
      </c>
      <c r="L177" s="31"/>
      <c r="U177" s="1" t="s">
        <v>2274</v>
      </c>
    </row>
    <row r="178">
      <c r="A178" s="1">
        <v>176.0</v>
      </c>
      <c r="B178" s="1" t="s">
        <v>2921</v>
      </c>
      <c r="C178" s="1" t="s">
        <v>2407</v>
      </c>
      <c r="D178" s="1">
        <v>3.0</v>
      </c>
      <c r="E178" s="1" t="s">
        <v>58</v>
      </c>
      <c r="F178" s="30" t="s">
        <v>2922</v>
      </c>
      <c r="G178" s="30" t="s">
        <v>2920</v>
      </c>
      <c r="H178" s="30" t="s">
        <v>2923</v>
      </c>
      <c r="I178" s="1">
        <v>36.0</v>
      </c>
      <c r="J178" s="1">
        <v>55.0</v>
      </c>
      <c r="K178" s="1">
        <v>18.5191256830601</v>
      </c>
      <c r="L178" s="31"/>
      <c r="U178" s="1" t="s">
        <v>2274</v>
      </c>
    </row>
    <row r="179">
      <c r="A179" s="1">
        <v>177.0</v>
      </c>
      <c r="B179" s="1" t="s">
        <v>2924</v>
      </c>
      <c r="C179" s="1" t="s">
        <v>2531</v>
      </c>
      <c r="D179" s="1">
        <v>3.0</v>
      </c>
      <c r="E179" s="1" t="s">
        <v>58</v>
      </c>
      <c r="F179" s="30" t="s">
        <v>2925</v>
      </c>
      <c r="G179" s="30" t="s">
        <v>2926</v>
      </c>
      <c r="H179" s="30" t="s">
        <v>2927</v>
      </c>
      <c r="I179" s="1">
        <v>68.0</v>
      </c>
      <c r="J179" s="1">
        <v>78.0</v>
      </c>
      <c r="K179" s="1">
        <v>10.6657534246575</v>
      </c>
      <c r="L179" s="31"/>
      <c r="U179" s="1" t="s">
        <v>2274</v>
      </c>
    </row>
    <row r="180">
      <c r="A180" s="1">
        <v>178.0</v>
      </c>
      <c r="B180" s="1" t="s">
        <v>2928</v>
      </c>
      <c r="C180" s="1" t="s">
        <v>2506</v>
      </c>
      <c r="D180" s="1">
        <v>9.0</v>
      </c>
      <c r="E180" s="1" t="s">
        <v>58</v>
      </c>
      <c r="F180" s="30" t="s">
        <v>2929</v>
      </c>
      <c r="G180" s="30" t="s">
        <v>2930</v>
      </c>
      <c r="H180" s="30" t="s">
        <v>2931</v>
      </c>
      <c r="I180" s="1">
        <v>81.0</v>
      </c>
      <c r="J180" s="1">
        <v>96.0</v>
      </c>
      <c r="K180" s="1">
        <v>14.4273972602739</v>
      </c>
      <c r="L180" s="31"/>
      <c r="U180" s="1" t="s">
        <v>2274</v>
      </c>
    </row>
    <row r="181">
      <c r="A181" s="1">
        <v>179.0</v>
      </c>
      <c r="B181" s="1" t="s">
        <v>2932</v>
      </c>
      <c r="C181" s="1" t="s">
        <v>2421</v>
      </c>
      <c r="D181" s="1">
        <v>4.0</v>
      </c>
      <c r="E181" s="1" t="s">
        <v>58</v>
      </c>
      <c r="F181" s="30" t="s">
        <v>2933</v>
      </c>
      <c r="G181" s="30" t="s">
        <v>2934</v>
      </c>
      <c r="H181" s="30" t="s">
        <v>2935</v>
      </c>
      <c r="I181" s="1">
        <v>61.0</v>
      </c>
      <c r="J181" s="1">
        <v>61.0</v>
      </c>
      <c r="K181" s="1">
        <v>0.0438356164383561</v>
      </c>
      <c r="L181" s="31"/>
      <c r="U181" s="1" t="s">
        <v>2274</v>
      </c>
    </row>
    <row r="182">
      <c r="A182" s="1">
        <v>180.0</v>
      </c>
      <c r="B182" s="1" t="s">
        <v>2936</v>
      </c>
      <c r="C182" s="1" t="s">
        <v>2407</v>
      </c>
      <c r="D182" s="1">
        <v>4.0</v>
      </c>
      <c r="E182" s="1" t="s">
        <v>58</v>
      </c>
      <c r="F182" s="30" t="s">
        <v>2937</v>
      </c>
      <c r="G182" s="30" t="s">
        <v>2938</v>
      </c>
      <c r="H182" s="30" t="s">
        <v>2939</v>
      </c>
      <c r="I182" s="1">
        <v>47.0</v>
      </c>
      <c r="J182" s="1">
        <v>59.0</v>
      </c>
      <c r="K182" s="1">
        <v>11.4520547945205</v>
      </c>
      <c r="L182" s="31"/>
      <c r="U182" s="1" t="s">
        <v>2274</v>
      </c>
    </row>
    <row r="183">
      <c r="A183" s="1">
        <v>181.0</v>
      </c>
      <c r="B183" s="1" t="s">
        <v>2940</v>
      </c>
      <c r="C183" s="1" t="s">
        <v>2282</v>
      </c>
      <c r="D183" s="1">
        <v>4.0</v>
      </c>
      <c r="E183" s="1" t="s">
        <v>58</v>
      </c>
      <c r="F183" s="30" t="s">
        <v>2941</v>
      </c>
      <c r="G183" s="30" t="s">
        <v>2942</v>
      </c>
      <c r="H183" s="30" t="s">
        <v>2943</v>
      </c>
      <c r="I183" s="1">
        <v>55.0</v>
      </c>
      <c r="J183" s="1">
        <v>61.0</v>
      </c>
      <c r="K183" s="1">
        <v>6.44931506849315</v>
      </c>
      <c r="L183" s="31"/>
      <c r="U183" s="1" t="s">
        <v>2274</v>
      </c>
    </row>
    <row r="184">
      <c r="A184" s="1">
        <v>182.0</v>
      </c>
      <c r="B184" s="1" t="s">
        <v>2944</v>
      </c>
      <c r="C184" s="1" t="s">
        <v>2313</v>
      </c>
      <c r="D184" s="1">
        <v>4.0</v>
      </c>
      <c r="E184" s="1" t="s">
        <v>58</v>
      </c>
      <c r="F184" s="30" t="s">
        <v>2937</v>
      </c>
      <c r="G184" s="30" t="s">
        <v>2945</v>
      </c>
      <c r="H184" s="30" t="s">
        <v>2946</v>
      </c>
      <c r="I184" s="1">
        <v>66.0</v>
      </c>
      <c r="J184" s="1">
        <v>69.0</v>
      </c>
      <c r="K184" s="1">
        <v>3.0931506849315</v>
      </c>
      <c r="L184" s="31"/>
      <c r="U184" s="1" t="s">
        <v>2274</v>
      </c>
    </row>
    <row r="185">
      <c r="A185" s="1">
        <v>183.0</v>
      </c>
      <c r="B185" s="1" t="s">
        <v>2947</v>
      </c>
      <c r="C185" s="1" t="s">
        <v>2278</v>
      </c>
      <c r="D185" s="1">
        <v>4.0</v>
      </c>
      <c r="E185" s="1" t="s">
        <v>58</v>
      </c>
      <c r="F185" s="30" t="s">
        <v>2948</v>
      </c>
      <c r="G185" s="30" t="s">
        <v>2949</v>
      </c>
      <c r="H185" s="30" t="s">
        <v>2950</v>
      </c>
      <c r="I185" s="1">
        <v>74.0</v>
      </c>
      <c r="J185" s="1">
        <v>78.0</v>
      </c>
      <c r="K185" s="1">
        <v>3.81420765027322</v>
      </c>
      <c r="L185" s="31"/>
      <c r="U185" s="1" t="s">
        <v>2274</v>
      </c>
    </row>
    <row r="186">
      <c r="A186" s="1">
        <v>184.0</v>
      </c>
      <c r="B186" s="1" t="s">
        <v>2951</v>
      </c>
      <c r="C186" s="1" t="s">
        <v>2506</v>
      </c>
      <c r="D186" s="1">
        <v>10.0</v>
      </c>
      <c r="E186" s="1" t="s">
        <v>2853</v>
      </c>
      <c r="F186" s="30" t="s">
        <v>2952</v>
      </c>
      <c r="G186" s="30" t="s">
        <v>2953</v>
      </c>
      <c r="H186" s="30" t="s">
        <v>2954</v>
      </c>
      <c r="I186" s="1">
        <v>61.0</v>
      </c>
      <c r="J186" s="1">
        <v>65.0</v>
      </c>
      <c r="K186" s="1">
        <v>4.35792349726776</v>
      </c>
      <c r="L186" s="31"/>
      <c r="U186" s="1" t="s">
        <v>2274</v>
      </c>
    </row>
    <row r="187">
      <c r="A187" s="1">
        <v>185.0</v>
      </c>
      <c r="B187" s="1" t="s">
        <v>2955</v>
      </c>
      <c r="C187" s="1" t="s">
        <v>2407</v>
      </c>
      <c r="D187" s="1">
        <v>5.0</v>
      </c>
      <c r="E187" s="1" t="s">
        <v>2853</v>
      </c>
      <c r="F187" s="30" t="s">
        <v>2956</v>
      </c>
      <c r="G187" s="30" t="s">
        <v>2957</v>
      </c>
      <c r="H187" s="30" t="s">
        <v>2958</v>
      </c>
      <c r="I187" s="1">
        <v>51.0</v>
      </c>
      <c r="J187" s="1">
        <v>51.0</v>
      </c>
      <c r="K187" s="1">
        <v>0.418032786885245</v>
      </c>
      <c r="L187" s="31"/>
      <c r="U187" s="1" t="s">
        <v>2274</v>
      </c>
    </row>
    <row r="188">
      <c r="A188" s="1">
        <v>186.0</v>
      </c>
      <c r="B188" s="1" t="s">
        <v>2959</v>
      </c>
      <c r="C188" s="1" t="s">
        <v>2631</v>
      </c>
      <c r="D188" s="1">
        <v>5.0</v>
      </c>
      <c r="E188" s="1" t="s">
        <v>58</v>
      </c>
      <c r="F188" s="30" t="s">
        <v>2960</v>
      </c>
      <c r="G188" s="30" t="s">
        <v>2961</v>
      </c>
      <c r="H188" s="30" t="s">
        <v>2962</v>
      </c>
      <c r="I188" s="1">
        <v>60.0</v>
      </c>
      <c r="J188" s="1">
        <v>60.0</v>
      </c>
      <c r="K188" s="1">
        <v>0.104109589041095</v>
      </c>
      <c r="L188" s="31"/>
      <c r="U188" s="1" t="s">
        <v>2274</v>
      </c>
    </row>
    <row r="189">
      <c r="A189" s="1">
        <v>187.0</v>
      </c>
      <c r="B189" s="1" t="s">
        <v>2963</v>
      </c>
      <c r="C189" s="1" t="s">
        <v>2462</v>
      </c>
      <c r="D189" s="1">
        <v>21.0</v>
      </c>
      <c r="E189" s="1" t="s">
        <v>58</v>
      </c>
      <c r="F189" s="30" t="s">
        <v>2964</v>
      </c>
      <c r="G189" s="30" t="s">
        <v>2965</v>
      </c>
      <c r="H189" s="30" t="s">
        <v>2966</v>
      </c>
      <c r="I189" s="1">
        <v>61.0</v>
      </c>
      <c r="J189" s="1">
        <v>61.0</v>
      </c>
      <c r="K189" s="1">
        <v>0.695890410958904</v>
      </c>
      <c r="L189" s="31"/>
      <c r="U189" s="1" t="s">
        <v>2274</v>
      </c>
    </row>
    <row r="190">
      <c r="A190" s="1">
        <v>188.0</v>
      </c>
      <c r="B190" s="1" t="s">
        <v>2967</v>
      </c>
      <c r="C190" s="1" t="s">
        <v>2667</v>
      </c>
      <c r="D190" s="1">
        <v>3.0</v>
      </c>
      <c r="E190" s="1" t="s">
        <v>58</v>
      </c>
      <c r="F190" s="30" t="s">
        <v>2960</v>
      </c>
      <c r="G190" s="30" t="s">
        <v>2968</v>
      </c>
      <c r="H190" s="30" t="s">
        <v>2969</v>
      </c>
      <c r="I190" s="1">
        <v>61.0</v>
      </c>
      <c r="J190" s="1">
        <v>64.0</v>
      </c>
      <c r="K190" s="1">
        <v>2.74043715846994</v>
      </c>
      <c r="L190" s="31"/>
      <c r="U190" s="1" t="s">
        <v>2274</v>
      </c>
    </row>
    <row r="191">
      <c r="A191" s="1">
        <v>189.0</v>
      </c>
      <c r="B191" s="1" t="s">
        <v>2970</v>
      </c>
      <c r="C191" s="1" t="s">
        <v>2548</v>
      </c>
      <c r="D191" s="1">
        <v>4.0</v>
      </c>
      <c r="E191" s="1" t="s">
        <v>58</v>
      </c>
      <c r="F191" s="30" t="s">
        <v>2952</v>
      </c>
      <c r="G191" s="30" t="s">
        <v>2971</v>
      </c>
      <c r="H191" s="30" t="s">
        <v>2972</v>
      </c>
      <c r="I191" s="1">
        <v>70.0</v>
      </c>
      <c r="J191" s="1">
        <v>74.0</v>
      </c>
      <c r="K191" s="1">
        <v>4.0931506849315</v>
      </c>
      <c r="L191" s="31"/>
      <c r="U191" s="1" t="s">
        <v>2274</v>
      </c>
    </row>
    <row r="192">
      <c r="A192" s="1">
        <v>190.0</v>
      </c>
      <c r="B192" s="1" t="s">
        <v>2973</v>
      </c>
      <c r="C192" s="1" t="s">
        <v>2531</v>
      </c>
      <c r="D192" s="1">
        <v>4.0</v>
      </c>
      <c r="E192" s="1" t="s">
        <v>58</v>
      </c>
      <c r="F192" s="30" t="s">
        <v>2952</v>
      </c>
      <c r="G192" s="30" t="s">
        <v>2974</v>
      </c>
      <c r="H192" s="30" t="s">
        <v>2975</v>
      </c>
      <c r="I192" s="1">
        <v>74.0</v>
      </c>
      <c r="J192" s="1">
        <v>76.0</v>
      </c>
      <c r="K192" s="1">
        <v>2.00273224043715</v>
      </c>
      <c r="L192" s="31"/>
      <c r="U192" s="1" t="s">
        <v>2274</v>
      </c>
    </row>
    <row r="193">
      <c r="A193" s="1">
        <v>191.0</v>
      </c>
      <c r="B193" s="1" t="s">
        <v>2976</v>
      </c>
      <c r="C193" s="1" t="s">
        <v>2667</v>
      </c>
      <c r="D193" s="1">
        <v>4.0</v>
      </c>
      <c r="E193" s="1" t="s">
        <v>58</v>
      </c>
      <c r="F193" s="30" t="s">
        <v>2977</v>
      </c>
      <c r="G193" s="30" t="s">
        <v>2978</v>
      </c>
      <c r="H193" s="30" t="s">
        <v>2979</v>
      </c>
      <c r="I193" s="1">
        <v>60.0</v>
      </c>
      <c r="J193" s="1">
        <v>64.0</v>
      </c>
      <c r="K193" s="1">
        <v>4.11475409836065</v>
      </c>
      <c r="L193" s="31"/>
      <c r="U193" s="1" t="s">
        <v>2274</v>
      </c>
    </row>
    <row r="194">
      <c r="A194" s="1">
        <v>192.0</v>
      </c>
      <c r="B194" s="1" t="s">
        <v>2980</v>
      </c>
      <c r="C194" s="1" t="s">
        <v>2421</v>
      </c>
      <c r="D194" s="1">
        <v>5.0</v>
      </c>
      <c r="E194" s="1" t="s">
        <v>2273</v>
      </c>
      <c r="F194" s="30" t="s">
        <v>58</v>
      </c>
      <c r="G194" s="30" t="s">
        <v>2981</v>
      </c>
      <c r="H194" s="30" t="s">
        <v>2982</v>
      </c>
      <c r="I194" s="1" t="s">
        <v>58</v>
      </c>
      <c r="J194" s="1" t="s">
        <v>58</v>
      </c>
      <c r="K194" s="1">
        <v>0.441095890410958</v>
      </c>
      <c r="L194" s="31"/>
      <c r="U194" s="1" t="s">
        <v>2274</v>
      </c>
    </row>
    <row r="195">
      <c r="A195" s="1">
        <v>193.0</v>
      </c>
      <c r="B195" s="1" t="s">
        <v>2983</v>
      </c>
      <c r="C195" s="1" t="s">
        <v>2416</v>
      </c>
      <c r="D195" s="1">
        <v>8.0</v>
      </c>
      <c r="E195" s="1" t="s">
        <v>58</v>
      </c>
      <c r="F195" s="30" t="s">
        <v>2984</v>
      </c>
      <c r="G195" s="30" t="s">
        <v>2985</v>
      </c>
      <c r="H195" s="30" t="s">
        <v>2986</v>
      </c>
      <c r="I195" s="1">
        <v>64.0</v>
      </c>
      <c r="J195" s="1">
        <v>73.0</v>
      </c>
      <c r="K195" s="1">
        <v>8.7972602739726</v>
      </c>
      <c r="L195" s="31"/>
      <c r="U195" s="1" t="s">
        <v>2274</v>
      </c>
    </row>
    <row r="196">
      <c r="A196" s="1">
        <v>194.0</v>
      </c>
      <c r="B196" s="1" t="s">
        <v>2987</v>
      </c>
      <c r="C196" s="1" t="s">
        <v>2498</v>
      </c>
      <c r="D196" s="1">
        <v>11.0</v>
      </c>
      <c r="E196" s="1" t="s">
        <v>2853</v>
      </c>
      <c r="F196" s="30" t="s">
        <v>2988</v>
      </c>
      <c r="G196" s="30" t="s">
        <v>2989</v>
      </c>
      <c r="H196" s="30" t="s">
        <v>2990</v>
      </c>
      <c r="I196" s="1">
        <v>63.0</v>
      </c>
      <c r="J196" s="1">
        <v>64.0</v>
      </c>
      <c r="K196" s="1">
        <v>0.707650273224043</v>
      </c>
      <c r="L196" s="31"/>
      <c r="U196" s="1" t="s">
        <v>2274</v>
      </c>
    </row>
    <row r="197">
      <c r="A197" s="1">
        <v>195.0</v>
      </c>
      <c r="B197" s="1" t="s">
        <v>2991</v>
      </c>
      <c r="C197" s="1" t="s">
        <v>2278</v>
      </c>
      <c r="D197" s="1">
        <v>5.0</v>
      </c>
      <c r="E197" s="1" t="s">
        <v>58</v>
      </c>
      <c r="F197" s="30" t="s">
        <v>2992</v>
      </c>
      <c r="G197" s="30" t="s">
        <v>2993</v>
      </c>
      <c r="H197" s="30" t="s">
        <v>2994</v>
      </c>
      <c r="I197" s="1">
        <v>40.0</v>
      </c>
      <c r="J197" s="1">
        <v>49.0</v>
      </c>
      <c r="K197" s="1">
        <v>8.87397260273972</v>
      </c>
      <c r="L197" s="31"/>
      <c r="U197" s="1" t="s">
        <v>2274</v>
      </c>
    </row>
    <row r="198">
      <c r="A198" s="1">
        <v>196.0</v>
      </c>
      <c r="B198" s="1" t="s">
        <v>2995</v>
      </c>
      <c r="C198" s="1" t="s">
        <v>2462</v>
      </c>
      <c r="D198" s="1">
        <v>22.0</v>
      </c>
      <c r="E198" s="1" t="s">
        <v>58</v>
      </c>
      <c r="F198" s="30" t="s">
        <v>2996</v>
      </c>
      <c r="G198" s="30" t="s">
        <v>2997</v>
      </c>
      <c r="H198" s="30" t="s">
        <v>2998</v>
      </c>
      <c r="I198" s="1">
        <v>72.0</v>
      </c>
      <c r="J198" s="1">
        <v>90.0</v>
      </c>
      <c r="K198" s="1">
        <v>18.3260273972602</v>
      </c>
      <c r="L198" s="31"/>
      <c r="U198" s="1" t="s">
        <v>2274</v>
      </c>
    </row>
    <row r="199">
      <c r="A199" s="1">
        <v>197.0</v>
      </c>
      <c r="B199" s="1" t="s">
        <v>2999</v>
      </c>
      <c r="C199" s="1" t="s">
        <v>2498</v>
      </c>
      <c r="D199" s="1">
        <v>12.0</v>
      </c>
      <c r="E199" s="1" t="s">
        <v>58</v>
      </c>
      <c r="F199" s="30" t="s">
        <v>3000</v>
      </c>
      <c r="G199" s="30" t="s">
        <v>3001</v>
      </c>
      <c r="H199" s="30" t="s">
        <v>3002</v>
      </c>
      <c r="I199" s="1">
        <v>54.0</v>
      </c>
      <c r="J199" s="1">
        <v>61.0</v>
      </c>
      <c r="K199" s="1">
        <v>7.34520547945205</v>
      </c>
      <c r="L199" s="31"/>
      <c r="U199" s="1" t="s">
        <v>2274</v>
      </c>
    </row>
    <row r="200">
      <c r="A200" s="1">
        <v>198.0</v>
      </c>
      <c r="B200" s="1" t="s">
        <v>3003</v>
      </c>
      <c r="C200" s="1" t="s">
        <v>2278</v>
      </c>
      <c r="D200" s="1">
        <v>6.0</v>
      </c>
      <c r="E200" s="1" t="s">
        <v>58</v>
      </c>
      <c r="F200" s="30" t="s">
        <v>3004</v>
      </c>
      <c r="G200" s="30" t="s">
        <v>3005</v>
      </c>
      <c r="H200" s="30" t="s">
        <v>3006</v>
      </c>
      <c r="I200" s="1">
        <v>50.0</v>
      </c>
      <c r="J200" s="1">
        <v>61.0</v>
      </c>
      <c r="K200" s="1">
        <v>10.5835616438356</v>
      </c>
      <c r="L200" s="31"/>
      <c r="U200" s="1" t="s">
        <v>2274</v>
      </c>
    </row>
    <row r="201">
      <c r="A201" s="1">
        <v>199.0</v>
      </c>
      <c r="B201" s="1" t="s">
        <v>3007</v>
      </c>
      <c r="C201" s="1" t="s">
        <v>2407</v>
      </c>
      <c r="D201" s="1">
        <v>6.0</v>
      </c>
      <c r="E201" s="1" t="s">
        <v>58</v>
      </c>
      <c r="F201" s="30" t="s">
        <v>3008</v>
      </c>
      <c r="G201" s="30" t="s">
        <v>3009</v>
      </c>
      <c r="H201" s="30" t="s">
        <v>3010</v>
      </c>
      <c r="I201" s="1">
        <v>70.0</v>
      </c>
      <c r="J201" s="1">
        <v>80.0</v>
      </c>
      <c r="K201" s="1">
        <v>9.73424657534246</v>
      </c>
      <c r="L201" s="31"/>
      <c r="U201" s="1" t="s">
        <v>2274</v>
      </c>
    </row>
    <row r="202">
      <c r="A202" s="1">
        <v>200.0</v>
      </c>
      <c r="B202" s="1" t="s">
        <v>3011</v>
      </c>
      <c r="C202" s="1" t="s">
        <v>2313</v>
      </c>
      <c r="D202" s="1">
        <v>5.0</v>
      </c>
      <c r="E202" s="1" t="s">
        <v>2853</v>
      </c>
      <c r="F202" s="30" t="s">
        <v>3012</v>
      </c>
      <c r="G202" s="30" t="s">
        <v>3013</v>
      </c>
      <c r="H202" s="30" t="s">
        <v>3014</v>
      </c>
      <c r="I202" s="1">
        <v>53.0</v>
      </c>
      <c r="J202" s="1">
        <v>61.0</v>
      </c>
      <c r="K202" s="1">
        <v>8.22465753424657</v>
      </c>
      <c r="L202" s="31"/>
      <c r="U202" s="1" t="s">
        <v>2274</v>
      </c>
    </row>
    <row r="203">
      <c r="A203" s="1">
        <v>201.0</v>
      </c>
      <c r="B203" s="1" t="s">
        <v>3015</v>
      </c>
      <c r="C203" s="1" t="s">
        <v>2506</v>
      </c>
      <c r="D203" s="1">
        <v>11.0</v>
      </c>
      <c r="E203" s="1" t="s">
        <v>58</v>
      </c>
      <c r="F203" s="30" t="s">
        <v>3016</v>
      </c>
      <c r="G203" s="30" t="s">
        <v>3017</v>
      </c>
      <c r="H203" s="30" t="s">
        <v>3018</v>
      </c>
      <c r="I203" s="1">
        <v>41.0</v>
      </c>
      <c r="J203" s="1">
        <v>48.0</v>
      </c>
      <c r="K203" s="1">
        <v>7.23835616438356</v>
      </c>
      <c r="L203" s="31"/>
      <c r="U203" s="1" t="s">
        <v>2274</v>
      </c>
    </row>
    <row r="204">
      <c r="A204" s="1">
        <v>202.0</v>
      </c>
      <c r="B204" s="1" t="s">
        <v>3019</v>
      </c>
      <c r="C204" s="1" t="s">
        <v>2313</v>
      </c>
      <c r="D204" s="1">
        <v>6.0</v>
      </c>
      <c r="E204" s="1" t="s">
        <v>58</v>
      </c>
      <c r="F204" s="30" t="s">
        <v>3020</v>
      </c>
      <c r="G204" s="30" t="s">
        <v>3021</v>
      </c>
      <c r="H204" s="30" t="s">
        <v>3022</v>
      </c>
      <c r="I204" s="1">
        <v>59.0</v>
      </c>
      <c r="J204" s="1">
        <v>71.0</v>
      </c>
      <c r="K204" s="1">
        <v>11.5205479452054</v>
      </c>
      <c r="L204" s="31"/>
      <c r="U204" s="1" t="s">
        <v>2274</v>
      </c>
    </row>
    <row r="205">
      <c r="A205" s="1">
        <v>203.0</v>
      </c>
      <c r="B205" s="1" t="s">
        <v>3023</v>
      </c>
      <c r="C205" s="1" t="s">
        <v>2416</v>
      </c>
      <c r="D205" s="1">
        <v>9.0</v>
      </c>
      <c r="E205" s="1" t="s">
        <v>58</v>
      </c>
      <c r="F205" s="30" t="s">
        <v>3024</v>
      </c>
      <c r="G205" s="30" t="s">
        <v>3025</v>
      </c>
      <c r="H205" s="30" t="s">
        <v>3026</v>
      </c>
      <c r="I205" s="1">
        <v>41.0</v>
      </c>
      <c r="J205" s="1">
        <v>56.0</v>
      </c>
      <c r="K205" s="1">
        <v>14.9125683060109</v>
      </c>
      <c r="L205" s="31"/>
      <c r="U205" s="1" t="s">
        <v>2274</v>
      </c>
    </row>
    <row r="206">
      <c r="A206" s="1">
        <v>204.0</v>
      </c>
      <c r="B206" s="1" t="s">
        <v>3027</v>
      </c>
      <c r="C206" s="1" t="s">
        <v>2407</v>
      </c>
      <c r="D206" s="1">
        <v>7.0</v>
      </c>
      <c r="E206" s="1" t="s">
        <v>58</v>
      </c>
      <c r="F206" s="30" t="s">
        <v>3028</v>
      </c>
      <c r="G206" s="30" t="s">
        <v>3029</v>
      </c>
      <c r="H206" s="30" t="s">
        <v>3030</v>
      </c>
      <c r="I206" s="1">
        <v>68.0</v>
      </c>
      <c r="J206" s="1">
        <v>70.0</v>
      </c>
      <c r="K206" s="1">
        <v>2.05479452054794</v>
      </c>
      <c r="L206" s="31"/>
      <c r="U206" s="1" t="s">
        <v>2274</v>
      </c>
    </row>
    <row r="207">
      <c r="A207" s="1">
        <v>205.0</v>
      </c>
      <c r="B207" s="1" t="s">
        <v>3031</v>
      </c>
      <c r="C207" s="1" t="s">
        <v>2506</v>
      </c>
      <c r="D207" s="1">
        <v>12.0</v>
      </c>
      <c r="E207" s="1" t="s">
        <v>58</v>
      </c>
      <c r="F207" s="30" t="s">
        <v>3032</v>
      </c>
      <c r="G207" s="30" t="s">
        <v>3033</v>
      </c>
      <c r="H207" s="30" t="s">
        <v>3034</v>
      </c>
      <c r="I207" s="1">
        <v>79.0</v>
      </c>
      <c r="J207" s="1">
        <v>88.0</v>
      </c>
      <c r="K207" s="1">
        <v>8.5917808219178</v>
      </c>
      <c r="L207" s="31"/>
      <c r="U207" s="1" t="s">
        <v>2274</v>
      </c>
    </row>
    <row r="208">
      <c r="A208" s="1">
        <v>206.0</v>
      </c>
      <c r="B208" s="1" t="s">
        <v>3035</v>
      </c>
      <c r="C208" s="1" t="s">
        <v>2548</v>
      </c>
      <c r="D208" s="1">
        <v>5.0</v>
      </c>
      <c r="E208" s="1" t="s">
        <v>58</v>
      </c>
      <c r="F208" s="30" t="s">
        <v>3036</v>
      </c>
      <c r="G208" s="30" t="s">
        <v>3037</v>
      </c>
      <c r="H208" s="30" t="s">
        <v>3038</v>
      </c>
      <c r="I208" s="1">
        <v>48.0</v>
      </c>
      <c r="J208" s="1">
        <v>61.0</v>
      </c>
      <c r="K208" s="1">
        <v>13.2767123287671</v>
      </c>
      <c r="L208" s="31"/>
      <c r="U208" s="1" t="s">
        <v>2274</v>
      </c>
    </row>
    <row r="209">
      <c r="A209" s="1">
        <v>207.0</v>
      </c>
      <c r="B209" s="1" t="s">
        <v>3039</v>
      </c>
      <c r="C209" s="1" t="s">
        <v>2553</v>
      </c>
      <c r="D209" s="1">
        <v>4.0</v>
      </c>
      <c r="E209" s="1" t="s">
        <v>58</v>
      </c>
      <c r="F209" s="30" t="s">
        <v>3040</v>
      </c>
      <c r="G209" s="30" t="s">
        <v>3041</v>
      </c>
      <c r="H209" s="30" t="s">
        <v>3042</v>
      </c>
      <c r="I209" s="1">
        <v>47.0</v>
      </c>
      <c r="J209" s="1">
        <v>63.0</v>
      </c>
      <c r="K209" s="1">
        <v>15.9780821917808</v>
      </c>
      <c r="L209" s="31"/>
      <c r="U209" s="1" t="s">
        <v>2274</v>
      </c>
    </row>
    <row r="210">
      <c r="A210" s="1">
        <v>208.0</v>
      </c>
      <c r="B210" s="1" t="s">
        <v>3043</v>
      </c>
      <c r="C210" s="1" t="s">
        <v>2667</v>
      </c>
      <c r="D210" s="1">
        <v>5.0</v>
      </c>
      <c r="E210" s="1" t="s">
        <v>58</v>
      </c>
      <c r="F210" s="30" t="s">
        <v>3044</v>
      </c>
      <c r="G210" s="30" t="s">
        <v>3045</v>
      </c>
      <c r="H210" s="30" t="s">
        <v>3046</v>
      </c>
      <c r="I210" s="1">
        <v>49.0</v>
      </c>
      <c r="J210" s="1">
        <v>57.0</v>
      </c>
      <c r="K210" s="1">
        <v>8.04918032786885</v>
      </c>
      <c r="L210" s="31"/>
      <c r="U210" s="1" t="s">
        <v>2274</v>
      </c>
    </row>
    <row r="211">
      <c r="A211" s="1">
        <v>209.0</v>
      </c>
      <c r="B211" s="1" t="s">
        <v>3047</v>
      </c>
      <c r="C211" s="1" t="s">
        <v>2310</v>
      </c>
      <c r="D211" s="1">
        <v>3.0</v>
      </c>
      <c r="E211" s="1" t="s">
        <v>58</v>
      </c>
      <c r="F211" s="30" t="s">
        <v>3048</v>
      </c>
      <c r="G211" s="30" t="s">
        <v>3049</v>
      </c>
      <c r="H211" s="30" t="s">
        <v>3050</v>
      </c>
      <c r="I211" s="1">
        <v>76.0</v>
      </c>
      <c r="J211" s="1">
        <v>79.0</v>
      </c>
      <c r="K211" s="1">
        <v>3.32876712328767</v>
      </c>
      <c r="L211" s="31"/>
      <c r="U211" s="1" t="s">
        <v>2274</v>
      </c>
    </row>
    <row r="212">
      <c r="A212" s="1">
        <v>210.0</v>
      </c>
      <c r="B212" s="1" t="s">
        <v>3051</v>
      </c>
      <c r="C212" s="1" t="s">
        <v>2292</v>
      </c>
      <c r="D212" s="1">
        <v>2.0</v>
      </c>
      <c r="E212" s="1" t="s">
        <v>58</v>
      </c>
      <c r="F212" s="30" t="s">
        <v>3052</v>
      </c>
      <c r="G212" s="30" t="s">
        <v>3053</v>
      </c>
      <c r="H212" s="30" t="s">
        <v>3054</v>
      </c>
      <c r="I212" s="1">
        <v>52.0</v>
      </c>
      <c r="J212" s="1">
        <v>58.0</v>
      </c>
      <c r="K212" s="1">
        <v>5.98907103825136</v>
      </c>
      <c r="L212" s="31"/>
      <c r="U212" s="1" t="s">
        <v>2274</v>
      </c>
    </row>
    <row r="213">
      <c r="A213" s="1">
        <v>211.0</v>
      </c>
      <c r="B213" s="1" t="s">
        <v>3055</v>
      </c>
      <c r="C213" s="1" t="s">
        <v>2622</v>
      </c>
      <c r="D213" s="1">
        <v>2.0</v>
      </c>
      <c r="E213" s="1" t="s">
        <v>58</v>
      </c>
      <c r="F213" s="30" t="s">
        <v>3056</v>
      </c>
      <c r="G213" s="30" t="s">
        <v>3057</v>
      </c>
      <c r="H213" s="30" t="s">
        <v>3058</v>
      </c>
      <c r="I213" s="1">
        <v>47.0</v>
      </c>
      <c r="J213" s="1">
        <v>54.0</v>
      </c>
      <c r="K213" s="1">
        <v>6.90410958904109</v>
      </c>
      <c r="L213" s="31"/>
      <c r="U213" s="1" t="s">
        <v>2274</v>
      </c>
      <c r="V213" s="1" t="s">
        <v>28</v>
      </c>
    </row>
    <row r="214">
      <c r="A214" s="1">
        <v>212.0</v>
      </c>
      <c r="B214" s="1" t="s">
        <v>3059</v>
      </c>
      <c r="C214" s="1" t="s">
        <v>2285</v>
      </c>
      <c r="D214" s="1">
        <v>4.0</v>
      </c>
      <c r="E214" s="1" t="s">
        <v>58</v>
      </c>
      <c r="F214" s="30" t="s">
        <v>3060</v>
      </c>
      <c r="G214" s="30" t="s">
        <v>3061</v>
      </c>
      <c r="H214" s="30" t="s">
        <v>3062</v>
      </c>
      <c r="I214" s="1">
        <v>57.0</v>
      </c>
      <c r="J214" s="1">
        <v>70.0</v>
      </c>
      <c r="K214" s="1">
        <v>13.0082191780821</v>
      </c>
      <c r="L214" s="31"/>
      <c r="U214" s="1" t="s">
        <v>2274</v>
      </c>
      <c r="V214" s="1" t="s">
        <v>28</v>
      </c>
    </row>
    <row r="215">
      <c r="A215" s="1">
        <v>213.0</v>
      </c>
      <c r="B215" s="1" t="s">
        <v>3063</v>
      </c>
      <c r="C215" s="1" t="s">
        <v>2407</v>
      </c>
      <c r="D215" s="1">
        <v>8.0</v>
      </c>
      <c r="E215" s="1" t="s">
        <v>58</v>
      </c>
      <c r="F215" s="30" t="s">
        <v>3064</v>
      </c>
      <c r="G215" s="30" t="s">
        <v>3065</v>
      </c>
      <c r="H215" s="30" t="s">
        <v>3066</v>
      </c>
      <c r="I215" s="1">
        <v>52.0</v>
      </c>
      <c r="J215" s="1">
        <v>60.0</v>
      </c>
      <c r="K215" s="1">
        <v>7.90437158469945</v>
      </c>
      <c r="L215" s="31"/>
      <c r="U215" s="1" t="s">
        <v>2274</v>
      </c>
    </row>
    <row r="216">
      <c r="A216" s="1">
        <v>214.0</v>
      </c>
      <c r="B216" s="1" t="s">
        <v>3067</v>
      </c>
      <c r="C216" s="1" t="s">
        <v>2282</v>
      </c>
      <c r="D216" s="1">
        <v>6.0</v>
      </c>
      <c r="E216" s="1" t="s">
        <v>58</v>
      </c>
      <c r="F216" s="30" t="s">
        <v>3068</v>
      </c>
      <c r="G216" s="30" t="s">
        <v>3069</v>
      </c>
      <c r="H216" s="30" t="s">
        <v>3070</v>
      </c>
      <c r="I216" s="1">
        <v>61.0</v>
      </c>
      <c r="J216" s="1">
        <v>72.0</v>
      </c>
      <c r="K216" s="1">
        <v>11.0191256830601</v>
      </c>
      <c r="L216" s="31"/>
      <c r="U216" s="1" t="s">
        <v>2274</v>
      </c>
    </row>
    <row r="217">
      <c r="A217" s="1">
        <v>215.0</v>
      </c>
      <c r="B217" s="1" t="s">
        <v>3071</v>
      </c>
      <c r="C217" s="1" t="s">
        <v>2292</v>
      </c>
      <c r="D217" s="1">
        <v>3.0</v>
      </c>
      <c r="E217" s="1" t="s">
        <v>58</v>
      </c>
      <c r="F217" s="30" t="s">
        <v>3072</v>
      </c>
      <c r="G217" s="30" t="s">
        <v>3073</v>
      </c>
      <c r="H217" s="30" t="s">
        <v>3074</v>
      </c>
      <c r="I217" s="1">
        <v>64.0</v>
      </c>
      <c r="J217" s="1">
        <v>64.0</v>
      </c>
      <c r="K217" s="1">
        <v>0.0710382513661202</v>
      </c>
      <c r="L217" s="31"/>
      <c r="U217" s="1" t="s">
        <v>2274</v>
      </c>
    </row>
    <row r="218">
      <c r="A218" s="1">
        <v>216.0</v>
      </c>
      <c r="B218" s="1" t="s">
        <v>3075</v>
      </c>
      <c r="C218" s="1" t="s">
        <v>2384</v>
      </c>
      <c r="D218" s="1">
        <v>2.0</v>
      </c>
      <c r="E218" s="1" t="s">
        <v>58</v>
      </c>
      <c r="F218" s="30" t="s">
        <v>3076</v>
      </c>
      <c r="G218" s="30" t="s">
        <v>3077</v>
      </c>
      <c r="H218" s="30" t="s">
        <v>3078</v>
      </c>
      <c r="I218" s="1">
        <v>59.0</v>
      </c>
      <c r="J218" s="1">
        <v>69.0</v>
      </c>
      <c r="K218" s="1">
        <v>9.30958904109589</v>
      </c>
      <c r="L218" s="31"/>
      <c r="U218" s="1" t="s">
        <v>2274</v>
      </c>
    </row>
    <row r="219">
      <c r="A219" s="1">
        <v>217.0</v>
      </c>
      <c r="B219" s="1" t="s">
        <v>3079</v>
      </c>
      <c r="C219" s="1" t="s">
        <v>2430</v>
      </c>
      <c r="D219" s="1">
        <v>10.0</v>
      </c>
      <c r="E219" s="1" t="s">
        <v>58</v>
      </c>
      <c r="F219" s="30" t="s">
        <v>3080</v>
      </c>
      <c r="G219" s="30" t="s">
        <v>3081</v>
      </c>
      <c r="H219" s="30" t="s">
        <v>3082</v>
      </c>
      <c r="I219" s="1">
        <v>37.0</v>
      </c>
      <c r="J219" s="1">
        <v>45.0</v>
      </c>
      <c r="K219" s="1">
        <v>8.73150684931506</v>
      </c>
      <c r="L219" s="31"/>
      <c r="U219" s="1" t="s">
        <v>2274</v>
      </c>
      <c r="V219" s="1" t="s">
        <v>28</v>
      </c>
    </row>
    <row r="220">
      <c r="A220" s="1">
        <v>218.0</v>
      </c>
      <c r="B220" s="1" t="s">
        <v>3083</v>
      </c>
      <c r="C220" s="1" t="s">
        <v>2631</v>
      </c>
      <c r="D220" s="1">
        <v>6.0</v>
      </c>
      <c r="E220" s="1" t="s">
        <v>58</v>
      </c>
      <c r="F220" s="30" t="s">
        <v>3084</v>
      </c>
      <c r="G220" s="30" t="s">
        <v>3085</v>
      </c>
      <c r="H220" s="30" t="s">
        <v>3086</v>
      </c>
      <c r="I220" s="1">
        <v>62.0</v>
      </c>
      <c r="J220" s="1">
        <v>64.0</v>
      </c>
      <c r="K220" s="1">
        <v>1.67945205479452</v>
      </c>
      <c r="L220" s="31"/>
      <c r="U220" s="1" t="s">
        <v>2274</v>
      </c>
    </row>
    <row r="221">
      <c r="A221" s="1">
        <v>219.0</v>
      </c>
      <c r="B221" s="1" t="s">
        <v>3087</v>
      </c>
      <c r="C221" s="1" t="s">
        <v>2278</v>
      </c>
      <c r="D221" s="1">
        <v>7.0</v>
      </c>
      <c r="E221" s="1" t="s">
        <v>58</v>
      </c>
      <c r="F221" s="30" t="s">
        <v>3088</v>
      </c>
      <c r="G221" s="30" t="s">
        <v>3089</v>
      </c>
      <c r="H221" s="30" t="s">
        <v>3090</v>
      </c>
      <c r="I221" s="1">
        <v>45.0</v>
      </c>
      <c r="J221" s="1">
        <v>56.0</v>
      </c>
      <c r="K221" s="1">
        <v>10.8301369863013</v>
      </c>
      <c r="L221" s="31"/>
      <c r="U221" s="1" t="s">
        <v>2274</v>
      </c>
    </row>
    <row r="222">
      <c r="A222" s="1">
        <v>220.0</v>
      </c>
      <c r="B222" s="1" t="s">
        <v>3091</v>
      </c>
      <c r="C222" s="1" t="s">
        <v>2622</v>
      </c>
      <c r="D222" s="1">
        <v>3.0</v>
      </c>
      <c r="E222" s="1" t="s">
        <v>58</v>
      </c>
      <c r="F222" s="30" t="s">
        <v>3092</v>
      </c>
      <c r="G222" s="30" t="s">
        <v>3093</v>
      </c>
      <c r="H222" s="30" t="s">
        <v>3094</v>
      </c>
      <c r="I222" s="1">
        <v>66.0</v>
      </c>
      <c r="J222" s="1">
        <v>81.0</v>
      </c>
      <c r="K222" s="1">
        <v>15.0767123287671</v>
      </c>
      <c r="L222" s="31"/>
      <c r="U222" s="1" t="s">
        <v>2274</v>
      </c>
    </row>
    <row r="223">
      <c r="A223" s="1">
        <v>221.0</v>
      </c>
      <c r="B223" s="1" t="s">
        <v>3095</v>
      </c>
      <c r="C223" s="1" t="s">
        <v>2384</v>
      </c>
      <c r="D223" s="1">
        <v>3.0</v>
      </c>
      <c r="E223" s="1" t="s">
        <v>58</v>
      </c>
      <c r="F223" s="30" t="s">
        <v>3096</v>
      </c>
      <c r="G223" s="30" t="s">
        <v>3097</v>
      </c>
      <c r="H223" s="30" t="s">
        <v>3098</v>
      </c>
      <c r="I223" s="1">
        <v>62.0</v>
      </c>
      <c r="J223" s="1">
        <v>67.0</v>
      </c>
      <c r="K223" s="1">
        <v>5.13698630136986</v>
      </c>
      <c r="L223" s="31"/>
      <c r="U223" s="1" t="s">
        <v>2274</v>
      </c>
      <c r="V223" s="1" t="s">
        <v>28</v>
      </c>
    </row>
    <row r="224">
      <c r="A224" s="1">
        <v>222.0</v>
      </c>
      <c r="B224" s="1" t="s">
        <v>3099</v>
      </c>
      <c r="C224" s="1" t="s">
        <v>2363</v>
      </c>
      <c r="D224" s="1">
        <v>2.0</v>
      </c>
      <c r="E224" s="1" t="s">
        <v>58</v>
      </c>
      <c r="F224" s="30" t="s">
        <v>3100</v>
      </c>
      <c r="G224" s="30" t="s">
        <v>3101</v>
      </c>
      <c r="H224" s="30" t="s">
        <v>3102</v>
      </c>
      <c r="I224" s="1">
        <v>53.0</v>
      </c>
      <c r="J224" s="1">
        <v>53.0</v>
      </c>
      <c r="K224" s="1">
        <v>0.0601092896174863</v>
      </c>
      <c r="L224" s="31"/>
      <c r="U224" s="1" t="s">
        <v>2274</v>
      </c>
    </row>
    <row r="225">
      <c r="A225" s="1">
        <v>223.0</v>
      </c>
      <c r="B225" s="1" t="s">
        <v>3103</v>
      </c>
      <c r="C225" s="1" t="s">
        <v>2622</v>
      </c>
      <c r="D225" s="1">
        <v>4.0</v>
      </c>
      <c r="E225" s="1" t="s">
        <v>58</v>
      </c>
      <c r="F225" s="30" t="s">
        <v>3104</v>
      </c>
      <c r="G225" s="30" t="s">
        <v>3105</v>
      </c>
      <c r="H225" s="30" t="s">
        <v>3106</v>
      </c>
      <c r="I225" s="1">
        <v>78.0</v>
      </c>
      <c r="J225" s="1">
        <v>83.0</v>
      </c>
      <c r="K225" s="1">
        <v>4.23770491803278</v>
      </c>
      <c r="L225" s="31"/>
      <c r="U225" s="1" t="s">
        <v>2274</v>
      </c>
    </row>
    <row r="226">
      <c r="A226" s="1">
        <v>224.0</v>
      </c>
      <c r="B226" s="1" t="s">
        <v>3107</v>
      </c>
      <c r="C226" s="1" t="s">
        <v>2292</v>
      </c>
      <c r="D226" s="1">
        <v>4.0</v>
      </c>
      <c r="E226" s="1" t="s">
        <v>58</v>
      </c>
      <c r="F226" s="30" t="s">
        <v>3108</v>
      </c>
      <c r="G226" s="30" t="s">
        <v>3109</v>
      </c>
      <c r="H226" s="30" t="s">
        <v>3110</v>
      </c>
      <c r="I226" s="1">
        <v>60.0</v>
      </c>
      <c r="J226" s="1">
        <v>66.0</v>
      </c>
      <c r="K226" s="1">
        <v>5.95342465753424</v>
      </c>
      <c r="L226" s="31"/>
      <c r="U226" s="1" t="s">
        <v>2274</v>
      </c>
    </row>
    <row r="227">
      <c r="A227" s="1">
        <v>225.0</v>
      </c>
      <c r="B227" s="1" t="s">
        <v>3111</v>
      </c>
      <c r="C227" s="1" t="s">
        <v>2292</v>
      </c>
      <c r="D227" s="1">
        <v>5.0</v>
      </c>
      <c r="E227" s="1" t="s">
        <v>2273</v>
      </c>
      <c r="F227" s="30" t="s">
        <v>3112</v>
      </c>
      <c r="G227" s="30" t="s">
        <v>3113</v>
      </c>
      <c r="H227" s="30" t="s">
        <v>3114</v>
      </c>
      <c r="I227" s="1">
        <v>61.0</v>
      </c>
      <c r="J227" s="1">
        <v>68.0</v>
      </c>
      <c r="K227" s="1">
        <v>6.31420765027322</v>
      </c>
      <c r="L227" s="31"/>
      <c r="U227" s="1" t="s">
        <v>2274</v>
      </c>
    </row>
    <row r="228">
      <c r="A228" s="1">
        <v>226.0</v>
      </c>
      <c r="B228" s="1" t="s">
        <v>3115</v>
      </c>
      <c r="C228" s="1" t="s">
        <v>2506</v>
      </c>
      <c r="D228" s="1">
        <v>13.0</v>
      </c>
      <c r="E228" s="1" t="s">
        <v>58</v>
      </c>
      <c r="F228" s="30" t="s">
        <v>3116</v>
      </c>
      <c r="G228" s="30" t="s">
        <v>3117</v>
      </c>
      <c r="H228" s="30" t="s">
        <v>3118</v>
      </c>
      <c r="I228" s="1">
        <v>70.0</v>
      </c>
      <c r="J228" s="1">
        <v>83.0</v>
      </c>
      <c r="K228" s="1">
        <v>12.9095890410958</v>
      </c>
      <c r="L228" s="31"/>
      <c r="U228" s="1" t="s">
        <v>2274</v>
      </c>
    </row>
    <row r="229">
      <c r="A229" s="1">
        <v>227.0</v>
      </c>
      <c r="B229" s="1" t="s">
        <v>3119</v>
      </c>
      <c r="C229" s="1" t="s">
        <v>2285</v>
      </c>
      <c r="D229" s="1">
        <v>5.0</v>
      </c>
      <c r="E229" s="1" t="s">
        <v>58</v>
      </c>
      <c r="F229" s="30" t="s">
        <v>3120</v>
      </c>
      <c r="G229" s="30" t="s">
        <v>3121</v>
      </c>
      <c r="H229" s="30" t="s">
        <v>3122</v>
      </c>
      <c r="I229" s="1">
        <v>63.0</v>
      </c>
      <c r="J229" s="1">
        <v>68.0</v>
      </c>
      <c r="K229" s="1">
        <v>5.34246575342465</v>
      </c>
      <c r="L229" s="31"/>
      <c r="U229" s="1" t="s">
        <v>2274</v>
      </c>
    </row>
    <row r="230">
      <c r="A230" s="1">
        <v>228.0</v>
      </c>
      <c r="B230" s="1" t="s">
        <v>3123</v>
      </c>
      <c r="C230" s="1" t="s">
        <v>2313</v>
      </c>
      <c r="D230" s="1">
        <v>7.0</v>
      </c>
      <c r="E230" s="1" t="s">
        <v>58</v>
      </c>
      <c r="F230" s="30" t="s">
        <v>3124</v>
      </c>
      <c r="G230" s="30" t="s">
        <v>3125</v>
      </c>
      <c r="H230" s="30" t="s">
        <v>3126</v>
      </c>
      <c r="I230" s="1">
        <v>69.0</v>
      </c>
      <c r="J230" s="1">
        <v>69.0</v>
      </c>
      <c r="K230" s="1">
        <v>0.0328767123287671</v>
      </c>
      <c r="L230" s="31"/>
      <c r="U230" s="1" t="s">
        <v>2274</v>
      </c>
    </row>
    <row r="231">
      <c r="A231" s="1">
        <v>229.0</v>
      </c>
      <c r="B231" s="1" t="s">
        <v>3127</v>
      </c>
      <c r="C231" s="1" t="s">
        <v>2506</v>
      </c>
      <c r="D231" s="1">
        <v>14.0</v>
      </c>
      <c r="E231" s="1" t="s">
        <v>58</v>
      </c>
      <c r="F231" s="30" t="s">
        <v>3128</v>
      </c>
      <c r="G231" s="30" t="s">
        <v>3129</v>
      </c>
      <c r="H231" s="30" t="s">
        <v>3130</v>
      </c>
      <c r="I231" s="1">
        <v>55.0</v>
      </c>
      <c r="J231" s="1">
        <v>56.0</v>
      </c>
      <c r="K231" s="1">
        <v>0.863013698630137</v>
      </c>
      <c r="L231" s="31"/>
      <c r="U231" s="1" t="s">
        <v>2274</v>
      </c>
    </row>
    <row r="232">
      <c r="A232" s="1">
        <v>230.0</v>
      </c>
      <c r="B232" s="1" t="s">
        <v>3131</v>
      </c>
      <c r="C232" s="1" t="s">
        <v>2407</v>
      </c>
      <c r="D232" s="1">
        <v>9.0</v>
      </c>
      <c r="E232" s="1" t="s">
        <v>58</v>
      </c>
      <c r="F232" s="30" t="s">
        <v>3132</v>
      </c>
      <c r="G232" s="30" t="s">
        <v>3133</v>
      </c>
      <c r="H232" s="30" t="s">
        <v>3134</v>
      </c>
      <c r="I232" s="1">
        <v>72.0</v>
      </c>
      <c r="J232" s="1">
        <v>72.0</v>
      </c>
      <c r="K232" s="1">
        <v>0.169398907103825</v>
      </c>
      <c r="L232" s="31"/>
      <c r="U232" s="1" t="s">
        <v>2274</v>
      </c>
    </row>
    <row r="233">
      <c r="A233" s="1">
        <v>231.0</v>
      </c>
      <c r="B233" s="1" t="s">
        <v>3135</v>
      </c>
      <c r="C233" s="1" t="s">
        <v>2278</v>
      </c>
      <c r="D233" s="1">
        <v>8.0</v>
      </c>
      <c r="E233" s="1" t="s">
        <v>58</v>
      </c>
      <c r="F233" s="30" t="s">
        <v>3136</v>
      </c>
      <c r="G233" s="30" t="s">
        <v>3137</v>
      </c>
      <c r="H233" s="30" t="s">
        <v>3138</v>
      </c>
      <c r="I233" s="1">
        <v>55.0</v>
      </c>
      <c r="J233" s="1">
        <v>69.0</v>
      </c>
      <c r="K233" s="1">
        <v>13.0876712328767</v>
      </c>
      <c r="L233" s="31"/>
      <c r="U233" s="1" t="s">
        <v>2274</v>
      </c>
    </row>
    <row r="234">
      <c r="A234" s="1">
        <v>232.0</v>
      </c>
      <c r="B234" s="1" t="s">
        <v>3139</v>
      </c>
      <c r="C234" s="1" t="s">
        <v>2430</v>
      </c>
      <c r="D234" s="1">
        <v>11.0</v>
      </c>
      <c r="E234" s="1" t="s">
        <v>58</v>
      </c>
      <c r="F234" s="30" t="s">
        <v>3140</v>
      </c>
      <c r="G234" s="30" t="s">
        <v>3141</v>
      </c>
      <c r="H234" s="30" t="s">
        <v>3142</v>
      </c>
      <c r="I234" s="1">
        <v>69.0</v>
      </c>
      <c r="J234" s="1">
        <v>69.0</v>
      </c>
      <c r="K234" s="1">
        <v>0.0712328767123287</v>
      </c>
      <c r="L234" s="31"/>
      <c r="U234" s="1" t="s">
        <v>2274</v>
      </c>
    </row>
    <row r="235">
      <c r="A235" s="1">
        <v>233.0</v>
      </c>
      <c r="B235" s="1" t="s">
        <v>3143</v>
      </c>
      <c r="C235" s="1" t="s">
        <v>2622</v>
      </c>
      <c r="D235" s="1">
        <v>5.0</v>
      </c>
      <c r="E235" s="1" t="s">
        <v>58</v>
      </c>
      <c r="F235" s="30" t="s">
        <v>3144</v>
      </c>
      <c r="G235" s="30" t="s">
        <v>3145</v>
      </c>
      <c r="H235" s="30" t="s">
        <v>3146</v>
      </c>
      <c r="I235" s="1">
        <v>54.0</v>
      </c>
      <c r="J235" s="1">
        <v>70.0</v>
      </c>
      <c r="K235" s="1">
        <v>15.704109589041</v>
      </c>
      <c r="L235" s="31"/>
      <c r="U235" s="1" t="s">
        <v>2274</v>
      </c>
    </row>
    <row r="236">
      <c r="A236" s="1">
        <v>234.0</v>
      </c>
      <c r="B236" s="1" t="s">
        <v>3147</v>
      </c>
      <c r="C236" s="1" t="s">
        <v>2506</v>
      </c>
      <c r="D236" s="1">
        <v>15.0</v>
      </c>
      <c r="E236" s="1" t="s">
        <v>58</v>
      </c>
      <c r="F236" s="30" t="s">
        <v>3148</v>
      </c>
      <c r="G236" s="30" t="s">
        <v>3149</v>
      </c>
      <c r="H236" s="30" t="s">
        <v>3150</v>
      </c>
      <c r="I236" s="1">
        <v>67.0</v>
      </c>
      <c r="J236" s="1">
        <v>69.0</v>
      </c>
      <c r="K236" s="1">
        <v>2.40821917808219</v>
      </c>
      <c r="L236" s="31"/>
      <c r="U236" s="1" t="s">
        <v>2274</v>
      </c>
    </row>
    <row r="237">
      <c r="A237" s="1">
        <v>235.0</v>
      </c>
      <c r="B237" s="1" t="s">
        <v>3151</v>
      </c>
      <c r="C237" s="1" t="s">
        <v>2313</v>
      </c>
      <c r="D237" s="1">
        <v>8.0</v>
      </c>
      <c r="E237" s="1" t="s">
        <v>58</v>
      </c>
      <c r="F237" s="30" t="s">
        <v>3152</v>
      </c>
      <c r="G237" s="30" t="s">
        <v>3153</v>
      </c>
      <c r="H237" s="30" t="s">
        <v>3154</v>
      </c>
      <c r="I237" s="1">
        <v>55.0</v>
      </c>
      <c r="J237" s="1">
        <v>76.0</v>
      </c>
      <c r="K237" s="1">
        <v>20.9781420765027</v>
      </c>
      <c r="L237" s="31"/>
      <c r="U237" s="1" t="s">
        <v>2274</v>
      </c>
    </row>
    <row r="238">
      <c r="A238" s="1">
        <v>236.0</v>
      </c>
      <c r="B238" s="1" t="s">
        <v>3155</v>
      </c>
      <c r="C238" s="1" t="s">
        <v>2407</v>
      </c>
      <c r="D238" s="1">
        <v>10.0</v>
      </c>
      <c r="E238" s="1" t="s">
        <v>58</v>
      </c>
      <c r="F238" s="30" t="s">
        <v>3156</v>
      </c>
      <c r="G238" s="30" t="s">
        <v>3157</v>
      </c>
      <c r="H238" s="30" t="s">
        <v>3158</v>
      </c>
      <c r="I238" s="1">
        <v>70.0</v>
      </c>
      <c r="J238" s="1">
        <v>80.0</v>
      </c>
      <c r="K238" s="1">
        <v>10.3123287671232</v>
      </c>
      <c r="L238" s="31"/>
      <c r="U238" s="1" t="s">
        <v>2274</v>
      </c>
    </row>
    <row r="239">
      <c r="A239" s="1">
        <v>237.0</v>
      </c>
      <c r="B239" s="1" t="s">
        <v>3159</v>
      </c>
      <c r="C239" s="1" t="s">
        <v>2282</v>
      </c>
      <c r="D239" s="1">
        <v>7.0</v>
      </c>
      <c r="E239" s="1" t="s">
        <v>58</v>
      </c>
      <c r="F239" s="30" t="s">
        <v>3160</v>
      </c>
      <c r="G239" s="30" t="s">
        <v>3161</v>
      </c>
      <c r="H239" s="30" t="s">
        <v>3162</v>
      </c>
      <c r="I239" s="1">
        <v>56.0</v>
      </c>
      <c r="J239" s="1">
        <v>68.0</v>
      </c>
      <c r="K239" s="1">
        <v>12.1229508196721</v>
      </c>
      <c r="L239" s="31"/>
      <c r="U239" s="1" t="s">
        <v>2274</v>
      </c>
    </row>
    <row r="240">
      <c r="A240" s="1">
        <v>238.0</v>
      </c>
      <c r="B240" s="1" t="s">
        <v>3163</v>
      </c>
      <c r="C240" s="1" t="s">
        <v>2278</v>
      </c>
      <c r="D240" s="1">
        <v>9.0</v>
      </c>
      <c r="E240" s="1" t="s">
        <v>58</v>
      </c>
      <c r="F240" s="30" t="s">
        <v>3164</v>
      </c>
      <c r="G240" s="30" t="s">
        <v>3165</v>
      </c>
      <c r="H240" s="30" t="s">
        <v>3166</v>
      </c>
      <c r="I240" s="1">
        <v>67.0</v>
      </c>
      <c r="J240" s="1">
        <v>69.0</v>
      </c>
      <c r="K240" s="1">
        <v>2.47123287671232</v>
      </c>
      <c r="L240" s="31"/>
      <c r="U240" s="1" t="s">
        <v>2274</v>
      </c>
    </row>
    <row r="241">
      <c r="A241" s="1">
        <v>239.0</v>
      </c>
      <c r="B241" s="1" t="s">
        <v>25</v>
      </c>
      <c r="C241" s="1" t="s">
        <v>2278</v>
      </c>
      <c r="D241" s="1">
        <v>10.0</v>
      </c>
      <c r="E241" s="1" t="s">
        <v>58</v>
      </c>
      <c r="F241" s="30" t="s">
        <v>3167</v>
      </c>
      <c r="G241" s="30" t="s">
        <v>3168</v>
      </c>
      <c r="H241" s="30" t="s">
        <v>3169</v>
      </c>
      <c r="I241" s="1">
        <v>79.0</v>
      </c>
      <c r="J241" s="1">
        <v>86.0</v>
      </c>
      <c r="K241" s="1">
        <v>6.23013698630137</v>
      </c>
      <c r="L241" s="31"/>
      <c r="U241" s="1" t="s">
        <v>2274</v>
      </c>
    </row>
    <row r="242">
      <c r="A242" s="1">
        <v>240.0</v>
      </c>
      <c r="B242" s="1" t="s">
        <v>3170</v>
      </c>
      <c r="C242" s="1" t="s">
        <v>2407</v>
      </c>
      <c r="D242" s="1">
        <v>11.0</v>
      </c>
      <c r="E242" s="1" t="s">
        <v>2853</v>
      </c>
      <c r="F242" s="30" t="s">
        <v>3171</v>
      </c>
      <c r="G242" s="30" t="s">
        <v>3172</v>
      </c>
      <c r="H242" s="30" t="s">
        <v>3173</v>
      </c>
      <c r="I242" s="1">
        <v>65.0</v>
      </c>
      <c r="J242" s="1">
        <v>78.0</v>
      </c>
      <c r="K242" s="1">
        <v>12.8904109589041</v>
      </c>
      <c r="L242" s="31"/>
      <c r="U242" s="1" t="s">
        <v>2274</v>
      </c>
    </row>
    <row r="243">
      <c r="A243" s="1">
        <v>241.0</v>
      </c>
      <c r="B243" s="1" t="s">
        <v>3174</v>
      </c>
      <c r="C243" s="1" t="s">
        <v>2282</v>
      </c>
      <c r="D243" s="1">
        <v>8.0</v>
      </c>
      <c r="E243" s="1" t="s">
        <v>58</v>
      </c>
      <c r="F243" s="30" t="s">
        <v>3175</v>
      </c>
      <c r="G243" s="30" t="s">
        <v>3176</v>
      </c>
      <c r="H243" s="30" t="s">
        <v>3177</v>
      </c>
      <c r="I243" s="1">
        <v>79.0</v>
      </c>
      <c r="J243" s="1">
        <v>80.0</v>
      </c>
      <c r="K243" s="1">
        <v>1.32328767123287</v>
      </c>
      <c r="L243" s="31"/>
      <c r="U243" s="1" t="s">
        <v>2274</v>
      </c>
    </row>
    <row r="244">
      <c r="A244" s="1">
        <v>242.0</v>
      </c>
      <c r="B244" s="1" t="s">
        <v>3178</v>
      </c>
      <c r="C244" s="1" t="s">
        <v>2407</v>
      </c>
      <c r="D244" s="1">
        <v>12.0</v>
      </c>
      <c r="E244" s="1" t="s">
        <v>58</v>
      </c>
      <c r="F244" s="30" t="s">
        <v>3179</v>
      </c>
      <c r="G244" s="30" t="s">
        <v>3180</v>
      </c>
      <c r="H244" s="30" t="s">
        <v>3181</v>
      </c>
      <c r="I244" s="1">
        <v>76.0</v>
      </c>
      <c r="J244" s="1">
        <v>85.0</v>
      </c>
      <c r="K244" s="1">
        <v>9.21095890410958</v>
      </c>
      <c r="L244" s="31"/>
      <c r="U244" s="1" t="s">
        <v>2274</v>
      </c>
    </row>
    <row r="245">
      <c r="A245" s="1">
        <v>243.0</v>
      </c>
      <c r="B245" s="1" t="s">
        <v>35</v>
      </c>
      <c r="C245" s="1" t="s">
        <v>2278</v>
      </c>
      <c r="D245" s="1">
        <v>11.0</v>
      </c>
      <c r="E245" s="1" t="s">
        <v>58</v>
      </c>
      <c r="F245" s="30" t="s">
        <v>3182</v>
      </c>
      <c r="G245" s="30" t="s">
        <v>3183</v>
      </c>
      <c r="H245" s="30" t="s">
        <v>3184</v>
      </c>
      <c r="I245" s="1">
        <v>51.0</v>
      </c>
      <c r="J245" s="1">
        <v>71.0</v>
      </c>
      <c r="K245" s="1">
        <v>20.317808219178</v>
      </c>
      <c r="L245" s="31"/>
      <c r="U245" s="1" t="s">
        <v>2274</v>
      </c>
    </row>
    <row r="246">
      <c r="A246" s="1">
        <v>244.0</v>
      </c>
      <c r="B246" s="1" t="s">
        <v>3185</v>
      </c>
      <c r="C246" s="1" t="s">
        <v>2407</v>
      </c>
      <c r="D246" s="1">
        <v>13.0</v>
      </c>
      <c r="E246" s="1" t="s">
        <v>58</v>
      </c>
      <c r="F246" s="30" t="s">
        <v>3186</v>
      </c>
      <c r="G246" s="30" t="s">
        <v>3187</v>
      </c>
      <c r="H246" s="30" t="s">
        <v>3188</v>
      </c>
      <c r="I246" s="1">
        <v>65.0</v>
      </c>
      <c r="J246" s="1">
        <v>68.0</v>
      </c>
      <c r="K246" s="1">
        <v>2.83060109289617</v>
      </c>
      <c r="L246" s="31"/>
      <c r="U246" s="1" t="s">
        <v>2274</v>
      </c>
    </row>
    <row r="247">
      <c r="A247" s="1">
        <v>245.0</v>
      </c>
      <c r="B247" s="1" t="s">
        <v>19</v>
      </c>
      <c r="C247" s="1" t="s">
        <v>2498</v>
      </c>
      <c r="D247" s="1">
        <v>13.0</v>
      </c>
      <c r="E247" s="1" t="s">
        <v>3189</v>
      </c>
      <c r="F247" s="30" t="s">
        <v>22</v>
      </c>
      <c r="G247" s="30" t="s">
        <v>18</v>
      </c>
      <c r="H247" s="30" t="s">
        <v>3190</v>
      </c>
      <c r="I247" s="1">
        <v>75.0</v>
      </c>
      <c r="J247" s="1">
        <v>81.0</v>
      </c>
      <c r="K247" s="1">
        <v>5.73424657534246</v>
      </c>
      <c r="L247" s="30" t="s">
        <v>24</v>
      </c>
      <c r="M247" s="1" t="s">
        <v>23</v>
      </c>
      <c r="N247" s="1" t="s">
        <v>3191</v>
      </c>
      <c r="O247" s="1" t="s">
        <v>3192</v>
      </c>
      <c r="P247" s="1" t="s">
        <v>3193</v>
      </c>
      <c r="Q247" s="1" t="s">
        <v>27</v>
      </c>
      <c r="S247" s="1" t="s">
        <v>3194</v>
      </c>
      <c r="U247" s="1" t="s">
        <v>2274</v>
      </c>
    </row>
    <row r="248">
      <c r="A248" s="1">
        <v>246.0</v>
      </c>
      <c r="B248" s="1" t="s">
        <v>30</v>
      </c>
      <c r="C248" s="1" t="s">
        <v>2278</v>
      </c>
      <c r="D248" s="1">
        <v>12.0</v>
      </c>
      <c r="E248" s="1" t="s">
        <v>58</v>
      </c>
      <c r="F248" s="30" t="s">
        <v>33</v>
      </c>
      <c r="G248" s="30" t="s">
        <v>29</v>
      </c>
      <c r="H248" s="30" t="s">
        <v>3195</v>
      </c>
      <c r="I248" s="1">
        <v>78.0</v>
      </c>
      <c r="J248" s="1">
        <v>87.0</v>
      </c>
      <c r="K248" s="1">
        <v>9.57103825136612</v>
      </c>
      <c r="L248" s="30" t="s">
        <v>34</v>
      </c>
      <c r="M248" s="1" t="s">
        <v>23</v>
      </c>
      <c r="N248" s="1" t="s">
        <v>3196</v>
      </c>
      <c r="O248" s="1" t="s">
        <v>3192</v>
      </c>
      <c r="P248" s="1" t="s">
        <v>3193</v>
      </c>
      <c r="Q248" s="1" t="s">
        <v>27</v>
      </c>
      <c r="U248" s="1" t="s">
        <v>2274</v>
      </c>
    </row>
    <row r="249">
      <c r="A249" s="1">
        <v>247.0</v>
      </c>
      <c r="B249" s="1" t="s">
        <v>38</v>
      </c>
      <c r="C249" s="1" t="s">
        <v>2498</v>
      </c>
      <c r="D249" s="1">
        <v>14.0</v>
      </c>
      <c r="E249" s="1" t="s">
        <v>58</v>
      </c>
      <c r="F249" s="30" t="s">
        <v>41</v>
      </c>
      <c r="G249" s="30" t="s">
        <v>37</v>
      </c>
      <c r="H249" s="30" t="s">
        <v>3197</v>
      </c>
      <c r="I249" s="1">
        <v>65.0</v>
      </c>
      <c r="J249" s="1">
        <v>83.0</v>
      </c>
      <c r="K249" s="1">
        <v>17.7095890410958</v>
      </c>
      <c r="L249" s="30" t="s">
        <v>43</v>
      </c>
      <c r="M249" s="1" t="s">
        <v>42</v>
      </c>
      <c r="N249" s="1" t="s">
        <v>3198</v>
      </c>
      <c r="O249" s="1" t="s">
        <v>3192</v>
      </c>
      <c r="P249" s="1" t="s">
        <v>3193</v>
      </c>
      <c r="Q249" s="1" t="s">
        <v>27</v>
      </c>
      <c r="R249" s="1" t="s">
        <v>28</v>
      </c>
      <c r="U249" s="1" t="s">
        <v>2274</v>
      </c>
    </row>
    <row r="250">
      <c r="A250" s="1">
        <v>248.0</v>
      </c>
      <c r="B250" s="1" t="s">
        <v>46</v>
      </c>
      <c r="C250" s="1" t="s">
        <v>2278</v>
      </c>
      <c r="D250" s="1">
        <v>13.0</v>
      </c>
      <c r="E250" s="1" t="s">
        <v>58</v>
      </c>
      <c r="F250" s="30" t="s">
        <v>49</v>
      </c>
      <c r="G250" s="30" t="s">
        <v>45</v>
      </c>
      <c r="H250" s="30" t="s">
        <v>3199</v>
      </c>
      <c r="I250" s="1">
        <v>65.0</v>
      </c>
      <c r="J250" s="1">
        <v>75.0</v>
      </c>
      <c r="K250" s="1">
        <v>10.5780821917808</v>
      </c>
      <c r="L250" s="30" t="s">
        <v>50</v>
      </c>
      <c r="M250" s="1" t="s">
        <v>42</v>
      </c>
      <c r="N250" s="1" t="s">
        <v>3200</v>
      </c>
      <c r="O250" s="1" t="s">
        <v>3192</v>
      </c>
      <c r="P250" s="1" t="s">
        <v>3193</v>
      </c>
      <c r="Q250" s="1" t="s">
        <v>27</v>
      </c>
      <c r="U250" s="1" t="s">
        <v>2274</v>
      </c>
    </row>
    <row r="251">
      <c r="A251" s="1">
        <v>249.0</v>
      </c>
      <c r="B251" s="1" t="s">
        <v>53</v>
      </c>
      <c r="C251" s="1" t="s">
        <v>2278</v>
      </c>
      <c r="D251" s="1">
        <v>14.0</v>
      </c>
      <c r="E251" s="1" t="s">
        <v>58</v>
      </c>
      <c r="F251" s="30" t="s">
        <v>56</v>
      </c>
      <c r="G251" s="30" t="s">
        <v>52</v>
      </c>
      <c r="H251" s="30" t="s">
        <v>3201</v>
      </c>
      <c r="I251" s="1">
        <v>63.0</v>
      </c>
      <c r="J251" s="1">
        <v>68.0</v>
      </c>
      <c r="K251" s="1">
        <v>5.34520547945205</v>
      </c>
      <c r="L251" s="30" t="s">
        <v>57</v>
      </c>
      <c r="M251" s="1" t="s">
        <v>42</v>
      </c>
      <c r="N251" s="1" t="s">
        <v>3202</v>
      </c>
      <c r="O251" s="1" t="s">
        <v>3192</v>
      </c>
      <c r="P251" s="1" t="s">
        <v>3193</v>
      </c>
      <c r="Q251" s="1" t="s">
        <v>27</v>
      </c>
      <c r="U251" s="1" t="s">
        <v>2274</v>
      </c>
    </row>
    <row r="252">
      <c r="A252" s="1">
        <v>250.0</v>
      </c>
      <c r="B252" s="1" t="s">
        <v>60</v>
      </c>
      <c r="C252" s="1" t="s">
        <v>2292</v>
      </c>
      <c r="D252" s="1">
        <v>6.0</v>
      </c>
      <c r="E252" s="1" t="s">
        <v>58</v>
      </c>
      <c r="F252" s="30" t="s">
        <v>63</v>
      </c>
      <c r="G252" s="30" t="s">
        <v>59</v>
      </c>
      <c r="H252" s="30" t="s">
        <v>3203</v>
      </c>
      <c r="I252" s="1">
        <v>57.0</v>
      </c>
      <c r="J252" s="1">
        <v>81.0</v>
      </c>
      <c r="K252" s="1">
        <v>24.5342465753424</v>
      </c>
      <c r="L252" s="30" t="s">
        <v>64</v>
      </c>
      <c r="M252" s="1" t="s">
        <v>42</v>
      </c>
      <c r="N252" s="1" t="s">
        <v>3204</v>
      </c>
      <c r="O252" s="1" t="s">
        <v>3192</v>
      </c>
      <c r="P252" s="1" t="s">
        <v>3193</v>
      </c>
      <c r="Q252" s="1" t="s">
        <v>27</v>
      </c>
      <c r="U252" s="1" t="s">
        <v>2274</v>
      </c>
      <c r="W252" s="1" t="s">
        <v>3205</v>
      </c>
    </row>
    <row r="253">
      <c r="A253" s="1">
        <v>251.0</v>
      </c>
      <c r="B253" s="1" t="s">
        <v>67</v>
      </c>
      <c r="C253" s="1" t="s">
        <v>2292</v>
      </c>
      <c r="D253" s="1">
        <v>7.0</v>
      </c>
      <c r="E253" s="1" t="s">
        <v>3189</v>
      </c>
      <c r="F253" s="30" t="s">
        <v>70</v>
      </c>
      <c r="G253" s="30" t="s">
        <v>66</v>
      </c>
      <c r="H253" s="30" t="s">
        <v>3206</v>
      </c>
      <c r="I253" s="1">
        <v>57.0</v>
      </c>
      <c r="J253" s="1">
        <v>81.0</v>
      </c>
      <c r="K253" s="1">
        <v>23.4344262295081</v>
      </c>
      <c r="L253" s="30" t="s">
        <v>71</v>
      </c>
      <c r="M253" s="1" t="s">
        <v>42</v>
      </c>
      <c r="N253" s="1" t="s">
        <v>3207</v>
      </c>
      <c r="O253" s="1" t="s">
        <v>3192</v>
      </c>
      <c r="P253" s="1" t="s">
        <v>3193</v>
      </c>
      <c r="Q253" s="1" t="s">
        <v>27</v>
      </c>
      <c r="U253" s="1" t="s">
        <v>2274</v>
      </c>
      <c r="W253" s="1" t="s">
        <v>3208</v>
      </c>
    </row>
    <row r="254">
      <c r="A254" s="1">
        <v>252.0</v>
      </c>
      <c r="B254" s="1" t="s">
        <v>74</v>
      </c>
      <c r="C254" s="1" t="s">
        <v>2430</v>
      </c>
      <c r="D254" s="1">
        <v>12.0</v>
      </c>
      <c r="E254" s="1" t="s">
        <v>58</v>
      </c>
      <c r="F254" s="30" t="s">
        <v>77</v>
      </c>
      <c r="G254" s="30" t="s">
        <v>73</v>
      </c>
      <c r="H254" s="30" t="s">
        <v>3209</v>
      </c>
      <c r="I254" s="1">
        <v>63.0</v>
      </c>
      <c r="J254" s="1">
        <v>68.0</v>
      </c>
      <c r="K254" s="1">
        <v>5.36986301369863</v>
      </c>
      <c r="L254" s="30" t="s">
        <v>78</v>
      </c>
      <c r="M254" s="1" t="s">
        <v>42</v>
      </c>
      <c r="N254" s="1" t="s">
        <v>3210</v>
      </c>
      <c r="O254" s="1" t="s">
        <v>3192</v>
      </c>
      <c r="P254" s="1" t="s">
        <v>3193</v>
      </c>
      <c r="Q254" s="1" t="s">
        <v>27</v>
      </c>
      <c r="R254" s="1" t="s">
        <v>28</v>
      </c>
      <c r="U254" s="1" t="s">
        <v>2274</v>
      </c>
      <c r="W254" s="1" t="s">
        <v>3205</v>
      </c>
    </row>
    <row r="255">
      <c r="A255" s="1">
        <v>253.0</v>
      </c>
      <c r="B255" s="1" t="s">
        <v>81</v>
      </c>
      <c r="C255" s="1" t="s">
        <v>2292</v>
      </c>
      <c r="D255" s="1">
        <v>8.0</v>
      </c>
      <c r="E255" s="1" t="s">
        <v>58</v>
      </c>
      <c r="F255" s="30" t="s">
        <v>84</v>
      </c>
      <c r="G255" s="30" t="s">
        <v>80</v>
      </c>
      <c r="H255" s="30" t="s">
        <v>3211</v>
      </c>
      <c r="I255" s="1">
        <v>67.0</v>
      </c>
      <c r="J255" s="1">
        <v>69.0</v>
      </c>
      <c r="K255" s="1">
        <v>1.66849315068493</v>
      </c>
      <c r="L255" s="30" t="s">
        <v>78</v>
      </c>
      <c r="M255" s="1" t="s">
        <v>42</v>
      </c>
      <c r="N255" s="1" t="s">
        <v>3212</v>
      </c>
      <c r="O255" s="1" t="s">
        <v>3192</v>
      </c>
      <c r="P255" s="1" t="s">
        <v>3193</v>
      </c>
      <c r="Q255" s="1" t="s">
        <v>27</v>
      </c>
      <c r="U255" s="1" t="s">
        <v>2274</v>
      </c>
      <c r="W255" s="1" t="s">
        <v>3208</v>
      </c>
    </row>
    <row r="256">
      <c r="A256" s="1">
        <v>254.0</v>
      </c>
      <c r="B256" s="1" t="s">
        <v>87</v>
      </c>
      <c r="C256" s="1" t="s">
        <v>2506</v>
      </c>
      <c r="D256" s="1">
        <v>16.0</v>
      </c>
      <c r="E256" s="1" t="s">
        <v>58</v>
      </c>
      <c r="F256" s="30" t="s">
        <v>90</v>
      </c>
      <c r="G256" s="30" t="s">
        <v>86</v>
      </c>
      <c r="H256" s="30" t="s">
        <v>3213</v>
      </c>
      <c r="I256" s="1">
        <v>65.0</v>
      </c>
      <c r="J256" s="1">
        <v>80.0</v>
      </c>
      <c r="K256" s="1">
        <v>15.3260273972602</v>
      </c>
      <c r="L256" s="30" t="s">
        <v>91</v>
      </c>
      <c r="M256" s="1" t="s">
        <v>42</v>
      </c>
      <c r="N256" s="1" t="s">
        <v>3207</v>
      </c>
      <c r="O256" s="1" t="s">
        <v>3192</v>
      </c>
      <c r="P256" s="1" t="s">
        <v>3193</v>
      </c>
      <c r="Q256" s="1" t="s">
        <v>27</v>
      </c>
      <c r="U256" s="1" t="s">
        <v>2274</v>
      </c>
      <c r="W256" s="1" t="s">
        <v>3205</v>
      </c>
    </row>
    <row r="257">
      <c r="A257" s="1">
        <v>255.0</v>
      </c>
      <c r="B257" s="1" t="s">
        <v>94</v>
      </c>
      <c r="C257" s="1" t="s">
        <v>2292</v>
      </c>
      <c r="D257" s="1">
        <v>9.0</v>
      </c>
      <c r="E257" s="1" t="s">
        <v>2853</v>
      </c>
      <c r="F257" s="30" t="s">
        <v>97</v>
      </c>
      <c r="G257" s="30" t="s">
        <v>93</v>
      </c>
      <c r="H257" s="30" t="s">
        <v>3214</v>
      </c>
      <c r="I257" s="1">
        <v>54.0</v>
      </c>
      <c r="J257" s="1">
        <v>85.0</v>
      </c>
      <c r="K257" s="1">
        <v>31.6465753424657</v>
      </c>
      <c r="L257" s="30" t="s">
        <v>98</v>
      </c>
      <c r="M257" s="1" t="s">
        <v>42</v>
      </c>
      <c r="N257" s="1" t="s">
        <v>3215</v>
      </c>
      <c r="O257" s="1" t="s">
        <v>3192</v>
      </c>
      <c r="P257" s="1" t="s">
        <v>3193</v>
      </c>
      <c r="Q257" s="1" t="s">
        <v>27</v>
      </c>
      <c r="R257" s="1" t="s">
        <v>28</v>
      </c>
      <c r="U257" s="1" t="s">
        <v>2274</v>
      </c>
      <c r="W257" s="1" t="s">
        <v>3205</v>
      </c>
    </row>
    <row r="258">
      <c r="A258" s="1">
        <v>256.0</v>
      </c>
      <c r="B258" s="1" t="s">
        <v>101</v>
      </c>
      <c r="C258" s="1" t="s">
        <v>2430</v>
      </c>
      <c r="D258" s="1">
        <v>13.0</v>
      </c>
      <c r="E258" s="1" t="s">
        <v>58</v>
      </c>
      <c r="F258" s="30" t="s">
        <v>104</v>
      </c>
      <c r="G258" s="30" t="s">
        <v>100</v>
      </c>
      <c r="H258" s="30">
        <v>1297.0</v>
      </c>
      <c r="I258" s="1">
        <v>67.0</v>
      </c>
      <c r="J258" s="1">
        <v>93.0</v>
      </c>
      <c r="K258" s="1">
        <v>25.4109589041095</v>
      </c>
      <c r="L258" s="30" t="s">
        <v>105</v>
      </c>
      <c r="M258" s="1" t="s">
        <v>42</v>
      </c>
      <c r="N258" s="1" t="s">
        <v>3216</v>
      </c>
      <c r="O258" s="1" t="s">
        <v>3192</v>
      </c>
      <c r="P258" s="1" t="s">
        <v>3193</v>
      </c>
      <c r="Q258" s="1" t="s">
        <v>27</v>
      </c>
      <c r="R258" s="1" t="s">
        <v>28</v>
      </c>
      <c r="U258" s="1" t="s">
        <v>2274</v>
      </c>
      <c r="W258" s="1" t="s">
        <v>3217</v>
      </c>
    </row>
    <row r="259">
      <c r="A259" s="1">
        <v>257.0</v>
      </c>
      <c r="B259" s="1" t="s">
        <v>107</v>
      </c>
      <c r="C259" s="1" t="s">
        <v>2292</v>
      </c>
      <c r="D259" s="1">
        <v>10.0</v>
      </c>
      <c r="E259" s="1" t="s">
        <v>2273</v>
      </c>
      <c r="F259" s="30" t="s">
        <v>110</v>
      </c>
      <c r="G259" s="30">
        <v>1312.0</v>
      </c>
      <c r="H259" s="30">
        <v>5346.0</v>
      </c>
      <c r="I259" s="1">
        <v>68.0</v>
      </c>
      <c r="J259" s="1">
        <v>79.0</v>
      </c>
      <c r="K259" s="1">
        <v>11.0438356164383</v>
      </c>
      <c r="L259" s="30" t="s">
        <v>111</v>
      </c>
      <c r="M259" s="1" t="s">
        <v>42</v>
      </c>
      <c r="N259" s="1" t="s">
        <v>3218</v>
      </c>
      <c r="O259" s="1" t="s">
        <v>3192</v>
      </c>
      <c r="P259" s="1" t="s">
        <v>3193</v>
      </c>
      <c r="Q259" s="1" t="s">
        <v>27</v>
      </c>
      <c r="T259" s="1" t="s">
        <v>28</v>
      </c>
      <c r="U259" s="1" t="s">
        <v>2274</v>
      </c>
      <c r="W259" s="1" t="s">
        <v>3208</v>
      </c>
    </row>
    <row r="260">
      <c r="A260" s="1">
        <v>258.0</v>
      </c>
      <c r="B260" s="1" t="s">
        <v>113</v>
      </c>
      <c r="C260" s="1" t="s">
        <v>2498</v>
      </c>
      <c r="D260" s="1">
        <v>15.0</v>
      </c>
      <c r="E260" s="1" t="s">
        <v>58</v>
      </c>
      <c r="F260" s="30" t="s">
        <v>116</v>
      </c>
      <c r="G260" s="30">
        <v>5360.0</v>
      </c>
      <c r="H260" s="30">
        <v>8058.0</v>
      </c>
      <c r="I260" s="1">
        <v>59.0</v>
      </c>
      <c r="J260" s="1">
        <v>67.0</v>
      </c>
      <c r="K260" s="1">
        <v>7.38630136986301</v>
      </c>
      <c r="L260" s="30">
        <v>5259.0</v>
      </c>
      <c r="M260" s="1" t="s">
        <v>42</v>
      </c>
      <c r="N260" s="1" t="s">
        <v>3219</v>
      </c>
      <c r="O260" s="1" t="s">
        <v>3192</v>
      </c>
      <c r="P260" s="1" t="s">
        <v>3193</v>
      </c>
      <c r="Q260" s="1" t="s">
        <v>27</v>
      </c>
      <c r="R260" s="1" t="s">
        <v>28</v>
      </c>
      <c r="U260" s="1" t="s">
        <v>2274</v>
      </c>
      <c r="W260" s="1" t="s">
        <v>3217</v>
      </c>
    </row>
    <row r="261">
      <c r="A261" s="1">
        <v>259.0</v>
      </c>
      <c r="B261" s="1" t="s">
        <v>118</v>
      </c>
      <c r="C261" s="1" t="s">
        <v>2292</v>
      </c>
      <c r="D261" s="1">
        <v>11.0</v>
      </c>
      <c r="E261" s="1" t="s">
        <v>58</v>
      </c>
      <c r="F261" s="30" t="s">
        <v>121</v>
      </c>
      <c r="G261" s="30">
        <v>8073.0</v>
      </c>
      <c r="H261" s="30">
        <v>14286.0</v>
      </c>
      <c r="I261" s="1">
        <v>64.0</v>
      </c>
      <c r="J261" s="1">
        <v>81.0</v>
      </c>
      <c r="K261" s="1">
        <v>17.0109589041095</v>
      </c>
      <c r="L261" s="30">
        <v>7835.0</v>
      </c>
      <c r="M261" s="1" t="s">
        <v>42</v>
      </c>
      <c r="N261" s="1" t="s">
        <v>3220</v>
      </c>
      <c r="O261" s="1" t="s">
        <v>3192</v>
      </c>
      <c r="P261" s="1" t="s">
        <v>3193</v>
      </c>
      <c r="Q261" s="1" t="s">
        <v>27</v>
      </c>
      <c r="R261" s="1" t="s">
        <v>28</v>
      </c>
      <c r="U261" s="1" t="s">
        <v>2274</v>
      </c>
      <c r="W261" s="1" t="s">
        <v>3217</v>
      </c>
    </row>
    <row r="262">
      <c r="A262" s="1">
        <v>260.0</v>
      </c>
      <c r="B262" s="1" t="s">
        <v>123</v>
      </c>
      <c r="C262" s="1" t="s">
        <v>2292</v>
      </c>
      <c r="D262" s="1">
        <v>12.0</v>
      </c>
      <c r="E262" s="1" t="s">
        <v>3221</v>
      </c>
      <c r="F262" s="30" t="s">
        <v>126</v>
      </c>
      <c r="G262" s="30">
        <v>14306.0</v>
      </c>
      <c r="H262" s="30">
        <v>21467.0</v>
      </c>
      <c r="I262" s="1">
        <v>63.0</v>
      </c>
      <c r="J262" s="1">
        <v>82.0</v>
      </c>
      <c r="K262" s="1">
        <v>19.6054794520547</v>
      </c>
      <c r="L262" s="30">
        <v>10943.0</v>
      </c>
      <c r="M262" s="1" t="s">
        <v>42</v>
      </c>
      <c r="N262" s="1" t="s">
        <v>3222</v>
      </c>
      <c r="O262" s="1" t="s">
        <v>3192</v>
      </c>
      <c r="P262" s="1" t="s">
        <v>3193</v>
      </c>
      <c r="Q262" s="1" t="s">
        <v>27</v>
      </c>
      <c r="S262" s="1" t="s">
        <v>3223</v>
      </c>
      <c r="U262" s="1" t="s">
        <v>2274</v>
      </c>
      <c r="W262" s="1" t="s">
        <v>3208</v>
      </c>
    </row>
    <row r="263">
      <c r="A263" s="1">
        <v>261.0</v>
      </c>
      <c r="B263" s="1" t="s">
        <v>128</v>
      </c>
      <c r="C263" s="1" t="s">
        <v>2462</v>
      </c>
      <c r="D263" s="1">
        <v>23.0</v>
      </c>
      <c r="E263" s="1" t="s">
        <v>2273</v>
      </c>
      <c r="F263" s="30" t="s">
        <v>131</v>
      </c>
      <c r="G263" s="30">
        <v>21486.0</v>
      </c>
      <c r="H263" s="30">
        <v>23165.0</v>
      </c>
      <c r="I263" s="1">
        <v>76.0</v>
      </c>
      <c r="J263" s="1">
        <v>81.0</v>
      </c>
      <c r="K263" s="1">
        <v>4.5972602739726</v>
      </c>
      <c r="L263" s="30">
        <v>19371.0</v>
      </c>
      <c r="M263" s="1" t="s">
        <v>42</v>
      </c>
      <c r="N263" s="1" t="s">
        <v>3224</v>
      </c>
      <c r="O263" s="1" t="s">
        <v>3192</v>
      </c>
      <c r="P263" s="1" t="s">
        <v>3193</v>
      </c>
      <c r="Q263" s="1" t="s">
        <v>27</v>
      </c>
      <c r="T263" s="1" t="s">
        <v>28</v>
      </c>
      <c r="U263" s="1" t="s">
        <v>2274</v>
      </c>
      <c r="W263" s="1" t="s">
        <v>3217</v>
      </c>
    </row>
    <row r="264">
      <c r="A264" s="1">
        <v>262.0</v>
      </c>
      <c r="B264" s="1" t="s">
        <v>132</v>
      </c>
      <c r="C264" s="1" t="s">
        <v>2622</v>
      </c>
      <c r="D264" s="1">
        <v>6.0</v>
      </c>
      <c r="E264" s="1" t="s">
        <v>2273</v>
      </c>
      <c r="F264" s="30" t="s">
        <v>135</v>
      </c>
      <c r="G264" s="30">
        <v>23183.0</v>
      </c>
      <c r="H264" s="30">
        <v>28708.0</v>
      </c>
      <c r="I264" s="1">
        <v>65.0</v>
      </c>
      <c r="J264" s="1">
        <v>80.0</v>
      </c>
      <c r="K264" s="1">
        <v>15.1260273972602</v>
      </c>
      <c r="L264" s="30">
        <v>21534.0</v>
      </c>
      <c r="M264" s="1" t="s">
        <v>42</v>
      </c>
      <c r="N264" s="1" t="s">
        <v>3225</v>
      </c>
      <c r="O264" s="1" t="s">
        <v>3192</v>
      </c>
      <c r="P264" s="1" t="s">
        <v>3193</v>
      </c>
      <c r="Q264" s="1" t="s">
        <v>27</v>
      </c>
      <c r="R264" s="1" t="s">
        <v>3226</v>
      </c>
      <c r="U264" s="1" t="s">
        <v>2274</v>
      </c>
      <c r="V264" s="1" t="s">
        <v>28</v>
      </c>
      <c r="W264" s="1" t="s">
        <v>3217</v>
      </c>
    </row>
    <row r="265">
      <c r="A265" s="1">
        <v>263.0</v>
      </c>
      <c r="B265" s="1" t="s">
        <v>1043</v>
      </c>
      <c r="C265" s="1" t="s">
        <v>3227</v>
      </c>
      <c r="D265" s="1">
        <v>1.0</v>
      </c>
      <c r="E265" s="1" t="s">
        <v>2853</v>
      </c>
      <c r="F265" s="30">
        <v>4674.0</v>
      </c>
      <c r="G265" s="30">
        <v>28728.0</v>
      </c>
      <c r="H265" s="30">
        <v>28761.0</v>
      </c>
      <c r="I265" s="1">
        <v>65.0</v>
      </c>
      <c r="J265" s="1">
        <v>65.0</v>
      </c>
      <c r="K265" s="1">
        <v>0.0904109589041095</v>
      </c>
      <c r="L265" s="30">
        <v>26728.0</v>
      </c>
      <c r="M265" s="1" t="s">
        <v>42</v>
      </c>
      <c r="N265" s="1" t="s">
        <v>3200</v>
      </c>
      <c r="O265" s="1" t="s">
        <v>3192</v>
      </c>
      <c r="P265" s="1" t="s">
        <v>3193</v>
      </c>
      <c r="Q265" s="1" t="s">
        <v>27</v>
      </c>
      <c r="T265" s="1" t="s">
        <v>28</v>
      </c>
      <c r="U265" s="1" t="s">
        <v>3228</v>
      </c>
      <c r="W265" s="1" t="s">
        <v>3217</v>
      </c>
    </row>
    <row r="266">
      <c r="A266" s="1">
        <v>264.0</v>
      </c>
      <c r="B266" s="1" t="s">
        <v>138</v>
      </c>
      <c r="C266" s="1" t="s">
        <v>3227</v>
      </c>
      <c r="D266" s="1">
        <v>2.0</v>
      </c>
      <c r="E266" s="1" t="s">
        <v>2273</v>
      </c>
      <c r="F266" s="30">
        <v>7444.0</v>
      </c>
      <c r="G266" s="30">
        <v>28779.0</v>
      </c>
      <c r="H266" s="30">
        <v>38444.0</v>
      </c>
      <c r="I266" s="1">
        <v>58.0</v>
      </c>
      <c r="J266" s="1">
        <v>84.0</v>
      </c>
      <c r="K266" s="1">
        <v>26.4602739726027</v>
      </c>
      <c r="L266" s="30">
        <v>24649.0</v>
      </c>
      <c r="M266" s="1" t="s">
        <v>42</v>
      </c>
      <c r="N266" s="1" t="s">
        <v>3229</v>
      </c>
      <c r="O266" s="1" t="s">
        <v>3192</v>
      </c>
      <c r="P266" s="1" t="s">
        <v>3193</v>
      </c>
      <c r="Q266" s="1" t="s">
        <v>204</v>
      </c>
      <c r="R266" s="1" t="s">
        <v>3226</v>
      </c>
      <c r="U266" s="1" t="s">
        <v>3230</v>
      </c>
      <c r="W266" s="1" t="s">
        <v>3217</v>
      </c>
    </row>
    <row r="267">
      <c r="A267" s="1">
        <v>265.0</v>
      </c>
      <c r="B267" s="1" t="s">
        <v>146</v>
      </c>
      <c r="C267" s="1" t="s">
        <v>2498</v>
      </c>
      <c r="D267" s="1">
        <v>16.0</v>
      </c>
      <c r="E267" s="1" t="s">
        <v>58</v>
      </c>
      <c r="F267" s="30">
        <v>9968.0</v>
      </c>
      <c r="G267" s="30">
        <v>38461.0</v>
      </c>
      <c r="H267" s="30">
        <v>41333.0</v>
      </c>
      <c r="I267" s="1">
        <v>78.0</v>
      </c>
      <c r="J267" s="1">
        <v>85.0</v>
      </c>
      <c r="K267" s="1">
        <v>7.86301369863013</v>
      </c>
      <c r="L267" s="30">
        <v>28303.0</v>
      </c>
      <c r="M267" s="1" t="s">
        <v>23</v>
      </c>
      <c r="N267" s="1" t="s">
        <v>3231</v>
      </c>
      <c r="O267" s="1" t="s">
        <v>3192</v>
      </c>
      <c r="P267" s="1" t="s">
        <v>3193</v>
      </c>
      <c r="Q267" s="1" t="s">
        <v>159</v>
      </c>
      <c r="R267" s="1" t="s">
        <v>3226</v>
      </c>
      <c r="S267" s="1" t="s">
        <v>3232</v>
      </c>
      <c r="U267" s="1" t="s">
        <v>3230</v>
      </c>
      <c r="W267" s="1" t="s">
        <v>3217</v>
      </c>
    </row>
    <row r="268">
      <c r="A268" s="1">
        <v>266.0</v>
      </c>
      <c r="B268" s="1" t="s">
        <v>241</v>
      </c>
      <c r="C268" s="1" t="s">
        <v>241</v>
      </c>
      <c r="D268" s="1">
        <v>1.0</v>
      </c>
      <c r="E268" s="1" t="s">
        <v>58</v>
      </c>
      <c r="F268" s="30">
        <v>13501.0</v>
      </c>
      <c r="G268" s="30">
        <v>41346.0</v>
      </c>
      <c r="H268" s="30">
        <v>45768.0</v>
      </c>
      <c r="I268" s="1">
        <v>76.0</v>
      </c>
      <c r="J268" s="1">
        <v>88.0</v>
      </c>
      <c r="K268" s="1">
        <f>J268-I268</f>
        <v>12</v>
      </c>
      <c r="L268" s="30">
        <v>36943.0</v>
      </c>
      <c r="M268" s="1" t="s">
        <v>42</v>
      </c>
      <c r="N268" s="1" t="s">
        <v>3233</v>
      </c>
      <c r="O268" s="1" t="s">
        <v>3192</v>
      </c>
      <c r="P268" s="1" t="s">
        <v>3193</v>
      </c>
      <c r="Q268" s="1" t="s">
        <v>163</v>
      </c>
      <c r="R268" s="1" t="s">
        <v>3226</v>
      </c>
      <c r="U268" s="1" t="s">
        <v>3234</v>
      </c>
      <c r="W268" s="1" t="s">
        <v>3217</v>
      </c>
    </row>
    <row r="269">
      <c r="F269" s="31"/>
      <c r="G269" s="31"/>
      <c r="H269" s="31"/>
      <c r="L269" s="31"/>
    </row>
    <row r="270">
      <c r="F270" s="31"/>
      <c r="G270" s="31"/>
      <c r="H270" s="31"/>
      <c r="L270" s="31"/>
    </row>
    <row r="271">
      <c r="F271" s="31"/>
      <c r="G271" s="31"/>
      <c r="H271" s="31"/>
      <c r="L271" s="31"/>
    </row>
    <row r="272">
      <c r="F272" s="31"/>
      <c r="G272" s="31"/>
      <c r="H272" s="31"/>
      <c r="L272" s="31"/>
    </row>
    <row r="273">
      <c r="F273" s="31"/>
      <c r="G273" s="31"/>
      <c r="H273" s="31"/>
      <c r="L273" s="31"/>
    </row>
    <row r="274">
      <c r="F274" s="31"/>
      <c r="G274" s="31"/>
      <c r="H274" s="31"/>
      <c r="L274" s="31"/>
    </row>
    <row r="275">
      <c r="F275" s="31"/>
      <c r="G275" s="31"/>
      <c r="H275" s="31"/>
      <c r="L275" s="31"/>
    </row>
    <row r="276">
      <c r="F276" s="31"/>
      <c r="G276" s="31"/>
      <c r="H276" s="31"/>
      <c r="L276" s="31"/>
    </row>
    <row r="277">
      <c r="F277" s="31"/>
      <c r="G277" s="31"/>
      <c r="H277" s="31"/>
      <c r="L277" s="31"/>
    </row>
    <row r="278">
      <c r="F278" s="31"/>
      <c r="G278" s="31"/>
      <c r="H278" s="31"/>
      <c r="L278" s="31"/>
    </row>
    <row r="279">
      <c r="F279" s="31"/>
      <c r="G279" s="31"/>
      <c r="H279" s="31"/>
      <c r="L279" s="31"/>
    </row>
    <row r="280">
      <c r="F280" s="31"/>
      <c r="G280" s="31"/>
      <c r="H280" s="31"/>
      <c r="L280" s="31"/>
    </row>
    <row r="281">
      <c r="F281" s="31"/>
      <c r="G281" s="31"/>
      <c r="H281" s="31"/>
      <c r="L281" s="31"/>
    </row>
    <row r="282">
      <c r="F282" s="31"/>
      <c r="G282" s="31"/>
      <c r="H282" s="31"/>
      <c r="L282" s="31"/>
    </row>
    <row r="283">
      <c r="F283" s="31"/>
      <c r="G283" s="31"/>
      <c r="H283" s="31"/>
      <c r="L283" s="31"/>
    </row>
    <row r="284">
      <c r="F284" s="31"/>
      <c r="G284" s="31"/>
      <c r="H284" s="31"/>
      <c r="L284" s="31"/>
    </row>
    <row r="285">
      <c r="F285" s="31"/>
      <c r="G285" s="31"/>
      <c r="H285" s="31"/>
      <c r="L285" s="31"/>
    </row>
    <row r="286">
      <c r="F286" s="31"/>
      <c r="G286" s="31"/>
      <c r="H286" s="31"/>
      <c r="L286" s="31"/>
    </row>
    <row r="287">
      <c r="F287" s="31"/>
      <c r="G287" s="31"/>
      <c r="H287" s="31"/>
      <c r="L287" s="31"/>
    </row>
    <row r="288">
      <c r="F288" s="31"/>
      <c r="G288" s="31"/>
      <c r="H288" s="31"/>
      <c r="L288" s="31"/>
    </row>
    <row r="289">
      <c r="F289" s="31"/>
      <c r="G289" s="31"/>
      <c r="H289" s="31"/>
      <c r="L289" s="31"/>
    </row>
    <row r="290">
      <c r="F290" s="31"/>
      <c r="G290" s="31"/>
      <c r="H290" s="31"/>
      <c r="L290" s="31"/>
    </row>
    <row r="291">
      <c r="F291" s="31"/>
      <c r="G291" s="31"/>
      <c r="H291" s="31"/>
      <c r="L291" s="31"/>
    </row>
    <row r="292">
      <c r="F292" s="31"/>
      <c r="G292" s="31"/>
      <c r="H292" s="31"/>
      <c r="L292" s="31"/>
    </row>
    <row r="293">
      <c r="F293" s="31"/>
      <c r="G293" s="31"/>
      <c r="H293" s="31"/>
      <c r="L293" s="31"/>
    </row>
    <row r="294">
      <c r="F294" s="31"/>
      <c r="G294" s="31"/>
      <c r="H294" s="31"/>
      <c r="L294" s="31"/>
    </row>
    <row r="295">
      <c r="F295" s="31"/>
      <c r="G295" s="31"/>
      <c r="H295" s="31"/>
      <c r="L295" s="31"/>
    </row>
    <row r="296">
      <c r="F296" s="31"/>
      <c r="G296" s="31"/>
      <c r="H296" s="31"/>
      <c r="L296" s="31"/>
    </row>
    <row r="297">
      <c r="F297" s="31"/>
      <c r="G297" s="31"/>
      <c r="H297" s="31"/>
      <c r="L297" s="31"/>
    </row>
    <row r="298">
      <c r="F298" s="31"/>
      <c r="G298" s="31"/>
      <c r="H298" s="31"/>
      <c r="L298" s="31"/>
    </row>
    <row r="299">
      <c r="F299" s="31"/>
      <c r="G299" s="31"/>
      <c r="H299" s="31"/>
      <c r="L299" s="31"/>
    </row>
    <row r="300">
      <c r="F300" s="31"/>
      <c r="G300" s="31"/>
      <c r="H300" s="31"/>
      <c r="L300" s="31"/>
    </row>
    <row r="301">
      <c r="F301" s="31"/>
      <c r="G301" s="31"/>
      <c r="H301" s="31"/>
      <c r="L301" s="31"/>
    </row>
    <row r="302">
      <c r="F302" s="31"/>
      <c r="G302" s="31"/>
      <c r="H302" s="31"/>
      <c r="L302" s="31"/>
    </row>
    <row r="303">
      <c r="F303" s="31"/>
      <c r="G303" s="31"/>
      <c r="H303" s="31"/>
      <c r="L303" s="31"/>
    </row>
    <row r="304">
      <c r="F304" s="31"/>
      <c r="G304" s="31"/>
      <c r="H304" s="31"/>
      <c r="L304" s="31"/>
    </row>
    <row r="305">
      <c r="F305" s="31"/>
      <c r="G305" s="31"/>
      <c r="H305" s="31"/>
      <c r="L305" s="31"/>
    </row>
    <row r="306">
      <c r="F306" s="31"/>
      <c r="G306" s="31"/>
      <c r="H306" s="31"/>
      <c r="L306" s="31"/>
    </row>
    <row r="307">
      <c r="F307" s="31"/>
      <c r="G307" s="31"/>
      <c r="H307" s="31"/>
      <c r="L307" s="31"/>
    </row>
    <row r="308">
      <c r="F308" s="31"/>
      <c r="G308" s="31"/>
      <c r="H308" s="31"/>
      <c r="L308" s="31"/>
    </row>
    <row r="309">
      <c r="F309" s="31"/>
      <c r="G309" s="31"/>
      <c r="H309" s="31"/>
      <c r="L309" s="31"/>
    </row>
    <row r="310">
      <c r="F310" s="31"/>
      <c r="G310" s="31"/>
      <c r="H310" s="31"/>
      <c r="L310" s="31"/>
    </row>
    <row r="311">
      <c r="F311" s="31"/>
      <c r="G311" s="31"/>
      <c r="H311" s="31"/>
      <c r="L311" s="31"/>
    </row>
    <row r="312">
      <c r="F312" s="31"/>
      <c r="G312" s="31"/>
      <c r="H312" s="31"/>
      <c r="L312" s="31"/>
    </row>
    <row r="313">
      <c r="F313" s="31"/>
      <c r="G313" s="31"/>
      <c r="H313" s="31"/>
      <c r="L313" s="31"/>
    </row>
    <row r="314">
      <c r="F314" s="31"/>
      <c r="G314" s="31"/>
      <c r="H314" s="31"/>
      <c r="L314" s="31"/>
    </row>
    <row r="315">
      <c r="F315" s="31"/>
      <c r="G315" s="31"/>
      <c r="H315" s="31"/>
      <c r="L315" s="31"/>
    </row>
    <row r="316">
      <c r="F316" s="31"/>
      <c r="G316" s="31"/>
      <c r="H316" s="31"/>
      <c r="L316" s="31"/>
    </row>
    <row r="317">
      <c r="F317" s="31"/>
      <c r="G317" s="31"/>
      <c r="H317" s="31"/>
      <c r="L317" s="31"/>
    </row>
    <row r="318">
      <c r="F318" s="31"/>
      <c r="G318" s="31"/>
      <c r="H318" s="31"/>
      <c r="L318" s="31"/>
    </row>
    <row r="319">
      <c r="F319" s="31"/>
      <c r="G319" s="31"/>
      <c r="H319" s="31"/>
      <c r="L319" s="31"/>
    </row>
    <row r="320">
      <c r="F320" s="31"/>
      <c r="G320" s="31"/>
      <c r="H320" s="31"/>
      <c r="L320" s="31"/>
    </row>
    <row r="321">
      <c r="F321" s="31"/>
      <c r="G321" s="31"/>
      <c r="H321" s="31"/>
      <c r="L321" s="31"/>
    </row>
    <row r="322">
      <c r="F322" s="31"/>
      <c r="G322" s="31"/>
      <c r="H322" s="31"/>
      <c r="L322" s="31"/>
    </row>
    <row r="323">
      <c r="F323" s="31"/>
      <c r="G323" s="31"/>
      <c r="H323" s="31"/>
      <c r="L323" s="31"/>
    </row>
    <row r="324">
      <c r="F324" s="31"/>
      <c r="G324" s="31"/>
      <c r="H324" s="31"/>
      <c r="L324" s="31"/>
    </row>
    <row r="325">
      <c r="F325" s="31"/>
      <c r="G325" s="31"/>
      <c r="H325" s="31"/>
      <c r="L325" s="31"/>
    </row>
    <row r="326">
      <c r="F326" s="31"/>
      <c r="G326" s="31"/>
      <c r="H326" s="31"/>
      <c r="L326" s="31"/>
    </row>
    <row r="327">
      <c r="F327" s="31"/>
      <c r="G327" s="31"/>
      <c r="H327" s="31"/>
      <c r="L327" s="31"/>
    </row>
    <row r="328">
      <c r="F328" s="31"/>
      <c r="G328" s="31"/>
      <c r="H328" s="31"/>
      <c r="L328" s="31"/>
    </row>
    <row r="329">
      <c r="F329" s="31"/>
      <c r="G329" s="31"/>
      <c r="H329" s="31"/>
      <c r="L329" s="31"/>
    </row>
    <row r="330">
      <c r="F330" s="31"/>
      <c r="G330" s="31"/>
      <c r="H330" s="31"/>
      <c r="L330" s="31"/>
    </row>
    <row r="331">
      <c r="F331" s="31"/>
      <c r="G331" s="31"/>
      <c r="H331" s="31"/>
      <c r="L331" s="31"/>
    </row>
    <row r="332">
      <c r="F332" s="31"/>
      <c r="G332" s="31"/>
      <c r="H332" s="31"/>
      <c r="L332" s="31"/>
    </row>
    <row r="333">
      <c r="F333" s="31"/>
      <c r="G333" s="31"/>
      <c r="H333" s="31"/>
      <c r="L333" s="31"/>
    </row>
    <row r="334">
      <c r="F334" s="31"/>
      <c r="G334" s="31"/>
      <c r="H334" s="31"/>
      <c r="L334" s="31"/>
    </row>
    <row r="335">
      <c r="F335" s="31"/>
      <c r="G335" s="31"/>
      <c r="H335" s="31"/>
      <c r="L335" s="31"/>
    </row>
    <row r="336">
      <c r="F336" s="31"/>
      <c r="G336" s="31"/>
      <c r="H336" s="31"/>
      <c r="L336" s="31"/>
    </row>
    <row r="337">
      <c r="F337" s="31"/>
      <c r="G337" s="31"/>
      <c r="H337" s="31"/>
      <c r="L337" s="31"/>
    </row>
    <row r="338">
      <c r="F338" s="31"/>
      <c r="G338" s="31"/>
      <c r="H338" s="31"/>
      <c r="L338" s="31"/>
    </row>
    <row r="339">
      <c r="F339" s="31"/>
      <c r="G339" s="31"/>
      <c r="H339" s="31"/>
      <c r="L339" s="31"/>
    </row>
    <row r="340">
      <c r="F340" s="31"/>
      <c r="G340" s="31"/>
      <c r="H340" s="31"/>
      <c r="L340" s="31"/>
    </row>
    <row r="341">
      <c r="F341" s="31"/>
      <c r="G341" s="31"/>
      <c r="H341" s="31"/>
      <c r="L341" s="31"/>
    </row>
    <row r="342">
      <c r="F342" s="31"/>
      <c r="G342" s="31"/>
      <c r="H342" s="31"/>
      <c r="L342" s="31"/>
    </row>
    <row r="343">
      <c r="F343" s="31"/>
      <c r="G343" s="31"/>
      <c r="H343" s="31"/>
      <c r="L343" s="31"/>
    </row>
    <row r="344">
      <c r="F344" s="31"/>
      <c r="G344" s="31"/>
      <c r="H344" s="31"/>
      <c r="L344" s="31"/>
    </row>
    <row r="345">
      <c r="F345" s="31"/>
      <c r="G345" s="31"/>
      <c r="H345" s="31"/>
      <c r="L345" s="31"/>
    </row>
    <row r="346">
      <c r="F346" s="31"/>
      <c r="G346" s="31"/>
      <c r="H346" s="31"/>
      <c r="L346" s="31"/>
    </row>
    <row r="347">
      <c r="F347" s="31"/>
      <c r="G347" s="31"/>
      <c r="H347" s="31"/>
      <c r="L347" s="31"/>
    </row>
    <row r="348">
      <c r="F348" s="31"/>
      <c r="G348" s="31"/>
      <c r="H348" s="31"/>
      <c r="L348" s="31"/>
    </row>
    <row r="349">
      <c r="F349" s="31"/>
      <c r="G349" s="31"/>
      <c r="H349" s="31"/>
      <c r="L349" s="31"/>
    </row>
    <row r="350">
      <c r="F350" s="31"/>
      <c r="G350" s="31"/>
      <c r="H350" s="31"/>
      <c r="L350" s="31"/>
    </row>
    <row r="351">
      <c r="F351" s="31"/>
      <c r="G351" s="31"/>
      <c r="H351" s="31"/>
      <c r="L351" s="31"/>
    </row>
    <row r="352">
      <c r="F352" s="31"/>
      <c r="G352" s="31"/>
      <c r="H352" s="31"/>
      <c r="L352" s="31"/>
    </row>
    <row r="353">
      <c r="F353" s="31"/>
      <c r="G353" s="31"/>
      <c r="H353" s="31"/>
      <c r="L353" s="31"/>
    </row>
    <row r="354">
      <c r="F354" s="31"/>
      <c r="G354" s="31"/>
      <c r="H354" s="31"/>
      <c r="L354" s="31"/>
    </row>
    <row r="355">
      <c r="F355" s="31"/>
      <c r="G355" s="31"/>
      <c r="H355" s="31"/>
      <c r="L355" s="31"/>
    </row>
    <row r="356">
      <c r="F356" s="31"/>
      <c r="G356" s="31"/>
      <c r="H356" s="31"/>
      <c r="L356" s="31"/>
    </row>
    <row r="357">
      <c r="F357" s="31"/>
      <c r="G357" s="31"/>
      <c r="H357" s="31"/>
      <c r="L357" s="31"/>
    </row>
    <row r="358">
      <c r="F358" s="31"/>
      <c r="G358" s="31"/>
      <c r="H358" s="31"/>
      <c r="L358" s="31"/>
    </row>
    <row r="359">
      <c r="F359" s="31"/>
      <c r="G359" s="31"/>
      <c r="H359" s="31"/>
      <c r="L359" s="31"/>
    </row>
    <row r="360">
      <c r="F360" s="31"/>
      <c r="G360" s="31"/>
      <c r="H360" s="31"/>
      <c r="L360" s="31"/>
    </row>
    <row r="361">
      <c r="F361" s="31"/>
      <c r="G361" s="31"/>
      <c r="H361" s="31"/>
      <c r="L361" s="31"/>
    </row>
    <row r="362">
      <c r="F362" s="31"/>
      <c r="G362" s="31"/>
      <c r="H362" s="31"/>
      <c r="L362" s="31"/>
    </row>
    <row r="363">
      <c r="F363" s="31"/>
      <c r="G363" s="31"/>
      <c r="H363" s="31"/>
      <c r="L363" s="31"/>
    </row>
    <row r="364">
      <c r="F364" s="31"/>
      <c r="G364" s="31"/>
      <c r="H364" s="31"/>
      <c r="L364" s="31"/>
    </row>
    <row r="365">
      <c r="F365" s="31"/>
      <c r="G365" s="31"/>
      <c r="H365" s="31"/>
      <c r="L365" s="31"/>
    </row>
    <row r="366">
      <c r="F366" s="31"/>
      <c r="G366" s="31"/>
      <c r="H366" s="31"/>
      <c r="L366" s="31"/>
    </row>
    <row r="367">
      <c r="F367" s="31"/>
      <c r="G367" s="31"/>
      <c r="H367" s="31"/>
      <c r="L367" s="31"/>
    </row>
    <row r="368">
      <c r="F368" s="31"/>
      <c r="G368" s="31"/>
      <c r="H368" s="31"/>
      <c r="L368" s="31"/>
    </row>
    <row r="369">
      <c r="F369" s="31"/>
      <c r="G369" s="31"/>
      <c r="H369" s="31"/>
      <c r="L369" s="31"/>
    </row>
    <row r="370">
      <c r="F370" s="31"/>
      <c r="G370" s="31"/>
      <c r="H370" s="31"/>
      <c r="L370" s="31"/>
    </row>
    <row r="371">
      <c r="F371" s="31"/>
      <c r="G371" s="31"/>
      <c r="H371" s="31"/>
      <c r="L371" s="31"/>
    </row>
    <row r="372">
      <c r="F372" s="31"/>
      <c r="G372" s="31"/>
      <c r="H372" s="31"/>
      <c r="L372" s="31"/>
    </row>
    <row r="373">
      <c r="F373" s="31"/>
      <c r="G373" s="31"/>
      <c r="H373" s="31"/>
      <c r="L373" s="31"/>
    </row>
    <row r="374">
      <c r="F374" s="31"/>
      <c r="G374" s="31"/>
      <c r="H374" s="31"/>
      <c r="L374" s="31"/>
    </row>
    <row r="375">
      <c r="F375" s="31"/>
      <c r="G375" s="31"/>
      <c r="H375" s="31"/>
      <c r="L375" s="31"/>
    </row>
    <row r="376">
      <c r="F376" s="31"/>
      <c r="G376" s="31"/>
      <c r="H376" s="31"/>
      <c r="L376" s="31"/>
    </row>
    <row r="377">
      <c r="F377" s="31"/>
      <c r="G377" s="31"/>
      <c r="H377" s="31"/>
      <c r="L377" s="31"/>
    </row>
    <row r="378">
      <c r="F378" s="31"/>
      <c r="G378" s="31"/>
      <c r="H378" s="31"/>
      <c r="L378" s="31"/>
    </row>
    <row r="379">
      <c r="F379" s="31"/>
      <c r="G379" s="31"/>
      <c r="H379" s="31"/>
      <c r="L379" s="31"/>
    </row>
    <row r="380">
      <c r="F380" s="31"/>
      <c r="G380" s="31"/>
      <c r="H380" s="31"/>
      <c r="L380" s="31"/>
    </row>
    <row r="381">
      <c r="F381" s="31"/>
      <c r="G381" s="31"/>
      <c r="H381" s="31"/>
      <c r="L381" s="31"/>
    </row>
    <row r="382">
      <c r="F382" s="31"/>
      <c r="G382" s="31"/>
      <c r="H382" s="31"/>
      <c r="L382" s="31"/>
    </row>
    <row r="383">
      <c r="F383" s="31"/>
      <c r="G383" s="31"/>
      <c r="H383" s="31"/>
      <c r="L383" s="31"/>
    </row>
    <row r="384">
      <c r="F384" s="31"/>
      <c r="G384" s="31"/>
      <c r="H384" s="31"/>
      <c r="L384" s="31"/>
    </row>
    <row r="385">
      <c r="F385" s="31"/>
      <c r="G385" s="31"/>
      <c r="H385" s="31"/>
      <c r="L385" s="31"/>
    </row>
    <row r="386">
      <c r="F386" s="31"/>
      <c r="G386" s="31"/>
      <c r="H386" s="31"/>
      <c r="L386" s="31"/>
    </row>
    <row r="387">
      <c r="F387" s="31"/>
      <c r="G387" s="31"/>
      <c r="H387" s="31"/>
      <c r="L387" s="31"/>
    </row>
    <row r="388">
      <c r="F388" s="31"/>
      <c r="G388" s="31"/>
      <c r="H388" s="31"/>
      <c r="L388" s="31"/>
    </row>
    <row r="389">
      <c r="F389" s="31"/>
      <c r="G389" s="31"/>
      <c r="H389" s="31"/>
      <c r="L389" s="31"/>
    </row>
    <row r="390">
      <c r="F390" s="31"/>
      <c r="G390" s="31"/>
      <c r="H390" s="31"/>
      <c r="L390" s="31"/>
    </row>
    <row r="391">
      <c r="F391" s="31"/>
      <c r="G391" s="31"/>
      <c r="H391" s="31"/>
      <c r="L391" s="31"/>
    </row>
    <row r="392">
      <c r="F392" s="31"/>
      <c r="G392" s="31"/>
      <c r="H392" s="31"/>
      <c r="L392" s="31"/>
    </row>
    <row r="393">
      <c r="F393" s="31"/>
      <c r="G393" s="31"/>
      <c r="H393" s="31"/>
      <c r="L393" s="31"/>
    </row>
    <row r="394">
      <c r="F394" s="31"/>
      <c r="G394" s="31"/>
      <c r="H394" s="31"/>
      <c r="L394" s="31"/>
    </row>
    <row r="395">
      <c r="F395" s="31"/>
      <c r="G395" s="31"/>
      <c r="H395" s="31"/>
      <c r="L395" s="31"/>
    </row>
    <row r="396">
      <c r="F396" s="31"/>
      <c r="G396" s="31"/>
      <c r="H396" s="31"/>
      <c r="L396" s="31"/>
    </row>
    <row r="397">
      <c r="F397" s="31"/>
      <c r="G397" s="31"/>
      <c r="H397" s="31"/>
      <c r="L397" s="31"/>
    </row>
    <row r="398">
      <c r="F398" s="31"/>
      <c r="G398" s="31"/>
      <c r="H398" s="31"/>
      <c r="L398" s="31"/>
    </row>
    <row r="399">
      <c r="F399" s="31"/>
      <c r="G399" s="31"/>
      <c r="H399" s="31"/>
      <c r="L399" s="31"/>
    </row>
    <row r="400">
      <c r="F400" s="31"/>
      <c r="G400" s="31"/>
      <c r="H400" s="31"/>
      <c r="L400" s="31"/>
    </row>
    <row r="401">
      <c r="F401" s="31"/>
      <c r="G401" s="31"/>
      <c r="H401" s="31"/>
      <c r="L401" s="31"/>
    </row>
    <row r="402">
      <c r="F402" s="31"/>
      <c r="G402" s="31"/>
      <c r="H402" s="31"/>
      <c r="L402" s="31"/>
    </row>
    <row r="403">
      <c r="F403" s="31"/>
      <c r="G403" s="31"/>
      <c r="H403" s="31"/>
      <c r="L403" s="31"/>
    </row>
    <row r="404">
      <c r="F404" s="31"/>
      <c r="G404" s="31"/>
      <c r="H404" s="31"/>
      <c r="L404" s="31"/>
    </row>
    <row r="405">
      <c r="F405" s="31"/>
      <c r="G405" s="31"/>
      <c r="H405" s="31"/>
      <c r="L405" s="31"/>
    </row>
    <row r="406">
      <c r="F406" s="31"/>
      <c r="G406" s="31"/>
      <c r="H406" s="31"/>
      <c r="L406" s="31"/>
    </row>
    <row r="407">
      <c r="F407" s="31"/>
      <c r="G407" s="31"/>
      <c r="H407" s="31"/>
      <c r="L407" s="31"/>
    </row>
    <row r="408">
      <c r="F408" s="31"/>
      <c r="G408" s="31"/>
      <c r="H408" s="31"/>
      <c r="L408" s="31"/>
    </row>
    <row r="409">
      <c r="F409" s="31"/>
      <c r="G409" s="31"/>
      <c r="H409" s="31"/>
      <c r="L409" s="31"/>
    </row>
    <row r="410">
      <c r="F410" s="31"/>
      <c r="G410" s="31"/>
      <c r="H410" s="31"/>
      <c r="L410" s="31"/>
    </row>
    <row r="411">
      <c r="F411" s="31"/>
      <c r="G411" s="31"/>
      <c r="H411" s="31"/>
      <c r="L411" s="31"/>
    </row>
    <row r="412">
      <c r="F412" s="31"/>
      <c r="G412" s="31"/>
      <c r="H412" s="31"/>
      <c r="L412" s="31"/>
    </row>
    <row r="413">
      <c r="F413" s="31"/>
      <c r="G413" s="31"/>
      <c r="H413" s="31"/>
      <c r="L413" s="31"/>
    </row>
    <row r="414">
      <c r="F414" s="31"/>
      <c r="G414" s="31"/>
      <c r="H414" s="31"/>
      <c r="L414" s="31"/>
    </row>
    <row r="415">
      <c r="F415" s="31"/>
      <c r="G415" s="31"/>
      <c r="H415" s="31"/>
      <c r="L415" s="31"/>
    </row>
    <row r="416">
      <c r="F416" s="31"/>
      <c r="G416" s="31"/>
      <c r="H416" s="31"/>
      <c r="L416" s="31"/>
    </row>
    <row r="417">
      <c r="F417" s="31"/>
      <c r="G417" s="31"/>
      <c r="H417" s="31"/>
      <c r="L417" s="31"/>
    </row>
    <row r="418">
      <c r="F418" s="31"/>
      <c r="G418" s="31"/>
      <c r="H418" s="31"/>
      <c r="L418" s="31"/>
    </row>
    <row r="419">
      <c r="F419" s="31"/>
      <c r="G419" s="31"/>
      <c r="H419" s="31"/>
      <c r="L419" s="31"/>
    </row>
    <row r="420">
      <c r="F420" s="31"/>
      <c r="G420" s="31"/>
      <c r="H420" s="31"/>
      <c r="L420" s="31"/>
    </row>
    <row r="421">
      <c r="F421" s="31"/>
      <c r="G421" s="31"/>
      <c r="H421" s="31"/>
      <c r="L421" s="31"/>
    </row>
    <row r="422">
      <c r="F422" s="31"/>
      <c r="G422" s="31"/>
      <c r="H422" s="31"/>
      <c r="L422" s="31"/>
    </row>
    <row r="423">
      <c r="F423" s="31"/>
      <c r="G423" s="31"/>
      <c r="H423" s="31"/>
      <c r="L423" s="31"/>
    </row>
    <row r="424">
      <c r="F424" s="31"/>
      <c r="G424" s="31"/>
      <c r="H424" s="31"/>
      <c r="L424" s="31"/>
    </row>
    <row r="425">
      <c r="F425" s="31"/>
      <c r="G425" s="31"/>
      <c r="H425" s="31"/>
      <c r="L425" s="31"/>
    </row>
    <row r="426">
      <c r="F426" s="31"/>
      <c r="G426" s="31"/>
      <c r="H426" s="31"/>
      <c r="L426" s="31"/>
    </row>
    <row r="427">
      <c r="F427" s="31"/>
      <c r="G427" s="31"/>
      <c r="H427" s="31"/>
      <c r="L427" s="31"/>
    </row>
    <row r="428">
      <c r="F428" s="31"/>
      <c r="G428" s="31"/>
      <c r="H428" s="31"/>
      <c r="L428" s="31"/>
    </row>
    <row r="429">
      <c r="F429" s="31"/>
      <c r="G429" s="31"/>
      <c r="H429" s="31"/>
      <c r="L429" s="31"/>
    </row>
    <row r="430">
      <c r="F430" s="31"/>
      <c r="G430" s="31"/>
      <c r="H430" s="31"/>
      <c r="L430" s="31"/>
    </row>
    <row r="431">
      <c r="F431" s="31"/>
      <c r="G431" s="31"/>
      <c r="H431" s="31"/>
      <c r="L431" s="31"/>
    </row>
    <row r="432">
      <c r="F432" s="31"/>
      <c r="G432" s="31"/>
      <c r="H432" s="31"/>
      <c r="L432" s="31"/>
    </row>
    <row r="433">
      <c r="F433" s="31"/>
      <c r="G433" s="31"/>
      <c r="H433" s="31"/>
      <c r="L433" s="31"/>
    </row>
    <row r="434">
      <c r="F434" s="31"/>
      <c r="G434" s="31"/>
      <c r="H434" s="31"/>
      <c r="L434" s="31"/>
    </row>
    <row r="435">
      <c r="F435" s="31"/>
      <c r="G435" s="31"/>
      <c r="H435" s="31"/>
      <c r="L435" s="31"/>
    </row>
    <row r="436">
      <c r="F436" s="31"/>
      <c r="G436" s="31"/>
      <c r="H436" s="31"/>
      <c r="L436" s="31"/>
    </row>
    <row r="437">
      <c r="F437" s="31"/>
      <c r="G437" s="31"/>
      <c r="H437" s="31"/>
      <c r="L437" s="31"/>
    </row>
    <row r="438">
      <c r="F438" s="31"/>
      <c r="G438" s="31"/>
      <c r="H438" s="31"/>
      <c r="L438" s="31"/>
    </row>
    <row r="439">
      <c r="F439" s="31"/>
      <c r="G439" s="31"/>
      <c r="H439" s="31"/>
      <c r="L439" s="31"/>
    </row>
    <row r="440">
      <c r="F440" s="31"/>
      <c r="G440" s="31"/>
      <c r="H440" s="31"/>
      <c r="L440" s="31"/>
    </row>
    <row r="441">
      <c r="F441" s="31"/>
      <c r="G441" s="31"/>
      <c r="H441" s="31"/>
      <c r="L441" s="31"/>
    </row>
    <row r="442">
      <c r="F442" s="31"/>
      <c r="G442" s="31"/>
      <c r="H442" s="31"/>
      <c r="L442" s="31"/>
    </row>
    <row r="443">
      <c r="F443" s="31"/>
      <c r="G443" s="31"/>
      <c r="H443" s="31"/>
      <c r="L443" s="31"/>
    </row>
    <row r="444">
      <c r="F444" s="31"/>
      <c r="G444" s="31"/>
      <c r="H444" s="31"/>
      <c r="L444" s="31"/>
    </row>
    <row r="445">
      <c r="F445" s="31"/>
      <c r="G445" s="31"/>
      <c r="H445" s="31"/>
      <c r="L445" s="31"/>
    </row>
    <row r="446">
      <c r="F446" s="31"/>
      <c r="G446" s="31"/>
      <c r="H446" s="31"/>
      <c r="L446" s="31"/>
    </row>
    <row r="447">
      <c r="F447" s="31"/>
      <c r="G447" s="31"/>
      <c r="H447" s="31"/>
      <c r="L447" s="31"/>
    </row>
    <row r="448">
      <c r="F448" s="31"/>
      <c r="G448" s="31"/>
      <c r="H448" s="31"/>
      <c r="L448" s="31"/>
    </row>
    <row r="449">
      <c r="F449" s="31"/>
      <c r="G449" s="31"/>
      <c r="H449" s="31"/>
      <c r="L449" s="31"/>
    </row>
    <row r="450">
      <c r="F450" s="31"/>
      <c r="G450" s="31"/>
      <c r="H450" s="31"/>
      <c r="L450" s="31"/>
    </row>
    <row r="451">
      <c r="F451" s="31"/>
      <c r="G451" s="31"/>
      <c r="H451" s="31"/>
      <c r="L451" s="31"/>
    </row>
    <row r="452">
      <c r="F452" s="31"/>
      <c r="G452" s="31"/>
      <c r="H452" s="31"/>
      <c r="L452" s="31"/>
    </row>
    <row r="453">
      <c r="F453" s="31"/>
      <c r="G453" s="31"/>
      <c r="H453" s="31"/>
      <c r="L453" s="31"/>
    </row>
    <row r="454">
      <c r="F454" s="31"/>
      <c r="G454" s="31"/>
      <c r="H454" s="31"/>
      <c r="L454" s="31"/>
    </row>
    <row r="455">
      <c r="F455" s="31"/>
      <c r="G455" s="31"/>
      <c r="H455" s="31"/>
      <c r="L455" s="31"/>
    </row>
    <row r="456">
      <c r="F456" s="31"/>
      <c r="G456" s="31"/>
      <c r="H456" s="31"/>
      <c r="L456" s="31"/>
    </row>
    <row r="457">
      <c r="F457" s="31"/>
      <c r="G457" s="31"/>
      <c r="H457" s="31"/>
      <c r="L457" s="31"/>
    </row>
    <row r="458">
      <c r="F458" s="31"/>
      <c r="G458" s="31"/>
      <c r="H458" s="31"/>
      <c r="L458" s="31"/>
    </row>
    <row r="459">
      <c r="F459" s="31"/>
      <c r="G459" s="31"/>
      <c r="H459" s="31"/>
      <c r="L459" s="31"/>
    </row>
    <row r="460">
      <c r="F460" s="31"/>
      <c r="G460" s="31"/>
      <c r="H460" s="31"/>
      <c r="L460" s="31"/>
    </row>
    <row r="461">
      <c r="F461" s="31"/>
      <c r="G461" s="31"/>
      <c r="H461" s="31"/>
      <c r="L461" s="31"/>
    </row>
    <row r="462">
      <c r="F462" s="31"/>
      <c r="G462" s="31"/>
      <c r="H462" s="31"/>
      <c r="L462" s="31"/>
    </row>
    <row r="463">
      <c r="F463" s="31"/>
      <c r="G463" s="31"/>
      <c r="H463" s="31"/>
      <c r="L463" s="31"/>
    </row>
    <row r="464">
      <c r="F464" s="31"/>
      <c r="G464" s="31"/>
      <c r="H464" s="31"/>
      <c r="L464" s="31"/>
    </row>
    <row r="465">
      <c r="F465" s="31"/>
      <c r="G465" s="31"/>
      <c r="H465" s="31"/>
      <c r="L465" s="31"/>
    </row>
    <row r="466">
      <c r="F466" s="31"/>
      <c r="G466" s="31"/>
      <c r="H466" s="31"/>
      <c r="L466" s="31"/>
    </row>
    <row r="467">
      <c r="F467" s="31"/>
      <c r="G467" s="31"/>
      <c r="H467" s="31"/>
      <c r="L467" s="31"/>
    </row>
    <row r="468">
      <c r="F468" s="31"/>
      <c r="G468" s="31"/>
      <c r="H468" s="31"/>
      <c r="L468" s="31"/>
    </row>
    <row r="469">
      <c r="F469" s="31"/>
      <c r="G469" s="31"/>
      <c r="H469" s="31"/>
      <c r="L469" s="31"/>
    </row>
    <row r="470">
      <c r="F470" s="31"/>
      <c r="G470" s="31"/>
      <c r="H470" s="31"/>
      <c r="L470" s="31"/>
    </row>
    <row r="471">
      <c r="F471" s="31"/>
      <c r="G471" s="31"/>
      <c r="H471" s="31"/>
      <c r="L471" s="31"/>
    </row>
    <row r="472">
      <c r="F472" s="31"/>
      <c r="G472" s="31"/>
      <c r="H472" s="31"/>
      <c r="L472" s="31"/>
    </row>
    <row r="473">
      <c r="F473" s="31"/>
      <c r="G473" s="31"/>
      <c r="H473" s="31"/>
      <c r="L473" s="31"/>
    </row>
    <row r="474">
      <c r="F474" s="31"/>
      <c r="G474" s="31"/>
      <c r="H474" s="31"/>
      <c r="L474" s="31"/>
    </row>
    <row r="475">
      <c r="F475" s="31"/>
      <c r="G475" s="31"/>
      <c r="H475" s="31"/>
      <c r="L475" s="31"/>
    </row>
    <row r="476">
      <c r="F476" s="31"/>
      <c r="G476" s="31"/>
      <c r="H476" s="31"/>
      <c r="L476" s="31"/>
    </row>
    <row r="477">
      <c r="F477" s="31"/>
      <c r="G477" s="31"/>
      <c r="H477" s="31"/>
      <c r="L477" s="31"/>
    </row>
    <row r="478">
      <c r="F478" s="31"/>
      <c r="G478" s="31"/>
      <c r="H478" s="31"/>
      <c r="L478" s="31"/>
    </row>
    <row r="479">
      <c r="F479" s="31"/>
      <c r="G479" s="31"/>
      <c r="H479" s="31"/>
      <c r="L479" s="31"/>
    </row>
    <row r="480">
      <c r="F480" s="31"/>
      <c r="G480" s="31"/>
      <c r="H480" s="31"/>
      <c r="L480" s="31"/>
    </row>
    <row r="481">
      <c r="F481" s="31"/>
      <c r="G481" s="31"/>
      <c r="H481" s="31"/>
      <c r="L481" s="31"/>
    </row>
    <row r="482">
      <c r="F482" s="31"/>
      <c r="G482" s="31"/>
      <c r="H482" s="31"/>
      <c r="L482" s="31"/>
    </row>
    <row r="483">
      <c r="F483" s="31"/>
      <c r="G483" s="31"/>
      <c r="H483" s="31"/>
      <c r="L483" s="31"/>
    </row>
    <row r="484">
      <c r="F484" s="31"/>
      <c r="G484" s="31"/>
      <c r="H484" s="31"/>
      <c r="L484" s="31"/>
    </row>
    <row r="485">
      <c r="F485" s="31"/>
      <c r="G485" s="31"/>
      <c r="H485" s="31"/>
      <c r="L485" s="31"/>
    </row>
    <row r="486">
      <c r="F486" s="31"/>
      <c r="G486" s="31"/>
      <c r="H486" s="31"/>
      <c r="L486" s="31"/>
    </row>
    <row r="487">
      <c r="F487" s="31"/>
      <c r="G487" s="31"/>
      <c r="H487" s="31"/>
      <c r="L487" s="31"/>
    </row>
    <row r="488">
      <c r="F488" s="31"/>
      <c r="G488" s="31"/>
      <c r="H488" s="31"/>
      <c r="L488" s="31"/>
    </row>
    <row r="489">
      <c r="F489" s="31"/>
      <c r="G489" s="31"/>
      <c r="H489" s="31"/>
      <c r="L489" s="31"/>
    </row>
    <row r="490">
      <c r="F490" s="31"/>
      <c r="G490" s="31"/>
      <c r="H490" s="31"/>
      <c r="L490" s="31"/>
    </row>
    <row r="491">
      <c r="F491" s="31"/>
      <c r="G491" s="31"/>
      <c r="H491" s="31"/>
      <c r="L491" s="31"/>
    </row>
    <row r="492">
      <c r="F492" s="31"/>
      <c r="G492" s="31"/>
      <c r="H492" s="31"/>
      <c r="L492" s="31"/>
    </row>
    <row r="493">
      <c r="F493" s="31"/>
      <c r="G493" s="31"/>
      <c r="H493" s="31"/>
      <c r="L493" s="31"/>
    </row>
    <row r="494">
      <c r="F494" s="31"/>
      <c r="G494" s="31"/>
      <c r="H494" s="31"/>
      <c r="L494" s="31"/>
    </row>
    <row r="495">
      <c r="F495" s="31"/>
      <c r="G495" s="31"/>
      <c r="H495" s="31"/>
      <c r="L495" s="31"/>
    </row>
    <row r="496">
      <c r="F496" s="31"/>
      <c r="G496" s="31"/>
      <c r="H496" s="31"/>
      <c r="L496" s="31"/>
    </row>
    <row r="497">
      <c r="F497" s="31"/>
      <c r="G497" s="31"/>
      <c r="H497" s="31"/>
      <c r="L497" s="31"/>
    </row>
    <row r="498">
      <c r="F498" s="31"/>
      <c r="G498" s="31"/>
      <c r="H498" s="31"/>
      <c r="L498" s="31"/>
    </row>
    <row r="499">
      <c r="F499" s="31"/>
      <c r="G499" s="31"/>
      <c r="H499" s="31"/>
      <c r="L499" s="31"/>
    </row>
    <row r="500">
      <c r="F500" s="31"/>
      <c r="G500" s="31"/>
      <c r="H500" s="31"/>
      <c r="L500" s="31"/>
    </row>
    <row r="501">
      <c r="F501" s="31"/>
      <c r="G501" s="31"/>
      <c r="H501" s="31"/>
      <c r="L501" s="31"/>
    </row>
    <row r="502">
      <c r="F502" s="31"/>
      <c r="G502" s="31"/>
      <c r="H502" s="31"/>
      <c r="L502" s="31"/>
    </row>
    <row r="503">
      <c r="F503" s="31"/>
      <c r="G503" s="31"/>
      <c r="H503" s="31"/>
      <c r="L503" s="31"/>
    </row>
    <row r="504">
      <c r="F504" s="31"/>
      <c r="G504" s="31"/>
      <c r="H504" s="31"/>
      <c r="L504" s="31"/>
    </row>
    <row r="505">
      <c r="F505" s="31"/>
      <c r="G505" s="31"/>
      <c r="H505" s="31"/>
      <c r="L505" s="31"/>
    </row>
    <row r="506">
      <c r="F506" s="31"/>
      <c r="G506" s="31"/>
      <c r="H506" s="31"/>
      <c r="L506" s="31"/>
    </row>
    <row r="507">
      <c r="F507" s="31"/>
      <c r="G507" s="31"/>
      <c r="H507" s="31"/>
      <c r="L507" s="31"/>
    </row>
    <row r="508">
      <c r="F508" s="31"/>
      <c r="G508" s="31"/>
      <c r="H508" s="31"/>
      <c r="L508" s="31"/>
    </row>
    <row r="509">
      <c r="F509" s="31"/>
      <c r="G509" s="31"/>
      <c r="H509" s="31"/>
      <c r="L509" s="31"/>
    </row>
    <row r="510">
      <c r="F510" s="31"/>
      <c r="G510" s="31"/>
      <c r="H510" s="31"/>
      <c r="L510" s="31"/>
    </row>
    <row r="511">
      <c r="F511" s="31"/>
      <c r="G511" s="31"/>
      <c r="H511" s="31"/>
      <c r="L511" s="31"/>
    </row>
    <row r="512">
      <c r="F512" s="31"/>
      <c r="G512" s="31"/>
      <c r="H512" s="31"/>
      <c r="L512" s="31"/>
    </row>
    <row r="513">
      <c r="F513" s="31"/>
      <c r="G513" s="31"/>
      <c r="H513" s="31"/>
      <c r="L513" s="31"/>
    </row>
    <row r="514">
      <c r="F514" s="31"/>
      <c r="G514" s="31"/>
      <c r="H514" s="31"/>
      <c r="L514" s="31"/>
    </row>
    <row r="515">
      <c r="F515" s="31"/>
      <c r="G515" s="31"/>
      <c r="H515" s="31"/>
      <c r="L515" s="31"/>
    </row>
    <row r="516">
      <c r="F516" s="31"/>
      <c r="G516" s="31"/>
      <c r="H516" s="31"/>
      <c r="L516" s="31"/>
    </row>
    <row r="517">
      <c r="F517" s="31"/>
      <c r="G517" s="31"/>
      <c r="H517" s="31"/>
      <c r="L517" s="31"/>
    </row>
    <row r="518">
      <c r="F518" s="31"/>
      <c r="G518" s="31"/>
      <c r="H518" s="31"/>
      <c r="L518" s="31"/>
    </row>
    <row r="519">
      <c r="F519" s="31"/>
      <c r="G519" s="31"/>
      <c r="H519" s="31"/>
      <c r="L519" s="31"/>
    </row>
    <row r="520">
      <c r="F520" s="31"/>
      <c r="G520" s="31"/>
      <c r="H520" s="31"/>
      <c r="L520" s="31"/>
    </row>
    <row r="521">
      <c r="F521" s="31"/>
      <c r="G521" s="31"/>
      <c r="H521" s="31"/>
      <c r="L521" s="31"/>
    </row>
    <row r="522">
      <c r="F522" s="31"/>
      <c r="G522" s="31"/>
      <c r="H522" s="31"/>
      <c r="L522" s="31"/>
    </row>
    <row r="523">
      <c r="F523" s="31"/>
      <c r="G523" s="31"/>
      <c r="H523" s="31"/>
      <c r="L523" s="31"/>
    </row>
    <row r="524">
      <c r="F524" s="31"/>
      <c r="G524" s="31"/>
      <c r="H524" s="31"/>
      <c r="L524" s="31"/>
    </row>
    <row r="525">
      <c r="F525" s="31"/>
      <c r="G525" s="31"/>
      <c r="H525" s="31"/>
      <c r="L525" s="31"/>
    </row>
    <row r="526">
      <c r="F526" s="31"/>
      <c r="G526" s="31"/>
      <c r="H526" s="31"/>
      <c r="L526" s="31"/>
    </row>
    <row r="527">
      <c r="F527" s="31"/>
      <c r="G527" s="31"/>
      <c r="H527" s="31"/>
      <c r="L527" s="31"/>
    </row>
    <row r="528">
      <c r="F528" s="31"/>
      <c r="G528" s="31"/>
      <c r="H528" s="31"/>
      <c r="L528" s="31"/>
    </row>
    <row r="529">
      <c r="F529" s="31"/>
      <c r="G529" s="31"/>
      <c r="H529" s="31"/>
      <c r="L529" s="31"/>
    </row>
    <row r="530">
      <c r="F530" s="31"/>
      <c r="G530" s="31"/>
      <c r="H530" s="31"/>
      <c r="L530" s="31"/>
    </row>
    <row r="531">
      <c r="F531" s="31"/>
      <c r="G531" s="31"/>
      <c r="H531" s="31"/>
      <c r="L531" s="31"/>
    </row>
    <row r="532">
      <c r="F532" s="31"/>
      <c r="G532" s="31"/>
      <c r="H532" s="31"/>
      <c r="L532" s="31"/>
    </row>
    <row r="533">
      <c r="F533" s="31"/>
      <c r="G533" s="31"/>
      <c r="H533" s="31"/>
      <c r="L533" s="31"/>
    </row>
    <row r="534">
      <c r="F534" s="31"/>
      <c r="G534" s="31"/>
      <c r="H534" s="31"/>
      <c r="L534" s="31"/>
    </row>
    <row r="535">
      <c r="F535" s="31"/>
      <c r="G535" s="31"/>
      <c r="H535" s="31"/>
      <c r="L535" s="31"/>
    </row>
    <row r="536">
      <c r="F536" s="31"/>
      <c r="G536" s="31"/>
      <c r="H536" s="31"/>
      <c r="L536" s="31"/>
    </row>
    <row r="537">
      <c r="F537" s="31"/>
      <c r="G537" s="31"/>
      <c r="H537" s="31"/>
      <c r="L537" s="31"/>
    </row>
    <row r="538">
      <c r="F538" s="31"/>
      <c r="G538" s="31"/>
      <c r="H538" s="31"/>
      <c r="L538" s="31"/>
    </row>
    <row r="539">
      <c r="F539" s="31"/>
      <c r="G539" s="31"/>
      <c r="H539" s="31"/>
      <c r="L539" s="31"/>
    </row>
    <row r="540">
      <c r="F540" s="31"/>
      <c r="G540" s="31"/>
      <c r="H540" s="31"/>
      <c r="L540" s="31"/>
    </row>
    <row r="541">
      <c r="F541" s="31"/>
      <c r="G541" s="31"/>
      <c r="H541" s="31"/>
      <c r="L541" s="31"/>
    </row>
    <row r="542">
      <c r="F542" s="31"/>
      <c r="G542" s="31"/>
      <c r="H542" s="31"/>
      <c r="L542" s="31"/>
    </row>
    <row r="543">
      <c r="F543" s="31"/>
      <c r="G543" s="31"/>
      <c r="H543" s="31"/>
      <c r="L543" s="31"/>
    </row>
    <row r="544">
      <c r="F544" s="31"/>
      <c r="G544" s="31"/>
      <c r="H544" s="31"/>
      <c r="L544" s="31"/>
    </row>
    <row r="545">
      <c r="F545" s="31"/>
      <c r="G545" s="31"/>
      <c r="H545" s="31"/>
      <c r="L545" s="31"/>
    </row>
    <row r="546">
      <c r="F546" s="31"/>
      <c r="G546" s="31"/>
      <c r="H546" s="31"/>
      <c r="L546" s="31"/>
    </row>
    <row r="547">
      <c r="F547" s="31"/>
      <c r="G547" s="31"/>
      <c r="H547" s="31"/>
      <c r="L547" s="31"/>
    </row>
    <row r="548">
      <c r="F548" s="31"/>
      <c r="G548" s="31"/>
      <c r="H548" s="31"/>
      <c r="L548" s="31"/>
    </row>
    <row r="549">
      <c r="F549" s="31"/>
      <c r="G549" s="31"/>
      <c r="H549" s="31"/>
      <c r="L549" s="31"/>
    </row>
    <row r="550">
      <c r="F550" s="31"/>
      <c r="G550" s="31"/>
      <c r="H550" s="31"/>
      <c r="L550" s="31"/>
    </row>
    <row r="551">
      <c r="F551" s="31"/>
      <c r="G551" s="31"/>
      <c r="H551" s="31"/>
      <c r="L551" s="31"/>
    </row>
    <row r="552">
      <c r="F552" s="31"/>
      <c r="G552" s="31"/>
      <c r="H552" s="31"/>
      <c r="L552" s="31"/>
    </row>
    <row r="553">
      <c r="F553" s="31"/>
      <c r="G553" s="31"/>
      <c r="H553" s="31"/>
      <c r="L553" s="31"/>
    </row>
    <row r="554">
      <c r="F554" s="31"/>
      <c r="G554" s="31"/>
      <c r="H554" s="31"/>
      <c r="L554" s="31"/>
    </row>
    <row r="555">
      <c r="F555" s="31"/>
      <c r="G555" s="31"/>
      <c r="H555" s="31"/>
      <c r="L555" s="31"/>
    </row>
    <row r="556">
      <c r="F556" s="31"/>
      <c r="G556" s="31"/>
      <c r="H556" s="31"/>
      <c r="L556" s="31"/>
    </row>
    <row r="557">
      <c r="F557" s="31"/>
      <c r="G557" s="31"/>
      <c r="H557" s="31"/>
      <c r="L557" s="31"/>
    </row>
    <row r="558">
      <c r="F558" s="31"/>
      <c r="G558" s="31"/>
      <c r="H558" s="31"/>
      <c r="L558" s="31"/>
    </row>
    <row r="559">
      <c r="F559" s="31"/>
      <c r="G559" s="31"/>
      <c r="H559" s="31"/>
      <c r="L559" s="31"/>
    </row>
    <row r="560">
      <c r="F560" s="31"/>
      <c r="G560" s="31"/>
      <c r="H560" s="31"/>
      <c r="L560" s="31"/>
    </row>
    <row r="561">
      <c r="F561" s="31"/>
      <c r="G561" s="31"/>
      <c r="H561" s="31"/>
      <c r="L561" s="31"/>
    </row>
    <row r="562">
      <c r="F562" s="31"/>
      <c r="G562" s="31"/>
      <c r="H562" s="31"/>
      <c r="L562" s="31"/>
    </row>
    <row r="563">
      <c r="F563" s="31"/>
      <c r="G563" s="31"/>
      <c r="H563" s="31"/>
      <c r="L563" s="31"/>
    </row>
    <row r="564">
      <c r="F564" s="31"/>
      <c r="G564" s="31"/>
      <c r="H564" s="31"/>
      <c r="L564" s="31"/>
    </row>
    <row r="565">
      <c r="F565" s="31"/>
      <c r="G565" s="31"/>
      <c r="H565" s="31"/>
      <c r="L565" s="31"/>
    </row>
    <row r="566">
      <c r="F566" s="31"/>
      <c r="G566" s="31"/>
      <c r="H566" s="31"/>
      <c r="L566" s="31"/>
    </row>
    <row r="567">
      <c r="F567" s="31"/>
      <c r="G567" s="31"/>
      <c r="H567" s="31"/>
      <c r="L567" s="31"/>
    </row>
    <row r="568">
      <c r="F568" s="31"/>
      <c r="G568" s="31"/>
      <c r="H568" s="31"/>
      <c r="L568" s="31"/>
    </row>
    <row r="569">
      <c r="F569" s="31"/>
      <c r="G569" s="31"/>
      <c r="H569" s="31"/>
      <c r="L569" s="31"/>
    </row>
    <row r="570">
      <c r="F570" s="31"/>
      <c r="G570" s="31"/>
      <c r="H570" s="31"/>
      <c r="L570" s="31"/>
    </row>
    <row r="571">
      <c r="F571" s="31"/>
      <c r="G571" s="31"/>
      <c r="H571" s="31"/>
      <c r="L571" s="31"/>
    </row>
    <row r="572">
      <c r="F572" s="31"/>
      <c r="G572" s="31"/>
      <c r="H572" s="31"/>
      <c r="L572" s="31"/>
    </row>
    <row r="573">
      <c r="F573" s="31"/>
      <c r="G573" s="31"/>
      <c r="H573" s="31"/>
      <c r="L573" s="31"/>
    </row>
    <row r="574">
      <c r="F574" s="31"/>
      <c r="G574" s="31"/>
      <c r="H574" s="31"/>
      <c r="L574" s="31"/>
    </row>
    <row r="575">
      <c r="F575" s="31"/>
      <c r="G575" s="31"/>
      <c r="H575" s="31"/>
      <c r="L575" s="31"/>
    </row>
    <row r="576">
      <c r="F576" s="31"/>
      <c r="G576" s="31"/>
      <c r="H576" s="31"/>
      <c r="L576" s="31"/>
    </row>
    <row r="577">
      <c r="F577" s="31"/>
      <c r="G577" s="31"/>
      <c r="H577" s="31"/>
      <c r="L577" s="31"/>
    </row>
    <row r="578">
      <c r="F578" s="31"/>
      <c r="G578" s="31"/>
      <c r="H578" s="31"/>
      <c r="L578" s="31"/>
    </row>
    <row r="579">
      <c r="F579" s="31"/>
      <c r="G579" s="31"/>
      <c r="H579" s="31"/>
      <c r="L579" s="31"/>
    </row>
    <row r="580">
      <c r="F580" s="31"/>
      <c r="G580" s="31"/>
      <c r="H580" s="31"/>
      <c r="L580" s="31"/>
    </row>
    <row r="581">
      <c r="F581" s="31"/>
      <c r="G581" s="31"/>
      <c r="H581" s="31"/>
      <c r="L581" s="31"/>
    </row>
    <row r="582">
      <c r="F582" s="31"/>
      <c r="G582" s="31"/>
      <c r="H582" s="31"/>
      <c r="L582" s="31"/>
    </row>
    <row r="583">
      <c r="F583" s="31"/>
      <c r="G583" s="31"/>
      <c r="H583" s="31"/>
      <c r="L583" s="31"/>
    </row>
    <row r="584">
      <c r="F584" s="31"/>
      <c r="G584" s="31"/>
      <c r="H584" s="31"/>
      <c r="L584" s="31"/>
    </row>
    <row r="585">
      <c r="F585" s="31"/>
      <c r="G585" s="31"/>
      <c r="H585" s="31"/>
      <c r="L585" s="31"/>
    </row>
    <row r="586">
      <c r="F586" s="31"/>
      <c r="G586" s="31"/>
      <c r="H586" s="31"/>
      <c r="L586" s="31"/>
    </row>
    <row r="587">
      <c r="F587" s="31"/>
      <c r="G587" s="31"/>
      <c r="H587" s="31"/>
      <c r="L587" s="31"/>
    </row>
    <row r="588">
      <c r="F588" s="31"/>
      <c r="G588" s="31"/>
      <c r="H588" s="31"/>
      <c r="L588" s="31"/>
    </row>
    <row r="589">
      <c r="F589" s="31"/>
      <c r="G589" s="31"/>
      <c r="H589" s="31"/>
      <c r="L589" s="31"/>
    </row>
    <row r="590">
      <c r="F590" s="31"/>
      <c r="G590" s="31"/>
      <c r="H590" s="31"/>
      <c r="L590" s="31"/>
    </row>
    <row r="591">
      <c r="F591" s="31"/>
      <c r="G591" s="31"/>
      <c r="H591" s="31"/>
      <c r="L591" s="31"/>
    </row>
    <row r="592">
      <c r="F592" s="31"/>
      <c r="G592" s="31"/>
      <c r="H592" s="31"/>
      <c r="L592" s="31"/>
    </row>
    <row r="593">
      <c r="F593" s="31"/>
      <c r="G593" s="31"/>
      <c r="H593" s="31"/>
      <c r="L593" s="31"/>
    </row>
    <row r="594">
      <c r="F594" s="31"/>
      <c r="G594" s="31"/>
      <c r="H594" s="31"/>
      <c r="L594" s="31"/>
    </row>
    <row r="595">
      <c r="F595" s="31"/>
      <c r="G595" s="31"/>
      <c r="H595" s="31"/>
      <c r="L595" s="31"/>
    </row>
    <row r="596">
      <c r="F596" s="31"/>
      <c r="G596" s="31"/>
      <c r="H596" s="31"/>
      <c r="L596" s="31"/>
    </row>
    <row r="597">
      <c r="F597" s="31"/>
      <c r="G597" s="31"/>
      <c r="H597" s="31"/>
      <c r="L597" s="31"/>
    </row>
    <row r="598">
      <c r="F598" s="31"/>
      <c r="G598" s="31"/>
      <c r="H598" s="31"/>
      <c r="L598" s="31"/>
    </row>
    <row r="599">
      <c r="F599" s="31"/>
      <c r="G599" s="31"/>
      <c r="H599" s="31"/>
      <c r="L599" s="31"/>
    </row>
    <row r="600">
      <c r="F600" s="31"/>
      <c r="G600" s="31"/>
      <c r="H600" s="31"/>
      <c r="L600" s="31"/>
    </row>
    <row r="601">
      <c r="F601" s="31"/>
      <c r="G601" s="31"/>
      <c r="H601" s="31"/>
      <c r="L601" s="31"/>
    </row>
    <row r="602">
      <c r="F602" s="31"/>
      <c r="G602" s="31"/>
      <c r="H602" s="31"/>
      <c r="L602" s="31"/>
    </row>
    <row r="603">
      <c r="F603" s="31"/>
      <c r="G603" s="31"/>
      <c r="H603" s="31"/>
      <c r="L603" s="31"/>
    </row>
    <row r="604">
      <c r="F604" s="31"/>
      <c r="G604" s="31"/>
      <c r="H604" s="31"/>
      <c r="L604" s="31"/>
    </row>
    <row r="605">
      <c r="F605" s="31"/>
      <c r="G605" s="31"/>
      <c r="H605" s="31"/>
      <c r="L605" s="31"/>
    </row>
    <row r="606">
      <c r="F606" s="31"/>
      <c r="G606" s="31"/>
      <c r="H606" s="31"/>
      <c r="L606" s="31"/>
    </row>
    <row r="607">
      <c r="F607" s="31"/>
      <c r="G607" s="31"/>
      <c r="H607" s="31"/>
      <c r="L607" s="31"/>
    </row>
    <row r="608">
      <c r="F608" s="31"/>
      <c r="G608" s="31"/>
      <c r="H608" s="31"/>
      <c r="L608" s="31"/>
    </row>
    <row r="609">
      <c r="F609" s="31"/>
      <c r="G609" s="31"/>
      <c r="H609" s="31"/>
      <c r="L609" s="31"/>
    </row>
    <row r="610">
      <c r="F610" s="31"/>
      <c r="G610" s="31"/>
      <c r="H610" s="31"/>
      <c r="L610" s="31"/>
    </row>
    <row r="611">
      <c r="F611" s="31"/>
      <c r="G611" s="31"/>
      <c r="H611" s="31"/>
      <c r="L611" s="31"/>
    </row>
    <row r="612">
      <c r="F612" s="31"/>
      <c r="G612" s="31"/>
      <c r="H612" s="31"/>
      <c r="L612" s="31"/>
    </row>
    <row r="613">
      <c r="F613" s="31"/>
      <c r="G613" s="31"/>
      <c r="H613" s="31"/>
      <c r="L613" s="31"/>
    </row>
    <row r="614">
      <c r="F614" s="31"/>
      <c r="G614" s="31"/>
      <c r="H614" s="31"/>
      <c r="L614" s="31"/>
    </row>
    <row r="615">
      <c r="F615" s="31"/>
      <c r="G615" s="31"/>
      <c r="H615" s="31"/>
      <c r="L615" s="31"/>
    </row>
    <row r="616">
      <c r="F616" s="31"/>
      <c r="G616" s="31"/>
      <c r="H616" s="31"/>
      <c r="L616" s="31"/>
    </row>
    <row r="617">
      <c r="F617" s="31"/>
      <c r="G617" s="31"/>
      <c r="H617" s="31"/>
      <c r="L617" s="31"/>
    </row>
    <row r="618">
      <c r="F618" s="31"/>
      <c r="G618" s="31"/>
      <c r="H618" s="31"/>
      <c r="L618" s="31"/>
    </row>
    <row r="619">
      <c r="F619" s="31"/>
      <c r="G619" s="31"/>
      <c r="H619" s="31"/>
      <c r="L619" s="31"/>
    </row>
    <row r="620">
      <c r="F620" s="31"/>
      <c r="G620" s="31"/>
      <c r="H620" s="31"/>
      <c r="L620" s="31"/>
    </row>
    <row r="621">
      <c r="F621" s="31"/>
      <c r="G621" s="31"/>
      <c r="H621" s="31"/>
      <c r="L621" s="31"/>
    </row>
    <row r="622">
      <c r="F622" s="31"/>
      <c r="G622" s="31"/>
      <c r="H622" s="31"/>
      <c r="L622" s="31"/>
    </row>
    <row r="623">
      <c r="F623" s="31"/>
      <c r="G623" s="31"/>
      <c r="H623" s="31"/>
      <c r="L623" s="31"/>
    </row>
    <row r="624">
      <c r="F624" s="31"/>
      <c r="G624" s="31"/>
      <c r="H624" s="31"/>
      <c r="L624" s="31"/>
    </row>
    <row r="625">
      <c r="F625" s="31"/>
      <c r="G625" s="31"/>
      <c r="H625" s="31"/>
      <c r="L625" s="31"/>
    </row>
    <row r="626">
      <c r="F626" s="31"/>
      <c r="G626" s="31"/>
      <c r="H626" s="31"/>
      <c r="L626" s="31"/>
    </row>
    <row r="627">
      <c r="F627" s="31"/>
      <c r="G627" s="31"/>
      <c r="H627" s="31"/>
      <c r="L627" s="31"/>
    </row>
    <row r="628">
      <c r="F628" s="31"/>
      <c r="G628" s="31"/>
      <c r="H628" s="31"/>
      <c r="L628" s="31"/>
    </row>
    <row r="629">
      <c r="F629" s="31"/>
      <c r="G629" s="31"/>
      <c r="H629" s="31"/>
      <c r="L629" s="31"/>
    </row>
    <row r="630">
      <c r="F630" s="31"/>
      <c r="G630" s="31"/>
      <c r="H630" s="31"/>
      <c r="L630" s="31"/>
    </row>
    <row r="631">
      <c r="F631" s="31"/>
      <c r="G631" s="31"/>
      <c r="H631" s="31"/>
      <c r="L631" s="31"/>
    </row>
    <row r="632">
      <c r="F632" s="31"/>
      <c r="G632" s="31"/>
      <c r="H632" s="31"/>
      <c r="L632" s="31"/>
    </row>
    <row r="633">
      <c r="F633" s="31"/>
      <c r="G633" s="31"/>
      <c r="H633" s="31"/>
      <c r="L633" s="31"/>
    </row>
    <row r="634">
      <c r="F634" s="31"/>
      <c r="G634" s="31"/>
      <c r="H634" s="31"/>
      <c r="L634" s="31"/>
    </row>
    <row r="635">
      <c r="F635" s="31"/>
      <c r="G635" s="31"/>
      <c r="H635" s="31"/>
      <c r="L635" s="31"/>
    </row>
    <row r="636">
      <c r="F636" s="31"/>
      <c r="G636" s="31"/>
      <c r="H636" s="31"/>
      <c r="L636" s="31"/>
    </row>
    <row r="637">
      <c r="F637" s="31"/>
      <c r="G637" s="31"/>
      <c r="H637" s="31"/>
      <c r="L637" s="31"/>
    </row>
    <row r="638">
      <c r="F638" s="31"/>
      <c r="G638" s="31"/>
      <c r="H638" s="31"/>
      <c r="L638" s="31"/>
    </row>
    <row r="639">
      <c r="F639" s="31"/>
      <c r="G639" s="31"/>
      <c r="H639" s="31"/>
      <c r="L639" s="31"/>
    </row>
    <row r="640">
      <c r="F640" s="31"/>
      <c r="G640" s="31"/>
      <c r="H640" s="31"/>
      <c r="L640" s="31"/>
    </row>
    <row r="641">
      <c r="F641" s="31"/>
      <c r="G641" s="31"/>
      <c r="H641" s="31"/>
      <c r="L641" s="31"/>
    </row>
    <row r="642">
      <c r="F642" s="31"/>
      <c r="G642" s="31"/>
      <c r="H642" s="31"/>
      <c r="L642" s="31"/>
    </row>
    <row r="643">
      <c r="F643" s="31"/>
      <c r="G643" s="31"/>
      <c r="H643" s="31"/>
      <c r="L643" s="31"/>
    </row>
    <row r="644">
      <c r="F644" s="31"/>
      <c r="G644" s="31"/>
      <c r="H644" s="31"/>
      <c r="L644" s="31"/>
    </row>
    <row r="645">
      <c r="F645" s="31"/>
      <c r="G645" s="31"/>
      <c r="H645" s="31"/>
      <c r="L645" s="31"/>
    </row>
    <row r="646">
      <c r="F646" s="31"/>
      <c r="G646" s="31"/>
      <c r="H646" s="31"/>
      <c r="L646" s="31"/>
    </row>
    <row r="647">
      <c r="F647" s="31"/>
      <c r="G647" s="31"/>
      <c r="H647" s="31"/>
      <c r="L647" s="31"/>
    </row>
    <row r="648">
      <c r="F648" s="31"/>
      <c r="G648" s="31"/>
      <c r="H648" s="31"/>
      <c r="L648" s="31"/>
    </row>
    <row r="649">
      <c r="F649" s="31"/>
      <c r="G649" s="31"/>
      <c r="H649" s="31"/>
      <c r="L649" s="31"/>
    </row>
    <row r="650">
      <c r="F650" s="31"/>
      <c r="G650" s="31"/>
      <c r="H650" s="31"/>
      <c r="L650" s="31"/>
    </row>
    <row r="651">
      <c r="F651" s="31"/>
      <c r="G651" s="31"/>
      <c r="H651" s="31"/>
      <c r="L651" s="31"/>
    </row>
    <row r="652">
      <c r="F652" s="31"/>
      <c r="G652" s="31"/>
      <c r="H652" s="31"/>
      <c r="L652" s="31"/>
    </row>
    <row r="653">
      <c r="F653" s="31"/>
      <c r="G653" s="31"/>
      <c r="H653" s="31"/>
      <c r="L653" s="31"/>
    </row>
    <row r="654">
      <c r="F654" s="31"/>
      <c r="G654" s="31"/>
      <c r="H654" s="31"/>
      <c r="L654" s="31"/>
    </row>
    <row r="655">
      <c r="F655" s="31"/>
      <c r="G655" s="31"/>
      <c r="H655" s="31"/>
      <c r="L655" s="31"/>
    </row>
    <row r="656">
      <c r="F656" s="31"/>
      <c r="G656" s="31"/>
      <c r="H656" s="31"/>
      <c r="L656" s="31"/>
    </row>
    <row r="657">
      <c r="F657" s="31"/>
      <c r="G657" s="31"/>
      <c r="H657" s="31"/>
      <c r="L657" s="31"/>
    </row>
    <row r="658">
      <c r="F658" s="31"/>
      <c r="G658" s="31"/>
      <c r="H658" s="31"/>
      <c r="L658" s="31"/>
    </row>
    <row r="659">
      <c r="F659" s="31"/>
      <c r="G659" s="31"/>
      <c r="H659" s="31"/>
      <c r="L659" s="31"/>
    </row>
    <row r="660">
      <c r="F660" s="31"/>
      <c r="G660" s="31"/>
      <c r="H660" s="31"/>
      <c r="L660" s="31"/>
    </row>
    <row r="661">
      <c r="F661" s="31"/>
      <c r="G661" s="31"/>
      <c r="H661" s="31"/>
      <c r="L661" s="31"/>
    </row>
    <row r="662">
      <c r="F662" s="31"/>
      <c r="G662" s="31"/>
      <c r="H662" s="31"/>
      <c r="L662" s="31"/>
    </row>
    <row r="663">
      <c r="F663" s="31"/>
      <c r="G663" s="31"/>
      <c r="H663" s="31"/>
      <c r="L663" s="31"/>
    </row>
    <row r="664">
      <c r="F664" s="31"/>
      <c r="G664" s="31"/>
      <c r="H664" s="31"/>
      <c r="L664" s="31"/>
    </row>
    <row r="665">
      <c r="F665" s="31"/>
      <c r="G665" s="31"/>
      <c r="H665" s="31"/>
      <c r="L665" s="31"/>
    </row>
    <row r="666">
      <c r="F666" s="31"/>
      <c r="G666" s="31"/>
      <c r="H666" s="31"/>
      <c r="L666" s="31"/>
    </row>
    <row r="667">
      <c r="F667" s="31"/>
      <c r="G667" s="31"/>
      <c r="H667" s="31"/>
      <c r="L667" s="31"/>
    </row>
    <row r="668">
      <c r="F668" s="31"/>
      <c r="G668" s="31"/>
      <c r="H668" s="31"/>
      <c r="L668" s="31"/>
    </row>
    <row r="669">
      <c r="F669" s="31"/>
      <c r="G669" s="31"/>
      <c r="H669" s="31"/>
      <c r="L669" s="31"/>
    </row>
    <row r="670">
      <c r="F670" s="31"/>
      <c r="G670" s="31"/>
      <c r="H670" s="31"/>
      <c r="L670" s="31"/>
    </row>
    <row r="671">
      <c r="F671" s="31"/>
      <c r="G671" s="31"/>
      <c r="H671" s="31"/>
      <c r="L671" s="31"/>
    </row>
    <row r="672">
      <c r="F672" s="31"/>
      <c r="G672" s="31"/>
      <c r="H672" s="31"/>
      <c r="L672" s="31"/>
    </row>
    <row r="673">
      <c r="F673" s="31"/>
      <c r="G673" s="31"/>
      <c r="H673" s="31"/>
      <c r="L673" s="31"/>
    </row>
    <row r="674">
      <c r="F674" s="31"/>
      <c r="G674" s="31"/>
      <c r="H674" s="31"/>
      <c r="L674" s="31"/>
    </row>
    <row r="675">
      <c r="F675" s="31"/>
      <c r="G675" s="31"/>
      <c r="H675" s="31"/>
      <c r="L675" s="31"/>
    </row>
    <row r="676">
      <c r="F676" s="31"/>
      <c r="G676" s="31"/>
      <c r="H676" s="31"/>
      <c r="L676" s="31"/>
    </row>
    <row r="677">
      <c r="F677" s="31"/>
      <c r="G677" s="31"/>
      <c r="H677" s="31"/>
      <c r="L677" s="31"/>
    </row>
    <row r="678">
      <c r="F678" s="31"/>
      <c r="G678" s="31"/>
      <c r="H678" s="31"/>
      <c r="L678" s="31"/>
    </row>
    <row r="679">
      <c r="F679" s="31"/>
      <c r="G679" s="31"/>
      <c r="H679" s="31"/>
      <c r="L679" s="31"/>
    </row>
    <row r="680">
      <c r="F680" s="31"/>
      <c r="G680" s="31"/>
      <c r="H680" s="31"/>
      <c r="L680" s="31"/>
    </row>
    <row r="681">
      <c r="F681" s="31"/>
      <c r="G681" s="31"/>
      <c r="H681" s="31"/>
      <c r="L681" s="31"/>
    </row>
    <row r="682">
      <c r="F682" s="31"/>
      <c r="G682" s="31"/>
      <c r="H682" s="31"/>
      <c r="L682" s="31"/>
    </row>
    <row r="683">
      <c r="F683" s="31"/>
      <c r="G683" s="31"/>
      <c r="H683" s="31"/>
      <c r="L683" s="31"/>
    </row>
    <row r="684">
      <c r="F684" s="31"/>
      <c r="G684" s="31"/>
      <c r="H684" s="31"/>
      <c r="L684" s="31"/>
    </row>
    <row r="685">
      <c r="F685" s="31"/>
      <c r="G685" s="31"/>
      <c r="H685" s="31"/>
      <c r="L685" s="31"/>
    </row>
    <row r="686">
      <c r="F686" s="31"/>
      <c r="G686" s="31"/>
      <c r="H686" s="31"/>
      <c r="L686" s="31"/>
    </row>
    <row r="687">
      <c r="F687" s="31"/>
      <c r="G687" s="31"/>
      <c r="H687" s="31"/>
      <c r="L687" s="31"/>
    </row>
    <row r="688">
      <c r="F688" s="31"/>
      <c r="G688" s="31"/>
      <c r="H688" s="31"/>
      <c r="L688" s="31"/>
    </row>
    <row r="689">
      <c r="F689" s="31"/>
      <c r="G689" s="31"/>
      <c r="H689" s="31"/>
      <c r="L689" s="31"/>
    </row>
    <row r="690">
      <c r="F690" s="31"/>
      <c r="G690" s="31"/>
      <c r="H690" s="31"/>
      <c r="L690" s="31"/>
    </row>
    <row r="691">
      <c r="F691" s="31"/>
      <c r="G691" s="31"/>
      <c r="H691" s="31"/>
      <c r="L691" s="31"/>
    </row>
    <row r="692">
      <c r="F692" s="31"/>
      <c r="G692" s="31"/>
      <c r="H692" s="31"/>
      <c r="L692" s="31"/>
    </row>
    <row r="693">
      <c r="F693" s="31"/>
      <c r="G693" s="31"/>
      <c r="H693" s="31"/>
      <c r="L693" s="31"/>
    </row>
    <row r="694">
      <c r="F694" s="31"/>
      <c r="G694" s="31"/>
      <c r="H694" s="31"/>
      <c r="L694" s="31"/>
    </row>
    <row r="695">
      <c r="F695" s="31"/>
      <c r="G695" s="31"/>
      <c r="H695" s="31"/>
      <c r="L695" s="31"/>
    </row>
    <row r="696">
      <c r="F696" s="31"/>
      <c r="G696" s="31"/>
      <c r="H696" s="31"/>
      <c r="L696" s="31"/>
    </row>
    <row r="697">
      <c r="F697" s="31"/>
      <c r="G697" s="31"/>
      <c r="H697" s="31"/>
      <c r="L697" s="31"/>
    </row>
    <row r="698">
      <c r="F698" s="31"/>
      <c r="G698" s="31"/>
      <c r="H698" s="31"/>
      <c r="L698" s="31"/>
    </row>
    <row r="699">
      <c r="F699" s="31"/>
      <c r="G699" s="31"/>
      <c r="H699" s="31"/>
      <c r="L699" s="31"/>
    </row>
    <row r="700">
      <c r="F700" s="31"/>
      <c r="G700" s="31"/>
      <c r="H700" s="31"/>
      <c r="L700" s="31"/>
    </row>
    <row r="701">
      <c r="F701" s="31"/>
      <c r="G701" s="31"/>
      <c r="H701" s="31"/>
      <c r="L701" s="31"/>
    </row>
    <row r="702">
      <c r="F702" s="31"/>
      <c r="G702" s="31"/>
      <c r="H702" s="31"/>
      <c r="L702" s="31"/>
    </row>
    <row r="703">
      <c r="F703" s="31"/>
      <c r="G703" s="31"/>
      <c r="H703" s="31"/>
      <c r="L703" s="31"/>
    </row>
    <row r="704">
      <c r="F704" s="31"/>
      <c r="G704" s="31"/>
      <c r="H704" s="31"/>
      <c r="L704" s="31"/>
    </row>
    <row r="705">
      <c r="F705" s="31"/>
      <c r="G705" s="31"/>
      <c r="H705" s="31"/>
      <c r="L705" s="31"/>
    </row>
    <row r="706">
      <c r="F706" s="31"/>
      <c r="G706" s="31"/>
      <c r="H706" s="31"/>
      <c r="L706" s="31"/>
    </row>
    <row r="707">
      <c r="F707" s="31"/>
      <c r="G707" s="31"/>
      <c r="H707" s="31"/>
      <c r="L707" s="31"/>
    </row>
    <row r="708">
      <c r="F708" s="31"/>
      <c r="G708" s="31"/>
      <c r="H708" s="31"/>
      <c r="L708" s="31"/>
    </row>
    <row r="709">
      <c r="F709" s="31"/>
      <c r="G709" s="31"/>
      <c r="H709" s="31"/>
      <c r="L709" s="31"/>
    </row>
    <row r="710">
      <c r="F710" s="31"/>
      <c r="G710" s="31"/>
      <c r="H710" s="31"/>
      <c r="L710" s="31"/>
    </row>
    <row r="711">
      <c r="F711" s="31"/>
      <c r="G711" s="31"/>
      <c r="H711" s="31"/>
      <c r="L711" s="31"/>
    </row>
    <row r="712">
      <c r="F712" s="31"/>
      <c r="G712" s="31"/>
      <c r="H712" s="31"/>
      <c r="L712" s="31"/>
    </row>
    <row r="713">
      <c r="F713" s="31"/>
      <c r="G713" s="31"/>
      <c r="H713" s="31"/>
      <c r="L713" s="31"/>
    </row>
    <row r="714">
      <c r="F714" s="31"/>
      <c r="G714" s="31"/>
      <c r="H714" s="31"/>
      <c r="L714" s="31"/>
    </row>
    <row r="715">
      <c r="F715" s="31"/>
      <c r="G715" s="31"/>
      <c r="H715" s="31"/>
      <c r="L715" s="31"/>
    </row>
    <row r="716">
      <c r="F716" s="31"/>
      <c r="G716" s="31"/>
      <c r="H716" s="31"/>
      <c r="L716" s="31"/>
    </row>
    <row r="717">
      <c r="F717" s="31"/>
      <c r="G717" s="31"/>
      <c r="H717" s="31"/>
      <c r="L717" s="31"/>
    </row>
    <row r="718">
      <c r="F718" s="31"/>
      <c r="G718" s="31"/>
      <c r="H718" s="31"/>
      <c r="L718" s="31"/>
    </row>
    <row r="719">
      <c r="F719" s="31"/>
      <c r="G719" s="31"/>
      <c r="H719" s="31"/>
      <c r="L719" s="31"/>
    </row>
    <row r="720">
      <c r="F720" s="31"/>
      <c r="G720" s="31"/>
      <c r="H720" s="31"/>
      <c r="L720" s="31"/>
    </row>
    <row r="721">
      <c r="F721" s="31"/>
      <c r="G721" s="31"/>
      <c r="H721" s="31"/>
      <c r="L721" s="31"/>
    </row>
    <row r="722">
      <c r="F722" s="31"/>
      <c r="G722" s="31"/>
      <c r="H722" s="31"/>
      <c r="L722" s="31"/>
    </row>
    <row r="723">
      <c r="F723" s="31"/>
      <c r="G723" s="31"/>
      <c r="H723" s="31"/>
      <c r="L723" s="31"/>
    </row>
    <row r="724">
      <c r="F724" s="31"/>
      <c r="G724" s="31"/>
      <c r="H724" s="31"/>
      <c r="L724" s="31"/>
    </row>
    <row r="725">
      <c r="F725" s="31"/>
      <c r="G725" s="31"/>
      <c r="H725" s="31"/>
      <c r="L725" s="31"/>
    </row>
    <row r="726">
      <c r="F726" s="31"/>
      <c r="G726" s="31"/>
      <c r="H726" s="31"/>
      <c r="L726" s="31"/>
    </row>
    <row r="727">
      <c r="F727" s="31"/>
      <c r="G727" s="31"/>
      <c r="H727" s="31"/>
      <c r="L727" s="31"/>
    </row>
    <row r="728">
      <c r="F728" s="31"/>
      <c r="G728" s="31"/>
      <c r="H728" s="31"/>
      <c r="L728" s="31"/>
    </row>
    <row r="729">
      <c r="F729" s="31"/>
      <c r="G729" s="31"/>
      <c r="H729" s="31"/>
      <c r="L729" s="31"/>
    </row>
    <row r="730">
      <c r="F730" s="31"/>
      <c r="G730" s="31"/>
      <c r="H730" s="31"/>
      <c r="L730" s="31"/>
    </row>
    <row r="731">
      <c r="F731" s="31"/>
      <c r="G731" s="31"/>
      <c r="H731" s="31"/>
      <c r="L731" s="31"/>
    </row>
    <row r="732">
      <c r="F732" s="31"/>
      <c r="G732" s="31"/>
      <c r="H732" s="31"/>
      <c r="L732" s="31"/>
    </row>
    <row r="733">
      <c r="F733" s="31"/>
      <c r="G733" s="31"/>
      <c r="H733" s="31"/>
      <c r="L733" s="31"/>
    </row>
    <row r="734">
      <c r="F734" s="31"/>
      <c r="G734" s="31"/>
      <c r="H734" s="31"/>
      <c r="L734" s="31"/>
    </row>
    <row r="735">
      <c r="F735" s="31"/>
      <c r="G735" s="31"/>
      <c r="H735" s="31"/>
      <c r="L735" s="31"/>
    </row>
    <row r="736">
      <c r="F736" s="31"/>
      <c r="G736" s="31"/>
      <c r="H736" s="31"/>
      <c r="L736" s="31"/>
    </row>
    <row r="737">
      <c r="F737" s="31"/>
      <c r="G737" s="31"/>
      <c r="H737" s="31"/>
      <c r="L737" s="31"/>
    </row>
    <row r="738">
      <c r="F738" s="31"/>
      <c r="G738" s="31"/>
      <c r="H738" s="31"/>
      <c r="L738" s="31"/>
    </row>
    <row r="739">
      <c r="F739" s="31"/>
      <c r="G739" s="31"/>
      <c r="H739" s="31"/>
      <c r="L739" s="31"/>
    </row>
    <row r="740">
      <c r="F740" s="31"/>
      <c r="G740" s="31"/>
      <c r="H740" s="31"/>
      <c r="L740" s="31"/>
    </row>
    <row r="741">
      <c r="F741" s="31"/>
      <c r="G741" s="31"/>
      <c r="H741" s="31"/>
      <c r="L741" s="31"/>
    </row>
    <row r="742">
      <c r="F742" s="31"/>
      <c r="G742" s="31"/>
      <c r="H742" s="31"/>
      <c r="L742" s="31"/>
    </row>
    <row r="743">
      <c r="F743" s="31"/>
      <c r="G743" s="31"/>
      <c r="H743" s="31"/>
      <c r="L743" s="31"/>
    </row>
    <row r="744">
      <c r="F744" s="31"/>
      <c r="G744" s="31"/>
      <c r="H744" s="31"/>
      <c r="L744" s="31"/>
    </row>
    <row r="745">
      <c r="F745" s="31"/>
      <c r="G745" s="31"/>
      <c r="H745" s="31"/>
      <c r="L745" s="31"/>
    </row>
    <row r="746">
      <c r="F746" s="31"/>
      <c r="G746" s="31"/>
      <c r="H746" s="31"/>
      <c r="L746" s="31"/>
    </row>
    <row r="747">
      <c r="F747" s="31"/>
      <c r="G747" s="31"/>
      <c r="H747" s="31"/>
      <c r="L747" s="31"/>
    </row>
    <row r="748">
      <c r="F748" s="31"/>
      <c r="G748" s="31"/>
      <c r="H748" s="31"/>
      <c r="L748" s="31"/>
    </row>
    <row r="749">
      <c r="F749" s="31"/>
      <c r="G749" s="31"/>
      <c r="H749" s="31"/>
      <c r="L749" s="31"/>
    </row>
    <row r="750">
      <c r="F750" s="31"/>
      <c r="G750" s="31"/>
      <c r="H750" s="31"/>
      <c r="L750" s="31"/>
    </row>
    <row r="751">
      <c r="F751" s="31"/>
      <c r="G751" s="31"/>
      <c r="H751" s="31"/>
      <c r="L751" s="31"/>
    </row>
    <row r="752">
      <c r="F752" s="31"/>
      <c r="G752" s="31"/>
      <c r="H752" s="31"/>
      <c r="L752" s="31"/>
    </row>
    <row r="753">
      <c r="F753" s="31"/>
      <c r="G753" s="31"/>
      <c r="H753" s="31"/>
      <c r="L753" s="31"/>
    </row>
    <row r="754">
      <c r="F754" s="31"/>
      <c r="G754" s="31"/>
      <c r="H754" s="31"/>
      <c r="L754" s="31"/>
    </row>
    <row r="755">
      <c r="F755" s="31"/>
      <c r="G755" s="31"/>
      <c r="H755" s="31"/>
      <c r="L755" s="31"/>
    </row>
    <row r="756">
      <c r="F756" s="31"/>
      <c r="G756" s="31"/>
      <c r="H756" s="31"/>
      <c r="L756" s="31"/>
    </row>
    <row r="757">
      <c r="F757" s="31"/>
      <c r="G757" s="31"/>
      <c r="H757" s="31"/>
      <c r="L757" s="31"/>
    </row>
    <row r="758">
      <c r="F758" s="31"/>
      <c r="G758" s="31"/>
      <c r="H758" s="31"/>
      <c r="L758" s="31"/>
    </row>
    <row r="759">
      <c r="F759" s="31"/>
      <c r="G759" s="31"/>
      <c r="H759" s="31"/>
      <c r="L759" s="31"/>
    </row>
    <row r="760">
      <c r="F760" s="31"/>
      <c r="G760" s="31"/>
      <c r="H760" s="31"/>
      <c r="L760" s="31"/>
    </row>
    <row r="761">
      <c r="F761" s="31"/>
      <c r="G761" s="31"/>
      <c r="H761" s="31"/>
      <c r="L761" s="31"/>
    </row>
    <row r="762">
      <c r="F762" s="31"/>
      <c r="G762" s="31"/>
      <c r="H762" s="31"/>
      <c r="L762" s="31"/>
    </row>
    <row r="763">
      <c r="F763" s="31"/>
      <c r="G763" s="31"/>
      <c r="H763" s="31"/>
      <c r="L763" s="31"/>
    </row>
    <row r="764">
      <c r="F764" s="31"/>
      <c r="G764" s="31"/>
      <c r="H764" s="31"/>
      <c r="L764" s="31"/>
    </row>
    <row r="765">
      <c r="F765" s="31"/>
      <c r="G765" s="31"/>
      <c r="H765" s="31"/>
      <c r="L765" s="31"/>
    </row>
    <row r="766">
      <c r="F766" s="31"/>
      <c r="G766" s="31"/>
      <c r="H766" s="31"/>
      <c r="L766" s="31"/>
    </row>
    <row r="767">
      <c r="F767" s="31"/>
      <c r="G767" s="31"/>
      <c r="H767" s="31"/>
      <c r="L767" s="31"/>
    </row>
    <row r="768">
      <c r="F768" s="31"/>
      <c r="G768" s="31"/>
      <c r="H768" s="31"/>
      <c r="L768" s="31"/>
    </row>
    <row r="769">
      <c r="F769" s="31"/>
      <c r="G769" s="31"/>
      <c r="H769" s="31"/>
      <c r="L769" s="31"/>
    </row>
    <row r="770">
      <c r="F770" s="31"/>
      <c r="G770" s="31"/>
      <c r="H770" s="31"/>
      <c r="L770" s="31"/>
    </row>
    <row r="771">
      <c r="F771" s="31"/>
      <c r="G771" s="31"/>
      <c r="H771" s="31"/>
      <c r="L771" s="31"/>
    </row>
    <row r="772">
      <c r="F772" s="31"/>
      <c r="G772" s="31"/>
      <c r="H772" s="31"/>
      <c r="L772" s="31"/>
    </row>
    <row r="773">
      <c r="F773" s="31"/>
      <c r="G773" s="31"/>
      <c r="H773" s="31"/>
      <c r="L773" s="31"/>
    </row>
    <row r="774">
      <c r="F774" s="31"/>
      <c r="G774" s="31"/>
      <c r="H774" s="31"/>
      <c r="L774" s="31"/>
    </row>
    <row r="775">
      <c r="F775" s="31"/>
      <c r="G775" s="31"/>
      <c r="H775" s="31"/>
      <c r="L775" s="31"/>
    </row>
    <row r="776">
      <c r="F776" s="31"/>
      <c r="G776" s="31"/>
      <c r="H776" s="31"/>
      <c r="L776" s="31"/>
    </row>
    <row r="777">
      <c r="F777" s="31"/>
      <c r="G777" s="31"/>
      <c r="H777" s="31"/>
      <c r="L777" s="31"/>
    </row>
    <row r="778">
      <c r="F778" s="31"/>
      <c r="G778" s="31"/>
      <c r="H778" s="31"/>
      <c r="L778" s="31"/>
    </row>
    <row r="779">
      <c r="F779" s="31"/>
      <c r="G779" s="31"/>
      <c r="H779" s="31"/>
      <c r="L779" s="31"/>
    </row>
    <row r="780">
      <c r="F780" s="31"/>
      <c r="G780" s="31"/>
      <c r="H780" s="31"/>
      <c r="L780" s="31"/>
    </row>
    <row r="781">
      <c r="F781" s="31"/>
      <c r="G781" s="31"/>
      <c r="H781" s="31"/>
      <c r="L781" s="31"/>
    </row>
    <row r="782">
      <c r="F782" s="31"/>
      <c r="G782" s="31"/>
      <c r="H782" s="31"/>
      <c r="L782" s="31"/>
    </row>
    <row r="783">
      <c r="F783" s="31"/>
      <c r="G783" s="31"/>
      <c r="H783" s="31"/>
      <c r="L783" s="31"/>
    </row>
    <row r="784">
      <c r="F784" s="31"/>
      <c r="G784" s="31"/>
      <c r="H784" s="31"/>
      <c r="L784" s="31"/>
    </row>
    <row r="785">
      <c r="F785" s="31"/>
      <c r="G785" s="31"/>
      <c r="H785" s="31"/>
      <c r="L785" s="31"/>
    </row>
    <row r="786">
      <c r="F786" s="31"/>
      <c r="G786" s="31"/>
      <c r="H786" s="31"/>
      <c r="L786" s="31"/>
    </row>
    <row r="787">
      <c r="F787" s="31"/>
      <c r="G787" s="31"/>
      <c r="H787" s="31"/>
      <c r="L787" s="31"/>
    </row>
    <row r="788">
      <c r="F788" s="31"/>
      <c r="G788" s="31"/>
      <c r="H788" s="31"/>
      <c r="L788" s="31"/>
    </row>
    <row r="789">
      <c r="F789" s="31"/>
      <c r="G789" s="31"/>
      <c r="H789" s="31"/>
      <c r="L789" s="31"/>
    </row>
    <row r="790">
      <c r="F790" s="31"/>
      <c r="G790" s="31"/>
      <c r="H790" s="31"/>
      <c r="L790" s="31"/>
    </row>
    <row r="791">
      <c r="F791" s="31"/>
      <c r="G791" s="31"/>
      <c r="H791" s="31"/>
      <c r="L791" s="31"/>
    </row>
    <row r="792">
      <c r="F792" s="31"/>
      <c r="G792" s="31"/>
      <c r="H792" s="31"/>
      <c r="L792" s="31"/>
    </row>
    <row r="793">
      <c r="F793" s="31"/>
      <c r="G793" s="31"/>
      <c r="H793" s="31"/>
      <c r="L793" s="31"/>
    </row>
    <row r="794">
      <c r="F794" s="31"/>
      <c r="G794" s="31"/>
      <c r="H794" s="31"/>
      <c r="L794" s="31"/>
    </row>
    <row r="795">
      <c r="F795" s="31"/>
      <c r="G795" s="31"/>
      <c r="H795" s="31"/>
      <c r="L795" s="31"/>
    </row>
    <row r="796">
      <c r="F796" s="31"/>
      <c r="G796" s="31"/>
      <c r="H796" s="31"/>
      <c r="L796" s="31"/>
    </row>
    <row r="797">
      <c r="F797" s="31"/>
      <c r="G797" s="31"/>
      <c r="H797" s="31"/>
      <c r="L797" s="31"/>
    </row>
    <row r="798">
      <c r="F798" s="31"/>
      <c r="G798" s="31"/>
      <c r="H798" s="31"/>
      <c r="L798" s="31"/>
    </row>
    <row r="799">
      <c r="F799" s="31"/>
      <c r="G799" s="31"/>
      <c r="H799" s="31"/>
      <c r="L799" s="31"/>
    </row>
    <row r="800">
      <c r="F800" s="31"/>
      <c r="G800" s="31"/>
      <c r="H800" s="31"/>
      <c r="L800" s="31"/>
    </row>
    <row r="801">
      <c r="F801" s="31"/>
      <c r="G801" s="31"/>
      <c r="H801" s="31"/>
      <c r="L801" s="31"/>
    </row>
    <row r="802">
      <c r="F802" s="31"/>
      <c r="G802" s="31"/>
      <c r="H802" s="31"/>
      <c r="L802" s="31"/>
    </row>
    <row r="803">
      <c r="F803" s="31"/>
      <c r="G803" s="31"/>
      <c r="H803" s="31"/>
      <c r="L803" s="31"/>
    </row>
    <row r="804">
      <c r="F804" s="31"/>
      <c r="G804" s="31"/>
      <c r="H804" s="31"/>
      <c r="L804" s="31"/>
    </row>
    <row r="805">
      <c r="F805" s="31"/>
      <c r="G805" s="31"/>
      <c r="H805" s="31"/>
      <c r="L805" s="31"/>
    </row>
    <row r="806">
      <c r="F806" s="31"/>
      <c r="G806" s="31"/>
      <c r="H806" s="31"/>
      <c r="L806" s="31"/>
    </row>
    <row r="807">
      <c r="F807" s="31"/>
      <c r="G807" s="31"/>
      <c r="H807" s="31"/>
      <c r="L807" s="31"/>
    </row>
    <row r="808">
      <c r="F808" s="31"/>
      <c r="G808" s="31"/>
      <c r="H808" s="31"/>
      <c r="L808" s="31"/>
    </row>
    <row r="809">
      <c r="F809" s="31"/>
      <c r="G809" s="31"/>
      <c r="H809" s="31"/>
      <c r="L809" s="31"/>
    </row>
    <row r="810">
      <c r="F810" s="31"/>
      <c r="G810" s="31"/>
      <c r="H810" s="31"/>
      <c r="L810" s="31"/>
    </row>
    <row r="811">
      <c r="F811" s="31"/>
      <c r="G811" s="31"/>
      <c r="H811" s="31"/>
      <c r="L811" s="31"/>
    </row>
    <row r="812">
      <c r="F812" s="31"/>
      <c r="G812" s="31"/>
      <c r="H812" s="31"/>
      <c r="L812" s="31"/>
    </row>
    <row r="813">
      <c r="F813" s="31"/>
      <c r="G813" s="31"/>
      <c r="H813" s="31"/>
      <c r="L813" s="31"/>
    </row>
    <row r="814">
      <c r="F814" s="31"/>
      <c r="G814" s="31"/>
      <c r="H814" s="31"/>
      <c r="L814" s="31"/>
    </row>
    <row r="815">
      <c r="F815" s="31"/>
      <c r="G815" s="31"/>
      <c r="H815" s="31"/>
      <c r="L815" s="31"/>
    </row>
    <row r="816">
      <c r="F816" s="31"/>
      <c r="G816" s="31"/>
      <c r="H816" s="31"/>
      <c r="L816" s="31"/>
    </row>
    <row r="817">
      <c r="F817" s="31"/>
      <c r="G817" s="31"/>
      <c r="H817" s="31"/>
      <c r="L817" s="31"/>
    </row>
    <row r="818">
      <c r="F818" s="31"/>
      <c r="G818" s="31"/>
      <c r="H818" s="31"/>
      <c r="L818" s="31"/>
    </row>
    <row r="819">
      <c r="F819" s="31"/>
      <c r="G819" s="31"/>
      <c r="H819" s="31"/>
      <c r="L819" s="31"/>
    </row>
    <row r="820">
      <c r="F820" s="31"/>
      <c r="G820" s="31"/>
      <c r="H820" s="31"/>
      <c r="L820" s="31"/>
    </row>
    <row r="821">
      <c r="F821" s="31"/>
      <c r="G821" s="31"/>
      <c r="H821" s="31"/>
      <c r="L821" s="31"/>
    </row>
    <row r="822">
      <c r="F822" s="31"/>
      <c r="G822" s="31"/>
      <c r="H822" s="31"/>
      <c r="L822" s="31"/>
    </row>
    <row r="823">
      <c r="F823" s="31"/>
      <c r="G823" s="31"/>
      <c r="H823" s="31"/>
      <c r="L823" s="31"/>
    </row>
    <row r="824">
      <c r="F824" s="31"/>
      <c r="G824" s="31"/>
      <c r="H824" s="31"/>
      <c r="L824" s="31"/>
    </row>
    <row r="825">
      <c r="F825" s="31"/>
      <c r="G825" s="31"/>
      <c r="H825" s="31"/>
      <c r="L825" s="31"/>
    </row>
    <row r="826">
      <c r="F826" s="31"/>
      <c r="G826" s="31"/>
      <c r="H826" s="31"/>
      <c r="L826" s="31"/>
    </row>
    <row r="827">
      <c r="F827" s="31"/>
      <c r="G827" s="31"/>
      <c r="H827" s="31"/>
      <c r="L827" s="31"/>
    </row>
    <row r="828">
      <c r="F828" s="31"/>
      <c r="G828" s="31"/>
      <c r="H828" s="31"/>
      <c r="L828" s="31"/>
    </row>
    <row r="829">
      <c r="F829" s="31"/>
      <c r="G829" s="31"/>
      <c r="H829" s="31"/>
      <c r="L829" s="31"/>
    </row>
    <row r="830">
      <c r="F830" s="31"/>
      <c r="G830" s="31"/>
      <c r="H830" s="31"/>
      <c r="L830" s="31"/>
    </row>
    <row r="831">
      <c r="F831" s="31"/>
      <c r="G831" s="31"/>
      <c r="H831" s="31"/>
      <c r="L831" s="31"/>
    </row>
    <row r="832">
      <c r="F832" s="31"/>
      <c r="G832" s="31"/>
      <c r="H832" s="31"/>
      <c r="L832" s="31"/>
    </row>
    <row r="833">
      <c r="F833" s="31"/>
      <c r="G833" s="31"/>
      <c r="H833" s="31"/>
      <c r="L833" s="31"/>
    </row>
    <row r="834">
      <c r="F834" s="31"/>
      <c r="G834" s="31"/>
      <c r="H834" s="31"/>
      <c r="L834" s="31"/>
    </row>
    <row r="835">
      <c r="F835" s="31"/>
      <c r="G835" s="31"/>
      <c r="H835" s="31"/>
      <c r="L835" s="31"/>
    </row>
    <row r="836">
      <c r="F836" s="31"/>
      <c r="G836" s="31"/>
      <c r="H836" s="31"/>
      <c r="L836" s="31"/>
    </row>
    <row r="837">
      <c r="F837" s="31"/>
      <c r="G837" s="31"/>
      <c r="H837" s="31"/>
      <c r="L837" s="31"/>
    </row>
    <row r="838">
      <c r="F838" s="31"/>
      <c r="G838" s="31"/>
      <c r="H838" s="31"/>
      <c r="L838" s="31"/>
    </row>
    <row r="839">
      <c r="F839" s="31"/>
      <c r="G839" s="31"/>
      <c r="H839" s="31"/>
      <c r="L839" s="31"/>
    </row>
    <row r="840">
      <c r="F840" s="31"/>
      <c r="G840" s="31"/>
      <c r="H840" s="31"/>
      <c r="L840" s="31"/>
    </row>
    <row r="841">
      <c r="F841" s="31"/>
      <c r="G841" s="31"/>
      <c r="H841" s="31"/>
      <c r="L841" s="31"/>
    </row>
    <row r="842">
      <c r="F842" s="31"/>
      <c r="G842" s="31"/>
      <c r="H842" s="31"/>
      <c r="L842" s="31"/>
    </row>
    <row r="843">
      <c r="F843" s="31"/>
      <c r="G843" s="31"/>
      <c r="H843" s="31"/>
      <c r="L843" s="31"/>
    </row>
    <row r="844">
      <c r="F844" s="31"/>
      <c r="G844" s="31"/>
      <c r="H844" s="31"/>
      <c r="L844" s="31"/>
    </row>
    <row r="845">
      <c r="F845" s="31"/>
      <c r="G845" s="31"/>
      <c r="H845" s="31"/>
      <c r="L845" s="31"/>
    </row>
    <row r="846">
      <c r="F846" s="31"/>
      <c r="G846" s="31"/>
      <c r="H846" s="31"/>
      <c r="L846" s="31"/>
    </row>
    <row r="847">
      <c r="F847" s="31"/>
      <c r="G847" s="31"/>
      <c r="H847" s="31"/>
      <c r="L847" s="31"/>
    </row>
    <row r="848">
      <c r="F848" s="31"/>
      <c r="G848" s="31"/>
      <c r="H848" s="31"/>
      <c r="L848" s="31"/>
    </row>
    <row r="849">
      <c r="F849" s="31"/>
      <c r="G849" s="31"/>
      <c r="H849" s="31"/>
      <c r="L849" s="31"/>
    </row>
    <row r="850">
      <c r="F850" s="31"/>
      <c r="G850" s="31"/>
      <c r="H850" s="31"/>
      <c r="L850" s="31"/>
    </row>
    <row r="851">
      <c r="F851" s="31"/>
      <c r="G851" s="31"/>
      <c r="H851" s="31"/>
      <c r="L851" s="31"/>
    </row>
    <row r="852">
      <c r="F852" s="31"/>
      <c r="G852" s="31"/>
      <c r="H852" s="31"/>
      <c r="L852" s="31"/>
    </row>
    <row r="853">
      <c r="F853" s="31"/>
      <c r="G853" s="31"/>
      <c r="H853" s="31"/>
      <c r="L853" s="31"/>
    </row>
    <row r="854">
      <c r="F854" s="31"/>
      <c r="G854" s="31"/>
      <c r="H854" s="31"/>
      <c r="L854" s="31"/>
    </row>
    <row r="855">
      <c r="F855" s="31"/>
      <c r="G855" s="31"/>
      <c r="H855" s="31"/>
      <c r="L855" s="31"/>
    </row>
    <row r="856">
      <c r="F856" s="31"/>
      <c r="G856" s="31"/>
      <c r="H856" s="31"/>
      <c r="L856" s="31"/>
    </row>
    <row r="857">
      <c r="F857" s="31"/>
      <c r="G857" s="31"/>
      <c r="H857" s="31"/>
      <c r="L857" s="31"/>
    </row>
    <row r="858">
      <c r="F858" s="31"/>
      <c r="G858" s="31"/>
      <c r="H858" s="31"/>
      <c r="L858" s="31"/>
    </row>
    <row r="859">
      <c r="F859" s="31"/>
      <c r="G859" s="31"/>
      <c r="H859" s="31"/>
      <c r="L859" s="31"/>
    </row>
    <row r="860">
      <c r="F860" s="31"/>
      <c r="G860" s="31"/>
      <c r="H860" s="31"/>
      <c r="L860" s="31"/>
    </row>
    <row r="861">
      <c r="F861" s="31"/>
      <c r="G861" s="31"/>
      <c r="H861" s="31"/>
      <c r="L861" s="31"/>
    </row>
    <row r="862">
      <c r="F862" s="31"/>
      <c r="G862" s="31"/>
      <c r="H862" s="31"/>
      <c r="L862" s="31"/>
    </row>
    <row r="863">
      <c r="F863" s="31"/>
      <c r="G863" s="31"/>
      <c r="H863" s="31"/>
      <c r="L863" s="31"/>
    </row>
    <row r="864">
      <c r="F864" s="31"/>
      <c r="G864" s="31"/>
      <c r="H864" s="31"/>
      <c r="L864" s="31"/>
    </row>
    <row r="865">
      <c r="F865" s="31"/>
      <c r="G865" s="31"/>
      <c r="H865" s="31"/>
      <c r="L865" s="31"/>
    </row>
    <row r="866">
      <c r="F866" s="31"/>
      <c r="G866" s="31"/>
      <c r="H866" s="31"/>
      <c r="L866" s="31"/>
    </row>
    <row r="867">
      <c r="F867" s="31"/>
      <c r="G867" s="31"/>
      <c r="H867" s="31"/>
      <c r="L867" s="31"/>
    </row>
    <row r="868">
      <c r="F868" s="31"/>
      <c r="G868" s="31"/>
      <c r="H868" s="31"/>
      <c r="L868" s="31"/>
    </row>
    <row r="869">
      <c r="F869" s="31"/>
      <c r="G869" s="31"/>
      <c r="H869" s="31"/>
      <c r="L869" s="31"/>
    </row>
    <row r="870">
      <c r="F870" s="31"/>
      <c r="G870" s="31"/>
      <c r="H870" s="31"/>
      <c r="L870" s="31"/>
    </row>
    <row r="871">
      <c r="F871" s="31"/>
      <c r="G871" s="31"/>
      <c r="H871" s="31"/>
      <c r="L871" s="31"/>
    </row>
    <row r="872">
      <c r="F872" s="31"/>
      <c r="G872" s="31"/>
      <c r="H872" s="31"/>
      <c r="L872" s="31"/>
    </row>
    <row r="873">
      <c r="F873" s="31"/>
      <c r="G873" s="31"/>
      <c r="H873" s="31"/>
      <c r="L873" s="31"/>
    </row>
    <row r="874">
      <c r="F874" s="31"/>
      <c r="G874" s="31"/>
      <c r="H874" s="31"/>
      <c r="L874" s="31"/>
    </row>
    <row r="875">
      <c r="F875" s="31"/>
      <c r="G875" s="31"/>
      <c r="H875" s="31"/>
      <c r="L875" s="31"/>
    </row>
    <row r="876">
      <c r="F876" s="31"/>
      <c r="G876" s="31"/>
      <c r="H876" s="31"/>
      <c r="L876" s="31"/>
    </row>
    <row r="877">
      <c r="F877" s="31"/>
      <c r="G877" s="31"/>
      <c r="H877" s="31"/>
      <c r="L877" s="31"/>
    </row>
    <row r="878">
      <c r="F878" s="31"/>
      <c r="G878" s="31"/>
      <c r="H878" s="31"/>
      <c r="L878" s="31"/>
    </row>
    <row r="879">
      <c r="F879" s="31"/>
      <c r="G879" s="31"/>
      <c r="H879" s="31"/>
      <c r="L879" s="31"/>
    </row>
    <row r="880">
      <c r="F880" s="31"/>
      <c r="G880" s="31"/>
      <c r="H880" s="31"/>
      <c r="L880" s="31"/>
    </row>
    <row r="881">
      <c r="F881" s="31"/>
      <c r="G881" s="31"/>
      <c r="H881" s="31"/>
      <c r="L881" s="31"/>
    </row>
    <row r="882">
      <c r="F882" s="31"/>
      <c r="G882" s="31"/>
      <c r="H882" s="31"/>
      <c r="L882" s="31"/>
    </row>
    <row r="883">
      <c r="F883" s="31"/>
      <c r="G883" s="31"/>
      <c r="H883" s="31"/>
      <c r="L883" s="31"/>
    </row>
    <row r="884">
      <c r="F884" s="31"/>
      <c r="G884" s="31"/>
      <c r="H884" s="31"/>
      <c r="L884" s="31"/>
    </row>
    <row r="885">
      <c r="F885" s="31"/>
      <c r="G885" s="31"/>
      <c r="H885" s="31"/>
      <c r="L885" s="31"/>
    </row>
    <row r="886">
      <c r="F886" s="31"/>
      <c r="G886" s="31"/>
      <c r="H886" s="31"/>
      <c r="L886" s="31"/>
    </row>
    <row r="887">
      <c r="F887" s="31"/>
      <c r="G887" s="31"/>
      <c r="H887" s="31"/>
      <c r="L887" s="31"/>
    </row>
    <row r="888">
      <c r="F888" s="31"/>
      <c r="G888" s="31"/>
      <c r="H888" s="31"/>
      <c r="L888" s="31"/>
    </row>
    <row r="889">
      <c r="F889" s="31"/>
      <c r="G889" s="31"/>
      <c r="H889" s="31"/>
      <c r="L889" s="31"/>
    </row>
    <row r="890">
      <c r="F890" s="31"/>
      <c r="G890" s="31"/>
      <c r="H890" s="31"/>
      <c r="L890" s="31"/>
    </row>
    <row r="891">
      <c r="F891" s="31"/>
      <c r="G891" s="31"/>
      <c r="H891" s="31"/>
      <c r="L891" s="31"/>
    </row>
    <row r="892">
      <c r="F892" s="31"/>
      <c r="G892" s="31"/>
      <c r="H892" s="31"/>
      <c r="L892" s="31"/>
    </row>
    <row r="893">
      <c r="F893" s="31"/>
      <c r="G893" s="31"/>
      <c r="H893" s="31"/>
      <c r="L893" s="31"/>
    </row>
    <row r="894">
      <c r="F894" s="31"/>
      <c r="G894" s="31"/>
      <c r="H894" s="31"/>
      <c r="L894" s="31"/>
    </row>
    <row r="895">
      <c r="F895" s="31"/>
      <c r="G895" s="31"/>
      <c r="H895" s="31"/>
      <c r="L895" s="31"/>
    </row>
    <row r="896">
      <c r="F896" s="31"/>
      <c r="G896" s="31"/>
      <c r="H896" s="31"/>
      <c r="L896" s="31"/>
    </row>
    <row r="897">
      <c r="F897" s="31"/>
      <c r="G897" s="31"/>
      <c r="H897" s="31"/>
      <c r="L897" s="31"/>
    </row>
    <row r="898">
      <c r="F898" s="31"/>
      <c r="G898" s="31"/>
      <c r="H898" s="31"/>
      <c r="L898" s="31"/>
    </row>
    <row r="899">
      <c r="F899" s="31"/>
      <c r="G899" s="31"/>
      <c r="H899" s="31"/>
      <c r="L899" s="31"/>
    </row>
    <row r="900">
      <c r="F900" s="31"/>
      <c r="G900" s="31"/>
      <c r="H900" s="31"/>
      <c r="L900" s="31"/>
    </row>
    <row r="901">
      <c r="F901" s="31"/>
      <c r="G901" s="31"/>
      <c r="H901" s="31"/>
      <c r="L901" s="31"/>
    </row>
    <row r="902">
      <c r="F902" s="31"/>
      <c r="G902" s="31"/>
      <c r="H902" s="31"/>
      <c r="L902" s="31"/>
    </row>
    <row r="903">
      <c r="F903" s="31"/>
      <c r="G903" s="31"/>
      <c r="H903" s="31"/>
      <c r="L903" s="31"/>
    </row>
    <row r="904">
      <c r="F904" s="31"/>
      <c r="G904" s="31"/>
      <c r="H904" s="31"/>
      <c r="L904" s="31"/>
    </row>
    <row r="905">
      <c r="F905" s="31"/>
      <c r="G905" s="31"/>
      <c r="H905" s="31"/>
      <c r="L905" s="31"/>
    </row>
    <row r="906">
      <c r="F906" s="31"/>
      <c r="G906" s="31"/>
      <c r="H906" s="31"/>
      <c r="L906" s="31"/>
    </row>
    <row r="907">
      <c r="F907" s="31"/>
      <c r="G907" s="31"/>
      <c r="H907" s="31"/>
      <c r="L907" s="31"/>
    </row>
    <row r="908">
      <c r="F908" s="31"/>
      <c r="G908" s="31"/>
      <c r="H908" s="31"/>
      <c r="L908" s="31"/>
    </row>
    <row r="909">
      <c r="F909" s="31"/>
      <c r="G909" s="31"/>
      <c r="H909" s="31"/>
      <c r="L909" s="31"/>
    </row>
    <row r="910">
      <c r="F910" s="31"/>
      <c r="G910" s="31"/>
      <c r="H910" s="31"/>
      <c r="L910" s="31"/>
    </row>
    <row r="911">
      <c r="F911" s="31"/>
      <c r="G911" s="31"/>
      <c r="H911" s="31"/>
      <c r="L911" s="31"/>
    </row>
    <row r="912">
      <c r="F912" s="31"/>
      <c r="G912" s="31"/>
      <c r="H912" s="31"/>
      <c r="L912" s="31"/>
    </row>
    <row r="913">
      <c r="F913" s="31"/>
      <c r="G913" s="31"/>
      <c r="H913" s="31"/>
      <c r="L913" s="31"/>
    </row>
    <row r="914">
      <c r="F914" s="31"/>
      <c r="G914" s="31"/>
      <c r="H914" s="31"/>
      <c r="L914" s="31"/>
    </row>
    <row r="915">
      <c r="F915" s="31"/>
      <c r="G915" s="31"/>
      <c r="H915" s="31"/>
      <c r="L915" s="31"/>
    </row>
    <row r="916">
      <c r="F916" s="31"/>
      <c r="G916" s="31"/>
      <c r="H916" s="31"/>
      <c r="L916" s="31"/>
    </row>
    <row r="917">
      <c r="F917" s="31"/>
      <c r="G917" s="31"/>
      <c r="H917" s="31"/>
      <c r="L917" s="31"/>
    </row>
    <row r="918">
      <c r="F918" s="31"/>
      <c r="G918" s="31"/>
      <c r="H918" s="31"/>
      <c r="L918" s="31"/>
    </row>
    <row r="919">
      <c r="F919" s="31"/>
      <c r="G919" s="31"/>
      <c r="H919" s="31"/>
      <c r="L919" s="31"/>
    </row>
    <row r="920">
      <c r="F920" s="31"/>
      <c r="G920" s="31"/>
      <c r="H920" s="31"/>
      <c r="L920" s="31"/>
    </row>
    <row r="921">
      <c r="F921" s="31"/>
      <c r="G921" s="31"/>
      <c r="H921" s="31"/>
      <c r="L921" s="31"/>
    </row>
    <row r="922">
      <c r="F922" s="31"/>
      <c r="G922" s="31"/>
      <c r="H922" s="31"/>
      <c r="L922" s="31"/>
    </row>
    <row r="923">
      <c r="F923" s="31"/>
      <c r="G923" s="31"/>
      <c r="H923" s="31"/>
      <c r="L923" s="31"/>
    </row>
    <row r="924">
      <c r="F924" s="31"/>
      <c r="G924" s="31"/>
      <c r="H924" s="31"/>
      <c r="L924" s="31"/>
    </row>
    <row r="925">
      <c r="F925" s="31"/>
      <c r="G925" s="31"/>
      <c r="H925" s="31"/>
      <c r="L925" s="31"/>
    </row>
    <row r="926">
      <c r="F926" s="31"/>
      <c r="G926" s="31"/>
      <c r="H926" s="31"/>
      <c r="L926" s="31"/>
    </row>
    <row r="927">
      <c r="F927" s="31"/>
      <c r="G927" s="31"/>
      <c r="H927" s="31"/>
      <c r="L927" s="31"/>
    </row>
    <row r="928">
      <c r="F928" s="31"/>
      <c r="G928" s="31"/>
      <c r="H928" s="31"/>
      <c r="L928" s="31"/>
    </row>
    <row r="929">
      <c r="F929" s="31"/>
      <c r="G929" s="31"/>
      <c r="H929" s="31"/>
      <c r="L929" s="31"/>
    </row>
    <row r="930">
      <c r="F930" s="31"/>
      <c r="G930" s="31"/>
      <c r="H930" s="31"/>
      <c r="L930" s="31"/>
    </row>
    <row r="931">
      <c r="F931" s="31"/>
      <c r="G931" s="31"/>
      <c r="H931" s="31"/>
      <c r="L931" s="31"/>
    </row>
    <row r="932">
      <c r="F932" s="31"/>
      <c r="G932" s="31"/>
      <c r="H932" s="31"/>
      <c r="L932" s="31"/>
    </row>
    <row r="933">
      <c r="F933" s="31"/>
      <c r="G933" s="31"/>
      <c r="H933" s="31"/>
      <c r="L933" s="31"/>
    </row>
    <row r="934">
      <c r="F934" s="31"/>
      <c r="G934" s="31"/>
      <c r="H934" s="31"/>
      <c r="L934" s="31"/>
    </row>
    <row r="935">
      <c r="F935" s="31"/>
      <c r="G935" s="31"/>
      <c r="H935" s="31"/>
      <c r="L935" s="31"/>
    </row>
    <row r="936">
      <c r="F936" s="31"/>
      <c r="G936" s="31"/>
      <c r="H936" s="31"/>
      <c r="L936" s="31"/>
    </row>
    <row r="937">
      <c r="F937" s="31"/>
      <c r="G937" s="31"/>
      <c r="H937" s="31"/>
      <c r="L937" s="31"/>
    </row>
    <row r="938">
      <c r="F938" s="31"/>
      <c r="G938" s="31"/>
      <c r="H938" s="31"/>
      <c r="L938" s="31"/>
    </row>
    <row r="939">
      <c r="F939" s="31"/>
      <c r="G939" s="31"/>
      <c r="H939" s="31"/>
      <c r="L939" s="31"/>
    </row>
    <row r="940">
      <c r="F940" s="31"/>
      <c r="G940" s="31"/>
      <c r="H940" s="31"/>
      <c r="L940" s="31"/>
    </row>
    <row r="941">
      <c r="F941" s="31"/>
      <c r="G941" s="31"/>
      <c r="H941" s="31"/>
      <c r="L941" s="31"/>
    </row>
    <row r="942">
      <c r="F942" s="31"/>
      <c r="G942" s="31"/>
      <c r="H942" s="31"/>
      <c r="L942" s="31"/>
    </row>
    <row r="943">
      <c r="F943" s="31"/>
      <c r="G943" s="31"/>
      <c r="H943" s="31"/>
      <c r="L943" s="31"/>
    </row>
    <row r="944">
      <c r="F944" s="31"/>
      <c r="G944" s="31"/>
      <c r="H944" s="31"/>
      <c r="L944" s="31"/>
    </row>
    <row r="945">
      <c r="F945" s="31"/>
      <c r="G945" s="31"/>
      <c r="H945" s="31"/>
      <c r="L945" s="31"/>
    </row>
    <row r="946">
      <c r="F946" s="31"/>
      <c r="G946" s="31"/>
      <c r="H946" s="31"/>
      <c r="L946" s="31"/>
    </row>
    <row r="947">
      <c r="F947" s="31"/>
      <c r="G947" s="31"/>
      <c r="H947" s="31"/>
      <c r="L947" s="31"/>
    </row>
    <row r="948">
      <c r="F948" s="31"/>
      <c r="G948" s="31"/>
      <c r="H948" s="31"/>
      <c r="L948" s="31"/>
    </row>
    <row r="949">
      <c r="F949" s="31"/>
      <c r="G949" s="31"/>
      <c r="H949" s="31"/>
      <c r="L949" s="31"/>
    </row>
    <row r="950">
      <c r="F950" s="31"/>
      <c r="G950" s="31"/>
      <c r="H950" s="31"/>
      <c r="L950" s="31"/>
    </row>
    <row r="951">
      <c r="F951" s="31"/>
      <c r="G951" s="31"/>
      <c r="H951" s="31"/>
      <c r="L951" s="31"/>
    </row>
    <row r="952">
      <c r="F952" s="31"/>
      <c r="G952" s="31"/>
      <c r="H952" s="31"/>
      <c r="L952" s="31"/>
    </row>
    <row r="953">
      <c r="F953" s="31"/>
      <c r="G953" s="31"/>
      <c r="H953" s="31"/>
      <c r="L953" s="31"/>
    </row>
    <row r="954">
      <c r="F954" s="31"/>
      <c r="G954" s="31"/>
      <c r="H954" s="31"/>
      <c r="L954" s="31"/>
    </row>
    <row r="955">
      <c r="F955" s="31"/>
      <c r="G955" s="31"/>
      <c r="H955" s="31"/>
      <c r="L955" s="31"/>
    </row>
    <row r="956">
      <c r="F956" s="31"/>
      <c r="G956" s="31"/>
      <c r="H956" s="31"/>
      <c r="L956" s="31"/>
    </row>
    <row r="957">
      <c r="F957" s="31"/>
      <c r="G957" s="31"/>
      <c r="H957" s="31"/>
      <c r="L957" s="31"/>
    </row>
    <row r="958">
      <c r="F958" s="31"/>
      <c r="G958" s="31"/>
      <c r="H958" s="31"/>
      <c r="L958" s="31"/>
    </row>
    <row r="959">
      <c r="F959" s="31"/>
      <c r="G959" s="31"/>
      <c r="H959" s="31"/>
      <c r="L959" s="31"/>
    </row>
    <row r="960">
      <c r="F960" s="31"/>
      <c r="G960" s="31"/>
      <c r="H960" s="31"/>
      <c r="L960" s="31"/>
    </row>
    <row r="961">
      <c r="F961" s="31"/>
      <c r="G961" s="31"/>
      <c r="H961" s="31"/>
      <c r="L961" s="31"/>
    </row>
    <row r="962">
      <c r="F962" s="31"/>
      <c r="G962" s="31"/>
      <c r="H962" s="31"/>
      <c r="L962" s="31"/>
    </row>
    <row r="963">
      <c r="F963" s="31"/>
      <c r="G963" s="31"/>
      <c r="H963" s="31"/>
      <c r="L963" s="31"/>
    </row>
    <row r="964">
      <c r="F964" s="31"/>
      <c r="G964" s="31"/>
      <c r="H964" s="31"/>
      <c r="L964" s="31"/>
    </row>
    <row r="965">
      <c r="F965" s="31"/>
      <c r="G965" s="31"/>
      <c r="H965" s="31"/>
      <c r="L965" s="31"/>
    </row>
    <row r="966">
      <c r="F966" s="31"/>
      <c r="G966" s="31"/>
      <c r="H966" s="31"/>
      <c r="L966" s="31"/>
    </row>
    <row r="967">
      <c r="F967" s="31"/>
      <c r="G967" s="31"/>
      <c r="H967" s="31"/>
      <c r="L967" s="31"/>
    </row>
    <row r="968">
      <c r="F968" s="31"/>
      <c r="G968" s="31"/>
      <c r="H968" s="31"/>
      <c r="L968" s="31"/>
    </row>
    <row r="969">
      <c r="F969" s="31"/>
      <c r="G969" s="31"/>
      <c r="H969" s="31"/>
      <c r="L969" s="31"/>
    </row>
    <row r="970">
      <c r="F970" s="31"/>
      <c r="G970" s="31"/>
      <c r="H970" s="31"/>
      <c r="L970" s="31"/>
    </row>
    <row r="971">
      <c r="F971" s="31"/>
      <c r="G971" s="31"/>
      <c r="H971" s="31"/>
      <c r="L971" s="31"/>
    </row>
    <row r="972">
      <c r="F972" s="31"/>
      <c r="G972" s="31"/>
      <c r="H972" s="31"/>
      <c r="L972" s="31"/>
    </row>
    <row r="973">
      <c r="F973" s="31"/>
      <c r="G973" s="31"/>
      <c r="H973" s="31"/>
      <c r="L973" s="31"/>
    </row>
    <row r="974">
      <c r="F974" s="31"/>
      <c r="G974" s="31"/>
      <c r="H974" s="31"/>
      <c r="L974" s="31"/>
    </row>
    <row r="975">
      <c r="F975" s="31"/>
      <c r="G975" s="31"/>
      <c r="H975" s="31"/>
      <c r="L975" s="31"/>
    </row>
    <row r="976">
      <c r="F976" s="31"/>
      <c r="G976" s="31"/>
      <c r="H976" s="31"/>
      <c r="L976" s="31"/>
    </row>
    <row r="977">
      <c r="F977" s="31"/>
      <c r="G977" s="31"/>
      <c r="H977" s="31"/>
      <c r="L977" s="31"/>
    </row>
    <row r="978">
      <c r="F978" s="31"/>
      <c r="G978" s="31"/>
      <c r="H978" s="31"/>
      <c r="L978" s="31"/>
    </row>
    <row r="979">
      <c r="F979" s="31"/>
      <c r="G979" s="31"/>
      <c r="H979" s="31"/>
      <c r="L979" s="31"/>
    </row>
    <row r="980">
      <c r="F980" s="31"/>
      <c r="G980" s="31"/>
      <c r="H980" s="31"/>
      <c r="L980" s="31"/>
    </row>
    <row r="981">
      <c r="F981" s="31"/>
      <c r="G981" s="31"/>
      <c r="H981" s="31"/>
      <c r="L981" s="31"/>
    </row>
    <row r="982">
      <c r="F982" s="31"/>
      <c r="G982" s="31"/>
      <c r="H982" s="31"/>
      <c r="L982" s="31"/>
    </row>
    <row r="983">
      <c r="F983" s="31"/>
      <c r="G983" s="31"/>
      <c r="H983" s="31"/>
      <c r="L983" s="31"/>
    </row>
    <row r="984">
      <c r="F984" s="31"/>
      <c r="G984" s="31"/>
      <c r="H984" s="31"/>
      <c r="L984" s="31"/>
    </row>
    <row r="985">
      <c r="F985" s="31"/>
      <c r="G985" s="31"/>
      <c r="H985" s="31"/>
      <c r="L985" s="31"/>
    </row>
    <row r="986">
      <c r="F986" s="31"/>
      <c r="G986" s="31"/>
      <c r="H986" s="31"/>
      <c r="L986" s="31"/>
    </row>
    <row r="987">
      <c r="F987" s="31"/>
      <c r="G987" s="31"/>
      <c r="H987" s="31"/>
      <c r="L987" s="31"/>
    </row>
    <row r="988">
      <c r="F988" s="31"/>
      <c r="G988" s="31"/>
      <c r="H988" s="31"/>
      <c r="L988" s="31"/>
    </row>
    <row r="989">
      <c r="F989" s="31"/>
      <c r="G989" s="31"/>
      <c r="H989" s="31"/>
      <c r="L989" s="31"/>
    </row>
    <row r="990">
      <c r="F990" s="31"/>
      <c r="G990" s="31"/>
      <c r="H990" s="31"/>
      <c r="L990" s="31"/>
    </row>
    <row r="991">
      <c r="F991" s="31"/>
      <c r="G991" s="31"/>
      <c r="H991" s="31"/>
      <c r="L991" s="31"/>
    </row>
    <row r="992">
      <c r="F992" s="31"/>
      <c r="G992" s="31"/>
      <c r="H992" s="31"/>
      <c r="L992" s="31"/>
    </row>
    <row r="993">
      <c r="F993" s="31"/>
      <c r="G993" s="31"/>
      <c r="H993" s="31"/>
      <c r="L993" s="31"/>
    </row>
    <row r="994">
      <c r="F994" s="31"/>
      <c r="G994" s="31"/>
      <c r="H994" s="31"/>
      <c r="L994" s="31"/>
    </row>
    <row r="995">
      <c r="F995" s="31"/>
      <c r="G995" s="31"/>
      <c r="H995" s="31"/>
      <c r="L995" s="31"/>
    </row>
    <row r="996">
      <c r="F996" s="31"/>
      <c r="G996" s="31"/>
      <c r="H996" s="31"/>
      <c r="L996" s="31"/>
    </row>
    <row r="997">
      <c r="F997" s="31"/>
      <c r="G997" s="31"/>
      <c r="H997" s="31"/>
      <c r="L997" s="31"/>
    </row>
    <row r="998">
      <c r="F998" s="31"/>
      <c r="G998" s="31"/>
      <c r="H998" s="31"/>
      <c r="L998" s="31"/>
    </row>
    <row r="999">
      <c r="F999" s="31"/>
      <c r="G999" s="31"/>
      <c r="H999" s="31"/>
      <c r="L999" s="31"/>
    </row>
    <row r="1000">
      <c r="F1000" s="31"/>
      <c r="G1000" s="31"/>
      <c r="H1000" s="31"/>
      <c r="L1000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7" t="s">
        <v>3235</v>
      </c>
      <c r="D1" s="7" t="s">
        <v>3236</v>
      </c>
    </row>
    <row r="2">
      <c r="B2" s="32" t="s">
        <v>3237</v>
      </c>
      <c r="C2" s="33">
        <v>28303.0</v>
      </c>
      <c r="D2" s="16" t="s">
        <v>132</v>
      </c>
    </row>
    <row r="3">
      <c r="B3" s="32" t="s">
        <v>3238</v>
      </c>
      <c r="C3" s="33">
        <v>33417.0</v>
      </c>
      <c r="D3" s="16" t="s">
        <v>138</v>
      </c>
    </row>
    <row r="4">
      <c r="B4" s="32" t="s">
        <v>3239</v>
      </c>
      <c r="C4" s="33">
        <v>30349.0</v>
      </c>
      <c r="D4" s="16" t="s">
        <v>138</v>
      </c>
    </row>
    <row r="5">
      <c r="B5" s="32" t="s">
        <v>3240</v>
      </c>
      <c r="C5" s="33">
        <v>36943.0</v>
      </c>
      <c r="D5" s="16" t="s">
        <v>138</v>
      </c>
    </row>
    <row r="6">
      <c r="B6" s="32" t="s">
        <v>3240</v>
      </c>
      <c r="C6" s="33">
        <v>36943.0</v>
      </c>
      <c r="D6" s="16" t="s">
        <v>138</v>
      </c>
    </row>
    <row r="7">
      <c r="B7" s="32" t="s">
        <v>3241</v>
      </c>
      <c r="C7" s="33">
        <v>27904.0</v>
      </c>
      <c r="D7" s="16" t="s">
        <v>132</v>
      </c>
    </row>
    <row r="8">
      <c r="B8" s="32" t="s">
        <v>3242</v>
      </c>
      <c r="C8" s="33">
        <v>29036.0</v>
      </c>
      <c r="D8" s="16" t="s">
        <v>138</v>
      </c>
    </row>
    <row r="9">
      <c r="B9" s="32" t="s">
        <v>3242</v>
      </c>
      <c r="C9" s="33">
        <v>29036.0</v>
      </c>
      <c r="D9" s="16" t="s">
        <v>138</v>
      </c>
    </row>
    <row r="10">
      <c r="B10" s="32" t="s">
        <v>3239</v>
      </c>
      <c r="C10" s="33">
        <v>30349.0</v>
      </c>
      <c r="D10" s="16" t="s">
        <v>138</v>
      </c>
    </row>
    <row r="11">
      <c r="B11" s="32" t="s">
        <v>3239</v>
      </c>
      <c r="C11" s="33">
        <v>30349.0</v>
      </c>
      <c r="D11" s="16" t="s">
        <v>138</v>
      </c>
    </row>
    <row r="12">
      <c r="B12" s="32" t="s">
        <v>3239</v>
      </c>
      <c r="C12" s="33">
        <v>30349.0</v>
      </c>
      <c r="D12" s="16" t="s">
        <v>138</v>
      </c>
    </row>
    <row r="13">
      <c r="B13" s="32" t="s">
        <v>3239</v>
      </c>
      <c r="C13" s="33">
        <v>30349.0</v>
      </c>
      <c r="D13" s="16" t="s">
        <v>138</v>
      </c>
    </row>
    <row r="14">
      <c r="B14" s="32" t="s">
        <v>3239</v>
      </c>
      <c r="C14" s="33">
        <v>30349.0</v>
      </c>
      <c r="D14" s="16" t="s">
        <v>138</v>
      </c>
    </row>
    <row r="15">
      <c r="B15" s="32" t="s">
        <v>3239</v>
      </c>
      <c r="C15" s="33">
        <v>30349.0</v>
      </c>
      <c r="D15" s="16" t="s">
        <v>138</v>
      </c>
    </row>
    <row r="16">
      <c r="B16" s="32" t="s">
        <v>3239</v>
      </c>
      <c r="C16" s="33">
        <v>30349.0</v>
      </c>
      <c r="D16" s="16" t="s">
        <v>138</v>
      </c>
    </row>
    <row r="17">
      <c r="B17" s="32" t="s">
        <v>3243</v>
      </c>
      <c r="C17" s="33">
        <v>31192.0</v>
      </c>
      <c r="D17" s="16" t="s">
        <v>138</v>
      </c>
    </row>
    <row r="18">
      <c r="B18" s="32" t="s">
        <v>3243</v>
      </c>
      <c r="C18" s="33">
        <v>31192.0</v>
      </c>
      <c r="D18" s="16" t="s">
        <v>138</v>
      </c>
    </row>
    <row r="19">
      <c r="B19" s="32" t="s">
        <v>3243</v>
      </c>
      <c r="C19" s="33">
        <v>31192.0</v>
      </c>
      <c r="D19" s="16" t="s">
        <v>138</v>
      </c>
    </row>
    <row r="20">
      <c r="B20" s="32" t="s">
        <v>3243</v>
      </c>
      <c r="C20" s="33">
        <v>31192.0</v>
      </c>
      <c r="D20" s="16" t="s">
        <v>138</v>
      </c>
    </row>
    <row r="21">
      <c r="B21" s="32" t="s">
        <v>3243</v>
      </c>
      <c r="C21" s="33">
        <v>31192.0</v>
      </c>
      <c r="D21" s="16" t="s">
        <v>138</v>
      </c>
    </row>
    <row r="22">
      <c r="B22" s="32" t="s">
        <v>3243</v>
      </c>
      <c r="C22" s="33">
        <v>31192.0</v>
      </c>
      <c r="D22" s="16" t="s">
        <v>138</v>
      </c>
    </row>
    <row r="23">
      <c r="B23" s="32" t="s">
        <v>3243</v>
      </c>
      <c r="C23" s="33">
        <v>31192.0</v>
      </c>
      <c r="D23" s="16" t="s">
        <v>138</v>
      </c>
    </row>
    <row r="24">
      <c r="B24" s="32" t="s">
        <v>3243</v>
      </c>
      <c r="C24" s="33">
        <v>31192.0</v>
      </c>
      <c r="D24" s="16" t="s">
        <v>138</v>
      </c>
    </row>
    <row r="25">
      <c r="B25" s="32" t="s">
        <v>3244</v>
      </c>
      <c r="C25" s="33">
        <v>32322.0</v>
      </c>
      <c r="D25" s="16" t="s">
        <v>138</v>
      </c>
    </row>
    <row r="26">
      <c r="B26" s="32" t="s">
        <v>3244</v>
      </c>
      <c r="C26" s="33">
        <v>32322.0</v>
      </c>
      <c r="D26" s="16" t="s">
        <v>138</v>
      </c>
    </row>
    <row r="27">
      <c r="B27" s="32" t="s">
        <v>3244</v>
      </c>
      <c r="C27" s="33">
        <v>32322.0</v>
      </c>
      <c r="D27" s="16" t="s">
        <v>138</v>
      </c>
    </row>
    <row r="28">
      <c r="B28" s="32" t="s">
        <v>3244</v>
      </c>
      <c r="C28" s="33">
        <v>32322.0</v>
      </c>
      <c r="D28" s="16" t="s">
        <v>138</v>
      </c>
    </row>
    <row r="29">
      <c r="B29" s="32" t="s">
        <v>3244</v>
      </c>
      <c r="C29" s="33">
        <v>32322.0</v>
      </c>
      <c r="D29" s="16" t="s">
        <v>138</v>
      </c>
    </row>
    <row r="30">
      <c r="B30" s="32" t="s">
        <v>3244</v>
      </c>
      <c r="C30" s="33">
        <v>32322.0</v>
      </c>
      <c r="D30" s="16" t="s">
        <v>138</v>
      </c>
    </row>
    <row r="31">
      <c r="B31" s="32" t="s">
        <v>3238</v>
      </c>
      <c r="C31" s="33">
        <v>33417.0</v>
      </c>
      <c r="D31" s="16" t="s">
        <v>138</v>
      </c>
    </row>
    <row r="32">
      <c r="B32" s="32" t="s">
        <v>3238</v>
      </c>
      <c r="C32" s="33">
        <v>33417.0</v>
      </c>
      <c r="D32" s="16" t="s">
        <v>138</v>
      </c>
    </row>
    <row r="33">
      <c r="B33" s="32" t="s">
        <v>3238</v>
      </c>
      <c r="C33" s="33">
        <v>33417.0</v>
      </c>
      <c r="D33" s="16" t="s">
        <v>138</v>
      </c>
    </row>
    <row r="34">
      <c r="B34" s="32" t="s">
        <v>3238</v>
      </c>
      <c r="C34" s="33">
        <v>33417.0</v>
      </c>
      <c r="D34" s="16" t="s">
        <v>138</v>
      </c>
    </row>
    <row r="35">
      <c r="B35" s="32" t="s">
        <v>3238</v>
      </c>
      <c r="C35" s="33">
        <v>33417.0</v>
      </c>
      <c r="D35" s="16" t="s">
        <v>138</v>
      </c>
    </row>
    <row r="36">
      <c r="B36" s="32" t="s">
        <v>3238</v>
      </c>
      <c r="C36" s="33">
        <v>33417.0</v>
      </c>
      <c r="D36" s="16" t="s">
        <v>138</v>
      </c>
    </row>
    <row r="37">
      <c r="B37" s="32" t="s">
        <v>3245</v>
      </c>
      <c r="C37" s="33">
        <v>34664.0</v>
      </c>
      <c r="D37" s="16" t="s">
        <v>138</v>
      </c>
    </row>
    <row r="38">
      <c r="B38" s="32" t="s">
        <v>3245</v>
      </c>
      <c r="C38" s="33">
        <v>34664.0</v>
      </c>
      <c r="D38" s="16" t="s">
        <v>138</v>
      </c>
    </row>
    <row r="39">
      <c r="B39" s="32" t="s">
        <v>3245</v>
      </c>
      <c r="C39" s="33">
        <v>34664.0</v>
      </c>
      <c r="D39" s="16" t="s">
        <v>138</v>
      </c>
    </row>
    <row r="40">
      <c r="B40" s="32" t="s">
        <v>3245</v>
      </c>
      <c r="C40" s="33">
        <v>34664.0</v>
      </c>
      <c r="D40" s="16" t="s">
        <v>138</v>
      </c>
    </row>
    <row r="41">
      <c r="B41" s="32" t="s">
        <v>3245</v>
      </c>
      <c r="C41" s="33">
        <v>34664.0</v>
      </c>
      <c r="D41" s="16" t="s">
        <v>138</v>
      </c>
    </row>
    <row r="42">
      <c r="B42" s="32" t="s">
        <v>3245</v>
      </c>
      <c r="C42" s="33">
        <v>34664.0</v>
      </c>
      <c r="D42" s="16" t="s">
        <v>138</v>
      </c>
    </row>
    <row r="43">
      <c r="B43" s="32" t="s">
        <v>3245</v>
      </c>
      <c r="C43" s="33">
        <v>34664.0</v>
      </c>
      <c r="D43" s="16" t="s">
        <v>138</v>
      </c>
    </row>
    <row r="44">
      <c r="B44" s="32" t="s">
        <v>3245</v>
      </c>
      <c r="C44" s="33">
        <v>34664.0</v>
      </c>
      <c r="D44" s="16" t="s">
        <v>138</v>
      </c>
    </row>
    <row r="45">
      <c r="B45" s="32" t="s">
        <v>3245</v>
      </c>
      <c r="C45" s="33">
        <v>34664.0</v>
      </c>
      <c r="D45" s="16" t="s">
        <v>138</v>
      </c>
    </row>
    <row r="46">
      <c r="B46" s="32" t="s">
        <v>3245</v>
      </c>
      <c r="C46" s="33">
        <v>34664.0</v>
      </c>
      <c r="D46" s="16" t="s">
        <v>138</v>
      </c>
    </row>
    <row r="47">
      <c r="B47" s="32" t="s">
        <v>3245</v>
      </c>
      <c r="C47" s="33">
        <v>34664.0</v>
      </c>
      <c r="D47" s="16" t="s">
        <v>138</v>
      </c>
    </row>
    <row r="48">
      <c r="B48" s="32" t="s">
        <v>3245</v>
      </c>
      <c r="C48" s="33">
        <v>34664.0</v>
      </c>
      <c r="D48" s="16" t="s">
        <v>138</v>
      </c>
    </row>
    <row r="49">
      <c r="B49" s="32" t="s">
        <v>3246</v>
      </c>
      <c r="C49" s="33">
        <v>35847.0</v>
      </c>
      <c r="D49" s="16" t="s">
        <v>138</v>
      </c>
    </row>
    <row r="50">
      <c r="B50" s="32" t="s">
        <v>3246</v>
      </c>
      <c r="C50" s="33">
        <v>35847.0</v>
      </c>
      <c r="D50" s="16" t="s">
        <v>138</v>
      </c>
    </row>
    <row r="51">
      <c r="B51" s="32" t="s">
        <v>3246</v>
      </c>
      <c r="C51" s="33">
        <v>35847.0</v>
      </c>
      <c r="D51" s="16" t="s">
        <v>138</v>
      </c>
    </row>
    <row r="52">
      <c r="B52" s="32" t="s">
        <v>3246</v>
      </c>
      <c r="C52" s="33">
        <v>35847.0</v>
      </c>
      <c r="D52" s="16" t="s">
        <v>138</v>
      </c>
    </row>
    <row r="53">
      <c r="B53" s="32" t="s">
        <v>3246</v>
      </c>
      <c r="C53" s="33">
        <v>35847.0</v>
      </c>
      <c r="D53" s="16" t="s">
        <v>138</v>
      </c>
    </row>
    <row r="54">
      <c r="B54" s="32" t="s">
        <v>3246</v>
      </c>
      <c r="C54" s="33">
        <v>35847.0</v>
      </c>
      <c r="D54" s="16" t="s">
        <v>138</v>
      </c>
    </row>
    <row r="55">
      <c r="B55" s="32" t="s">
        <v>3246</v>
      </c>
      <c r="C55" s="33">
        <v>35847.0</v>
      </c>
      <c r="D55" s="16" t="s">
        <v>138</v>
      </c>
    </row>
    <row r="56">
      <c r="B56" s="32" t="s">
        <v>3246</v>
      </c>
      <c r="C56" s="33">
        <v>35847.0</v>
      </c>
      <c r="D56" s="16" t="s">
        <v>138</v>
      </c>
    </row>
    <row r="57">
      <c r="B57" s="32" t="s">
        <v>3246</v>
      </c>
      <c r="C57" s="33">
        <v>35847.0</v>
      </c>
      <c r="D57" s="16" t="s">
        <v>138</v>
      </c>
    </row>
    <row r="58">
      <c r="B58" s="32" t="s">
        <v>3246</v>
      </c>
      <c r="C58" s="33">
        <v>35847.0</v>
      </c>
      <c r="D58" s="16" t="s">
        <v>138</v>
      </c>
    </row>
    <row r="59">
      <c r="B59" s="32" t="s">
        <v>3240</v>
      </c>
      <c r="C59" s="33">
        <v>36943.0</v>
      </c>
      <c r="D59" s="16" t="s">
        <v>138</v>
      </c>
    </row>
    <row r="60">
      <c r="B60" s="32" t="s">
        <v>3240</v>
      </c>
      <c r="C60" s="33">
        <v>36943.0</v>
      </c>
      <c r="D60" s="16" t="s">
        <v>138</v>
      </c>
    </row>
    <row r="61">
      <c r="B61" s="32" t="s">
        <v>3240</v>
      </c>
      <c r="C61" s="33">
        <v>36943.0</v>
      </c>
      <c r="D61" s="16" t="s">
        <v>138</v>
      </c>
    </row>
    <row r="62">
      <c r="B62" s="32" t="s">
        <v>3240</v>
      </c>
      <c r="C62" s="33">
        <v>36943.0</v>
      </c>
      <c r="D62" s="16" t="s">
        <v>138</v>
      </c>
    </row>
    <row r="63">
      <c r="B63" s="32" t="s">
        <v>3240</v>
      </c>
      <c r="C63" s="33">
        <v>36943.0</v>
      </c>
      <c r="D63" s="16" t="s">
        <v>138</v>
      </c>
    </row>
    <row r="64">
      <c r="B64" s="32" t="s">
        <v>3240</v>
      </c>
      <c r="C64" s="33">
        <v>36943.0</v>
      </c>
      <c r="D64" s="16" t="s">
        <v>138</v>
      </c>
    </row>
    <row r="65">
      <c r="B65" s="32" t="s">
        <v>3240</v>
      </c>
      <c r="C65" s="33">
        <v>36943.0</v>
      </c>
      <c r="D65" s="16" t="s">
        <v>138</v>
      </c>
    </row>
    <row r="66">
      <c r="B66" s="32" t="s">
        <v>3240</v>
      </c>
      <c r="C66" s="33">
        <v>36943.0</v>
      </c>
      <c r="D66" s="16" t="s">
        <v>138</v>
      </c>
    </row>
    <row r="67">
      <c r="B67" s="32" t="s">
        <v>3240</v>
      </c>
      <c r="C67" s="33">
        <v>36943.0</v>
      </c>
      <c r="D67" s="16" t="s">
        <v>138</v>
      </c>
    </row>
    <row r="68">
      <c r="B68" s="32" t="s">
        <v>3240</v>
      </c>
      <c r="C68" s="33">
        <v>36943.0</v>
      </c>
      <c r="D68" s="16" t="s">
        <v>138</v>
      </c>
    </row>
    <row r="69">
      <c r="B69" s="32" t="s">
        <v>3240</v>
      </c>
      <c r="C69" s="33">
        <v>36943.0</v>
      </c>
      <c r="D69" s="16" t="s">
        <v>138</v>
      </c>
    </row>
    <row r="70">
      <c r="B70" s="32" t="s">
        <v>3240</v>
      </c>
      <c r="C70" s="33">
        <v>36943.0</v>
      </c>
      <c r="D70" s="16" t="s">
        <v>138</v>
      </c>
    </row>
    <row r="71">
      <c r="B71" s="32" t="s">
        <v>3240</v>
      </c>
      <c r="C71" s="33">
        <v>36943.0</v>
      </c>
      <c r="D71" s="16" t="s">
        <v>138</v>
      </c>
    </row>
    <row r="72">
      <c r="B72" s="32" t="s">
        <v>3240</v>
      </c>
      <c r="C72" s="33">
        <v>36943.0</v>
      </c>
      <c r="D72" s="16" t="s">
        <v>138</v>
      </c>
    </row>
    <row r="73">
      <c r="B73" s="32" t="s">
        <v>3240</v>
      </c>
      <c r="C73" s="33">
        <v>36943.0</v>
      </c>
      <c r="D73" s="16" t="s">
        <v>138</v>
      </c>
    </row>
    <row r="74">
      <c r="B74" s="32" t="s">
        <v>3240</v>
      </c>
      <c r="C74" s="33">
        <v>36943.0</v>
      </c>
      <c r="D74" s="16" t="s">
        <v>138</v>
      </c>
    </row>
    <row r="75">
      <c r="B75" s="32" t="s">
        <v>3240</v>
      </c>
      <c r="C75" s="33">
        <v>36943.0</v>
      </c>
      <c r="D75" s="16" t="s">
        <v>138</v>
      </c>
    </row>
    <row r="76">
      <c r="B76" s="32" t="s">
        <v>3240</v>
      </c>
      <c r="C76" s="33">
        <v>36943.0</v>
      </c>
      <c r="D76" s="16" t="s">
        <v>138</v>
      </c>
    </row>
    <row r="77">
      <c r="B77" s="32" t="s">
        <v>3240</v>
      </c>
      <c r="C77" s="33">
        <v>36943.0</v>
      </c>
      <c r="D77" s="16" t="s">
        <v>138</v>
      </c>
    </row>
    <row r="78">
      <c r="B78" s="32" t="s">
        <v>3240</v>
      </c>
      <c r="C78" s="33">
        <v>36943.0</v>
      </c>
      <c r="D78" s="16" t="s">
        <v>138</v>
      </c>
    </row>
    <row r="79">
      <c r="B79" s="32" t="s">
        <v>3240</v>
      </c>
      <c r="C79" s="33">
        <v>36943.0</v>
      </c>
      <c r="D79" s="16" t="s">
        <v>138</v>
      </c>
    </row>
    <row r="80">
      <c r="B80" s="32" t="s">
        <v>3247</v>
      </c>
      <c r="C80" s="33">
        <v>37915.0</v>
      </c>
      <c r="D80" s="16" t="s">
        <v>138</v>
      </c>
    </row>
    <row r="81">
      <c r="B81" s="32" t="s">
        <v>3247</v>
      </c>
      <c r="C81" s="33">
        <v>37915.0</v>
      </c>
      <c r="D81" s="16" t="s">
        <v>138</v>
      </c>
    </row>
    <row r="82">
      <c r="B82" s="32" t="s">
        <v>3247</v>
      </c>
      <c r="C82" s="33">
        <v>37915.0</v>
      </c>
      <c r="D82" s="16" t="s">
        <v>138</v>
      </c>
    </row>
    <row r="83">
      <c r="B83" s="32" t="s">
        <v>3247</v>
      </c>
      <c r="C83" s="33">
        <v>37915.0</v>
      </c>
      <c r="D83" s="16" t="s">
        <v>138</v>
      </c>
    </row>
    <row r="84">
      <c r="B84" s="32" t="s">
        <v>3247</v>
      </c>
      <c r="C84" s="33">
        <v>37915.0</v>
      </c>
      <c r="D84" s="16" t="s">
        <v>138</v>
      </c>
    </row>
    <row r="85">
      <c r="B85" s="32" t="s">
        <v>3247</v>
      </c>
      <c r="C85" s="33">
        <v>37915.0</v>
      </c>
      <c r="D85" s="16" t="s">
        <v>138</v>
      </c>
    </row>
    <row r="86">
      <c r="B86" s="32" t="s">
        <v>3247</v>
      </c>
      <c r="C86" s="33">
        <v>37915.0</v>
      </c>
      <c r="D86" s="16" t="s">
        <v>138</v>
      </c>
    </row>
    <row r="87">
      <c r="B87" s="32" t="s">
        <v>3247</v>
      </c>
      <c r="C87" s="33">
        <v>37915.0</v>
      </c>
      <c r="D87" s="16" t="s">
        <v>138</v>
      </c>
    </row>
    <row r="88">
      <c r="B88" s="32" t="s">
        <v>3247</v>
      </c>
      <c r="C88" s="33">
        <v>37915.0</v>
      </c>
      <c r="D88" s="16" t="s">
        <v>138</v>
      </c>
    </row>
    <row r="89">
      <c r="B89" s="32" t="s">
        <v>3247</v>
      </c>
      <c r="C89" s="33">
        <v>37915.0</v>
      </c>
      <c r="D89" s="16" t="s">
        <v>138</v>
      </c>
    </row>
    <row r="90">
      <c r="B90" s="32" t="s">
        <v>3247</v>
      </c>
      <c r="C90" s="33">
        <v>37915.0</v>
      </c>
      <c r="D90" s="16" t="s">
        <v>138</v>
      </c>
    </row>
    <row r="91">
      <c r="B91" s="32" t="s">
        <v>3247</v>
      </c>
      <c r="C91" s="33">
        <v>37915.0</v>
      </c>
      <c r="D91" s="16" t="s">
        <v>138</v>
      </c>
    </row>
    <row r="92">
      <c r="B92" s="32" t="s">
        <v>3247</v>
      </c>
      <c r="C92" s="33">
        <v>37915.0</v>
      </c>
      <c r="D92" s="16" t="s">
        <v>138</v>
      </c>
    </row>
    <row r="93">
      <c r="B93" s="32" t="s">
        <v>3247</v>
      </c>
      <c r="C93" s="33">
        <v>37915.0</v>
      </c>
      <c r="D93" s="16" t="s">
        <v>138</v>
      </c>
    </row>
    <row r="94">
      <c r="B94" s="32" t="s">
        <v>3247</v>
      </c>
      <c r="C94" s="33">
        <v>37915.0</v>
      </c>
      <c r="D94" s="16" t="s">
        <v>138</v>
      </c>
    </row>
    <row r="95">
      <c r="B95" s="32" t="s">
        <v>3247</v>
      </c>
      <c r="C95" s="33">
        <v>37915.0</v>
      </c>
      <c r="D95" s="16" t="s">
        <v>138</v>
      </c>
    </row>
    <row r="96">
      <c r="B96" s="32" t="s">
        <v>3247</v>
      </c>
      <c r="C96" s="33">
        <v>37915.0</v>
      </c>
      <c r="D96" s="16" t="s">
        <v>138</v>
      </c>
    </row>
    <row r="97">
      <c r="B97" s="32" t="s">
        <v>3247</v>
      </c>
      <c r="C97" s="33">
        <v>37915.0</v>
      </c>
      <c r="D97" s="16" t="s">
        <v>138</v>
      </c>
    </row>
    <row r="98">
      <c r="B98" s="32" t="s">
        <v>3247</v>
      </c>
      <c r="C98" s="33">
        <v>37915.0</v>
      </c>
      <c r="D98" s="16" t="s">
        <v>138</v>
      </c>
    </row>
    <row r="99">
      <c r="B99" s="32" t="s">
        <v>3247</v>
      </c>
      <c r="C99" s="33">
        <v>37915.0</v>
      </c>
      <c r="D99" s="16" t="s">
        <v>138</v>
      </c>
    </row>
    <row r="100">
      <c r="B100" s="32" t="s">
        <v>3246</v>
      </c>
      <c r="C100" s="33">
        <v>35847.0</v>
      </c>
      <c r="D100" s="16" t="s">
        <v>138</v>
      </c>
    </row>
    <row r="101">
      <c r="B101" s="32" t="s">
        <v>3246</v>
      </c>
      <c r="C101" s="33">
        <v>35847.0</v>
      </c>
      <c r="D101" s="16" t="s">
        <v>138</v>
      </c>
    </row>
    <row r="102">
      <c r="B102" s="32" t="s">
        <v>3246</v>
      </c>
      <c r="C102" s="33">
        <v>35847.0</v>
      </c>
      <c r="D102" s="16" t="s">
        <v>138</v>
      </c>
    </row>
    <row r="103">
      <c r="B103" s="32" t="s">
        <v>3240</v>
      </c>
      <c r="C103" s="33">
        <v>36943.0</v>
      </c>
      <c r="D103" s="16" t="s">
        <v>138</v>
      </c>
    </row>
    <row r="104">
      <c r="B104" s="32" t="s">
        <v>3240</v>
      </c>
      <c r="C104" s="33">
        <v>36943.0</v>
      </c>
      <c r="D104" s="16" t="s">
        <v>138</v>
      </c>
    </row>
    <row r="105">
      <c r="B105" s="32" t="s">
        <v>3240</v>
      </c>
      <c r="C105" s="33">
        <v>36943.0</v>
      </c>
      <c r="D105" s="16" t="s">
        <v>138</v>
      </c>
    </row>
    <row r="106">
      <c r="B106" s="32" t="s">
        <v>3240</v>
      </c>
      <c r="C106" s="33">
        <v>36943.0</v>
      </c>
      <c r="D106" s="16" t="s">
        <v>138</v>
      </c>
    </row>
    <row r="107">
      <c r="B107" s="32" t="s">
        <v>3240</v>
      </c>
      <c r="C107" s="33">
        <v>36943.0</v>
      </c>
      <c r="D107" s="16" t="s">
        <v>138</v>
      </c>
    </row>
    <row r="108">
      <c r="B108" s="32" t="s">
        <v>3240</v>
      </c>
      <c r="C108" s="33">
        <v>36943.0</v>
      </c>
      <c r="D108" s="16" t="s">
        <v>138</v>
      </c>
    </row>
    <row r="109">
      <c r="B109" s="32" t="s">
        <v>3240</v>
      </c>
      <c r="C109" s="33">
        <v>36943.0</v>
      </c>
      <c r="D109" s="16" t="s">
        <v>138</v>
      </c>
    </row>
    <row r="110">
      <c r="B110" s="32" t="s">
        <v>3247</v>
      </c>
      <c r="C110" s="33">
        <v>37915.0</v>
      </c>
      <c r="D110" s="16" t="s">
        <v>138</v>
      </c>
    </row>
    <row r="111">
      <c r="B111" s="32" t="s">
        <v>3247</v>
      </c>
      <c r="C111" s="33">
        <v>37915.0</v>
      </c>
      <c r="D111" s="16" t="s">
        <v>138</v>
      </c>
    </row>
    <row r="112">
      <c r="B112" s="32" t="s">
        <v>3247</v>
      </c>
      <c r="C112" s="33">
        <v>37915.0</v>
      </c>
      <c r="D112" s="16" t="s">
        <v>138</v>
      </c>
    </row>
    <row r="113">
      <c r="B113" s="32" t="s">
        <v>3247</v>
      </c>
      <c r="C113" s="33">
        <v>37915.0</v>
      </c>
      <c r="D113" s="16" t="s">
        <v>138</v>
      </c>
    </row>
    <row r="114">
      <c r="B114" s="32" t="s">
        <v>3247</v>
      </c>
      <c r="C114" s="33">
        <v>37915.0</v>
      </c>
      <c r="D114" s="16" t="s">
        <v>138</v>
      </c>
    </row>
    <row r="115">
      <c r="B115" s="32" t="s">
        <v>3247</v>
      </c>
      <c r="C115" s="33">
        <v>37915.0</v>
      </c>
      <c r="D115" s="16" t="s">
        <v>138</v>
      </c>
    </row>
    <row r="116">
      <c r="B116" s="32" t="s">
        <v>3247</v>
      </c>
      <c r="C116" s="33">
        <v>37915.0</v>
      </c>
      <c r="D116" s="16" t="s">
        <v>138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</hyperlinks>
  <drawing r:id="rId1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</cols>
  <sheetData>
    <row r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16" t="s">
        <v>0</v>
      </c>
      <c r="C4" s="16" t="s">
        <v>3248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16" t="s">
        <v>1</v>
      </c>
      <c r="C5" s="16" t="s">
        <v>3249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35" t="s">
        <v>2</v>
      </c>
      <c r="C6" s="16" t="s">
        <v>3250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16" t="s">
        <v>3</v>
      </c>
      <c r="C7" s="16" t="s">
        <v>3251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16" t="s">
        <v>4</v>
      </c>
      <c r="C8" s="16" t="s">
        <v>3252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16" t="s">
        <v>5</v>
      </c>
      <c r="C9" s="16" t="s">
        <v>3253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28" t="s">
        <v>6</v>
      </c>
      <c r="C10" s="16" t="s">
        <v>3254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6" t="s">
        <v>7</v>
      </c>
      <c r="C11" s="16" t="s">
        <v>3255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6" t="s">
        <v>8</v>
      </c>
      <c r="C12" s="16" t="s">
        <v>3256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16" t="s">
        <v>9</v>
      </c>
      <c r="C13" s="16" t="s">
        <v>3257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7" t="s">
        <v>10</v>
      </c>
      <c r="C14" s="16" t="s">
        <v>3258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7" t="s">
        <v>11</v>
      </c>
      <c r="C15" s="16" t="s">
        <v>3259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16" t="s">
        <v>12</v>
      </c>
      <c r="C16" s="16" t="s">
        <v>3260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16" t="s">
        <v>13</v>
      </c>
      <c r="C17" s="16" t="s">
        <v>3261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16" t="s">
        <v>3262</v>
      </c>
      <c r="C18" s="16" t="s">
        <v>3263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16" t="s">
        <v>17</v>
      </c>
      <c r="C19" s="16" t="s">
        <v>3264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7" t="s">
        <v>16</v>
      </c>
      <c r="C20" s="16" t="s">
        <v>3265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6.63"/>
    <col customWidth="1" min="3" max="3" width="22.75"/>
    <col customWidth="1" min="4" max="4" width="5.5"/>
    <col customWidth="1" min="7" max="7" width="6.0"/>
    <col customWidth="1" min="8" max="8" width="10.88"/>
    <col customWidth="1" min="14" max="14" width="4.5"/>
    <col customWidth="1" min="18" max="18" width="16.88"/>
  </cols>
  <sheetData>
    <row r="1">
      <c r="A1" s="1" t="s">
        <v>3266</v>
      </c>
      <c r="B1" s="1" t="s">
        <v>2</v>
      </c>
      <c r="C1" s="1" t="s">
        <v>3</v>
      </c>
      <c r="D1" s="1" t="s">
        <v>3267</v>
      </c>
      <c r="E1" s="1" t="s">
        <v>3268</v>
      </c>
      <c r="F1" s="1" t="s">
        <v>6</v>
      </c>
      <c r="G1" s="1" t="s">
        <v>1214</v>
      </c>
      <c r="H1" s="1" t="s">
        <v>9</v>
      </c>
      <c r="I1" s="7" t="s">
        <v>3269</v>
      </c>
      <c r="J1" s="7" t="s">
        <v>3236</v>
      </c>
      <c r="K1" s="1" t="s">
        <v>12</v>
      </c>
      <c r="L1" s="1" t="s">
        <v>3270</v>
      </c>
      <c r="M1" s="1" t="s">
        <v>3271</v>
      </c>
      <c r="N1" s="1" t="s">
        <v>3272</v>
      </c>
      <c r="O1" s="7" t="s">
        <v>3273</v>
      </c>
      <c r="R1" s="1" t="s">
        <v>3274</v>
      </c>
    </row>
    <row r="2">
      <c r="A2" s="3">
        <v>41333.0</v>
      </c>
      <c r="B2" s="5">
        <v>1.0</v>
      </c>
      <c r="C2" s="8" t="s">
        <v>3275</v>
      </c>
      <c r="D2" s="1">
        <f>IFERROR(__xludf.DUMMYFUNCTION("IF(C2="""", 0, COUNTA(SPLIT(C2, "" "")))"),3.0)</f>
        <v>3</v>
      </c>
      <c r="E2" s="8" t="s">
        <v>3276</v>
      </c>
      <c r="F2" s="12">
        <v>12449.0</v>
      </c>
      <c r="G2" s="37">
        <f t="shared" ref="G2:G343" si="1">(A2-F2) / 365.25</f>
        <v>79.08008214</v>
      </c>
      <c r="H2" s="27" t="s">
        <v>3277</v>
      </c>
      <c r="I2" s="33">
        <v>36943.0</v>
      </c>
      <c r="J2" s="16" t="s">
        <v>138</v>
      </c>
      <c r="K2" s="8" t="s">
        <v>3278</v>
      </c>
      <c r="L2" s="1">
        <v>0.0</v>
      </c>
      <c r="M2" s="1">
        <v>0.0</v>
      </c>
      <c r="N2" s="1" t="s">
        <v>140</v>
      </c>
      <c r="O2" s="16" t="s">
        <v>27</v>
      </c>
      <c r="R2" s="1">
        <v>0.0</v>
      </c>
    </row>
    <row r="3">
      <c r="A3" s="3">
        <v>41333.0</v>
      </c>
      <c r="B3" s="5">
        <v>2.0</v>
      </c>
      <c r="C3" s="17" t="s">
        <v>3279</v>
      </c>
      <c r="D3" s="1">
        <f>IFERROR(__xludf.DUMMYFUNCTION("IF(C3="""", 0, COUNTA(SPLIT(C3, "" "")))"),2.0)</f>
        <v>2</v>
      </c>
      <c r="E3" s="8" t="s">
        <v>3280</v>
      </c>
      <c r="F3" s="12">
        <v>12755.0</v>
      </c>
      <c r="G3" s="37">
        <f t="shared" si="1"/>
        <v>78.24229979</v>
      </c>
      <c r="H3" s="27" t="s">
        <v>3281</v>
      </c>
      <c r="I3" s="33">
        <v>37915.0</v>
      </c>
      <c r="J3" s="16" t="s">
        <v>138</v>
      </c>
      <c r="K3" s="8" t="s">
        <v>3282</v>
      </c>
      <c r="L3" s="1">
        <v>0.0</v>
      </c>
      <c r="M3" s="1">
        <v>0.0</v>
      </c>
      <c r="N3" s="1" t="s">
        <v>140</v>
      </c>
      <c r="O3" s="16" t="s">
        <v>27</v>
      </c>
      <c r="R3" s="1">
        <v>0.0</v>
      </c>
    </row>
    <row r="4">
      <c r="A4" s="3">
        <v>41333.0</v>
      </c>
      <c r="B4" s="5">
        <v>3.0</v>
      </c>
      <c r="C4" s="8" t="s">
        <v>3283</v>
      </c>
      <c r="D4" s="1">
        <f>IFERROR(__xludf.DUMMYFUNCTION("IF(C4="""", 0, COUNTA(SPLIT(C4, "" "")))"),2.0)</f>
        <v>2</v>
      </c>
      <c r="E4" s="8" t="s">
        <v>3284</v>
      </c>
      <c r="F4" s="12">
        <v>12861.0</v>
      </c>
      <c r="G4" s="37">
        <f t="shared" si="1"/>
        <v>77.95208761</v>
      </c>
      <c r="H4" s="27" t="s">
        <v>3285</v>
      </c>
      <c r="I4" s="33">
        <v>40502.0</v>
      </c>
      <c r="J4" s="16" t="s">
        <v>146</v>
      </c>
      <c r="K4" s="8" t="s">
        <v>3286</v>
      </c>
      <c r="L4" s="1">
        <v>0.0</v>
      </c>
      <c r="M4" s="1">
        <v>0.0</v>
      </c>
      <c r="N4" s="1" t="s">
        <v>140</v>
      </c>
      <c r="O4" s="16" t="s">
        <v>148</v>
      </c>
      <c r="R4" s="1">
        <v>0.0</v>
      </c>
    </row>
    <row r="5">
      <c r="A5" s="3">
        <v>41333.0</v>
      </c>
      <c r="B5" s="5">
        <v>4.0</v>
      </c>
      <c r="C5" s="17" t="s">
        <v>3287</v>
      </c>
      <c r="D5" s="1">
        <f>IFERROR(__xludf.DUMMYFUNCTION("IF(C5="""", 0, COUNTA(SPLIT(C5, "" "")))"),3.0)</f>
        <v>3</v>
      </c>
      <c r="E5" s="8" t="s">
        <v>3288</v>
      </c>
      <c r="F5" s="12">
        <v>14666.0</v>
      </c>
      <c r="G5" s="37">
        <f t="shared" si="1"/>
        <v>73.01026694</v>
      </c>
      <c r="H5" s="27" t="s">
        <v>3289</v>
      </c>
      <c r="I5" s="33">
        <v>41237.0</v>
      </c>
      <c r="J5" s="16" t="s">
        <v>146</v>
      </c>
      <c r="K5" s="8" t="s">
        <v>3290</v>
      </c>
      <c r="L5" s="1">
        <v>0.0</v>
      </c>
      <c r="M5" s="1">
        <v>0.0</v>
      </c>
      <c r="N5" s="1" t="s">
        <v>140</v>
      </c>
      <c r="O5" s="16" t="s">
        <v>148</v>
      </c>
      <c r="R5" s="1">
        <v>0.0</v>
      </c>
    </row>
    <row r="6">
      <c r="A6" s="3">
        <v>41333.0</v>
      </c>
      <c r="B6" s="5">
        <v>5.0</v>
      </c>
      <c r="C6" s="8" t="s">
        <v>3291</v>
      </c>
      <c r="D6" s="1">
        <f>IFERROR(__xludf.DUMMYFUNCTION("IF(C6="""", 0, COUNTA(SPLIT(C6, "" "")))"),2.0)</f>
        <v>2</v>
      </c>
      <c r="E6" s="8" t="s">
        <v>3292</v>
      </c>
      <c r="F6" s="12">
        <v>12209.0</v>
      </c>
      <c r="G6" s="37">
        <f t="shared" si="1"/>
        <v>79.73716632</v>
      </c>
      <c r="H6" s="27" t="s">
        <v>3293</v>
      </c>
      <c r="I6" s="33">
        <v>30349.0</v>
      </c>
      <c r="J6" s="16" t="s">
        <v>138</v>
      </c>
      <c r="K6" s="8" t="s">
        <v>3294</v>
      </c>
      <c r="L6" s="1">
        <v>0.0</v>
      </c>
      <c r="M6" s="1">
        <v>0.0</v>
      </c>
      <c r="N6" s="1" t="s">
        <v>140</v>
      </c>
      <c r="O6" s="16" t="s">
        <v>155</v>
      </c>
      <c r="R6" s="1">
        <v>0.0</v>
      </c>
    </row>
    <row r="7">
      <c r="A7" s="3">
        <v>41333.0</v>
      </c>
      <c r="B7" s="5">
        <v>6.0</v>
      </c>
      <c r="C7" s="8" t="s">
        <v>3295</v>
      </c>
      <c r="D7" s="1">
        <f>IFERROR(__xludf.DUMMYFUNCTION("IF(C7="""", 0, COUNTA(SPLIT(C7, "" "")))"),2.0)</f>
        <v>2</v>
      </c>
      <c r="E7" s="8" t="s">
        <v>3296</v>
      </c>
      <c r="F7" s="12">
        <v>12413.0</v>
      </c>
      <c r="G7" s="37">
        <f t="shared" si="1"/>
        <v>79.17864476</v>
      </c>
      <c r="H7" s="27" t="s">
        <v>3297</v>
      </c>
      <c r="I7" s="33">
        <v>30349.0</v>
      </c>
      <c r="J7" s="16" t="s">
        <v>138</v>
      </c>
      <c r="K7" s="8" t="s">
        <v>3298</v>
      </c>
      <c r="L7" s="1">
        <v>0.0</v>
      </c>
      <c r="M7" s="1">
        <v>0.0</v>
      </c>
      <c r="N7" s="1" t="s">
        <v>140</v>
      </c>
      <c r="O7" s="16" t="s">
        <v>159</v>
      </c>
      <c r="R7" s="1">
        <v>0.0</v>
      </c>
    </row>
    <row r="8">
      <c r="A8" s="3">
        <v>41333.0</v>
      </c>
      <c r="B8" s="5">
        <v>7.0</v>
      </c>
      <c r="C8" s="8" t="s">
        <v>3299</v>
      </c>
      <c r="D8" s="1">
        <f>IFERROR(__xludf.DUMMYFUNCTION("IF(C8="""", 0, COUNTA(SPLIT(C8, "" "")))"),5.0)</f>
        <v>5</v>
      </c>
      <c r="E8" s="8" t="s">
        <v>3300</v>
      </c>
      <c r="F8" s="12">
        <v>13454.0</v>
      </c>
      <c r="G8" s="37">
        <f t="shared" si="1"/>
        <v>76.32854209</v>
      </c>
      <c r="H8" s="27" t="s">
        <v>3301</v>
      </c>
      <c r="I8" s="33">
        <v>33417.0</v>
      </c>
      <c r="J8" s="16" t="s">
        <v>138</v>
      </c>
      <c r="K8" s="8" t="s">
        <v>3302</v>
      </c>
      <c r="L8" s="1">
        <v>0.0</v>
      </c>
      <c r="M8" s="1">
        <v>0.0</v>
      </c>
      <c r="N8" s="1" t="s">
        <v>140</v>
      </c>
      <c r="O8" s="16" t="s">
        <v>163</v>
      </c>
      <c r="R8" s="1">
        <v>0.0</v>
      </c>
    </row>
    <row r="9">
      <c r="A9" s="3">
        <v>41333.0</v>
      </c>
      <c r="B9" s="5">
        <v>8.0</v>
      </c>
      <c r="C9" s="8" t="s">
        <v>3303</v>
      </c>
      <c r="D9" s="1">
        <f>IFERROR(__xludf.DUMMYFUNCTION("IF(C9="""", 0, COUNTA(SPLIT(C9, "" "")))"),3.0)</f>
        <v>3</v>
      </c>
      <c r="E9" s="8" t="s">
        <v>3304</v>
      </c>
      <c r="F9" s="12">
        <v>13207.0</v>
      </c>
      <c r="G9" s="37">
        <f t="shared" si="1"/>
        <v>77.00479124</v>
      </c>
      <c r="H9" s="27" t="s">
        <v>3305</v>
      </c>
      <c r="I9" s="33">
        <v>33417.0</v>
      </c>
      <c r="J9" s="16" t="s">
        <v>138</v>
      </c>
      <c r="K9" s="8" t="s">
        <v>3306</v>
      </c>
      <c r="L9" s="1">
        <v>0.0</v>
      </c>
      <c r="M9" s="1">
        <v>0.0</v>
      </c>
      <c r="N9" s="1" t="s">
        <v>140</v>
      </c>
      <c r="O9" s="16" t="s">
        <v>167</v>
      </c>
      <c r="R9" s="1">
        <v>0.0</v>
      </c>
    </row>
    <row r="10">
      <c r="A10" s="3">
        <v>41333.0</v>
      </c>
      <c r="B10" s="5">
        <v>9.0</v>
      </c>
      <c r="C10" s="8" t="s">
        <v>3307</v>
      </c>
      <c r="D10" s="1">
        <f>IFERROR(__xludf.DUMMYFUNCTION("IF(C10="""", 0, COUNTA(SPLIT(C10, "" "")))"),5.0)</f>
        <v>5</v>
      </c>
      <c r="E10" s="8" t="s">
        <v>3308</v>
      </c>
      <c r="F10" s="12">
        <v>13441.0</v>
      </c>
      <c r="G10" s="37">
        <f t="shared" si="1"/>
        <v>76.36413415</v>
      </c>
      <c r="H10" s="27" t="s">
        <v>3309</v>
      </c>
      <c r="I10" s="33">
        <v>34664.0</v>
      </c>
      <c r="J10" s="16" t="s">
        <v>138</v>
      </c>
      <c r="K10" s="8" t="s">
        <v>3310</v>
      </c>
      <c r="L10" s="1">
        <v>0.0</v>
      </c>
      <c r="M10" s="1">
        <v>0.0</v>
      </c>
      <c r="N10" s="1" t="s">
        <v>140</v>
      </c>
      <c r="O10" s="16" t="s">
        <v>163</v>
      </c>
      <c r="R10" s="1">
        <v>0.0</v>
      </c>
    </row>
    <row r="11">
      <c r="A11" s="3">
        <v>41333.0</v>
      </c>
      <c r="B11" s="5">
        <v>10.0</v>
      </c>
      <c r="C11" s="8" t="s">
        <v>3311</v>
      </c>
      <c r="D11" s="1">
        <f>IFERROR(__xludf.DUMMYFUNCTION("IF(C11="""", 0, COUNTA(SPLIT(C11, "" "")))"),2.0)</f>
        <v>2</v>
      </c>
      <c r="E11" s="8" t="s">
        <v>3312</v>
      </c>
      <c r="F11" s="12">
        <v>13327.0</v>
      </c>
      <c r="G11" s="37">
        <f t="shared" si="1"/>
        <v>76.67624914</v>
      </c>
      <c r="H11" s="27" t="s">
        <v>3313</v>
      </c>
      <c r="I11" s="33">
        <v>34664.0</v>
      </c>
      <c r="J11" s="16" t="s">
        <v>138</v>
      </c>
      <c r="K11" s="8" t="s">
        <v>3314</v>
      </c>
      <c r="L11" s="1">
        <v>0.0</v>
      </c>
      <c r="M11" s="1">
        <v>0.0</v>
      </c>
      <c r="N11" s="1" t="s">
        <v>140</v>
      </c>
      <c r="O11" s="16" t="s">
        <v>174</v>
      </c>
      <c r="R11" s="1">
        <v>0.0</v>
      </c>
    </row>
    <row r="12">
      <c r="A12" s="3">
        <v>41333.0</v>
      </c>
      <c r="B12" s="5">
        <v>11.0</v>
      </c>
      <c r="C12" s="8" t="s">
        <v>3315</v>
      </c>
      <c r="D12" s="1">
        <f>IFERROR(__xludf.DUMMYFUNCTION("IF(C12="""", 0, COUNTA(SPLIT(C12, "" "")))"),2.0)</f>
        <v>2</v>
      </c>
      <c r="E12" s="8" t="s">
        <v>3316</v>
      </c>
      <c r="F12" s="12">
        <v>16688.0</v>
      </c>
      <c r="G12" s="37">
        <f t="shared" si="1"/>
        <v>67.47433265</v>
      </c>
      <c r="H12" s="27" t="s">
        <v>3317</v>
      </c>
      <c r="I12" s="33">
        <v>34664.0</v>
      </c>
      <c r="J12" s="16" t="s">
        <v>138</v>
      </c>
      <c r="K12" s="8" t="s">
        <v>3318</v>
      </c>
      <c r="L12" s="1">
        <v>0.0</v>
      </c>
      <c r="M12" s="1">
        <v>0.0</v>
      </c>
      <c r="N12" s="1" t="s">
        <v>140</v>
      </c>
      <c r="O12" s="16" t="s">
        <v>178</v>
      </c>
      <c r="R12" s="1">
        <v>0.0</v>
      </c>
    </row>
    <row r="13">
      <c r="A13" s="3">
        <v>41333.0</v>
      </c>
      <c r="B13" s="5">
        <v>12.0</v>
      </c>
      <c r="C13" s="8" t="s">
        <v>3319</v>
      </c>
      <c r="D13" s="1">
        <f>IFERROR(__xludf.DUMMYFUNCTION("IF(C13="""", 0, COUNTA(SPLIT(C13, "" "")))"),3.0)</f>
        <v>3</v>
      </c>
      <c r="E13" s="8" t="s">
        <v>3320</v>
      </c>
      <c r="F13" s="12">
        <v>12141.0</v>
      </c>
      <c r="G13" s="37">
        <f t="shared" si="1"/>
        <v>79.92334018</v>
      </c>
      <c r="H13" s="27" t="s">
        <v>3321</v>
      </c>
      <c r="I13" s="33">
        <v>34664.0</v>
      </c>
      <c r="J13" s="16" t="s">
        <v>138</v>
      </c>
      <c r="K13" s="8" t="s">
        <v>3322</v>
      </c>
      <c r="L13" s="1">
        <v>0.0</v>
      </c>
      <c r="M13" s="1">
        <v>0.0</v>
      </c>
      <c r="N13" s="1" t="s">
        <v>140</v>
      </c>
      <c r="O13" s="16" t="s">
        <v>163</v>
      </c>
      <c r="R13" s="1">
        <v>0.0</v>
      </c>
    </row>
    <row r="14">
      <c r="A14" s="3">
        <v>41333.0</v>
      </c>
      <c r="B14" s="5">
        <v>13.0</v>
      </c>
      <c r="C14" s="8" t="s">
        <v>3323</v>
      </c>
      <c r="D14" s="1">
        <f>IFERROR(__xludf.DUMMYFUNCTION("IF(C14="""", 0, COUNTA(SPLIT(C14, "" "")))"),4.0)</f>
        <v>4</v>
      </c>
      <c r="E14" s="8" t="s">
        <v>3324</v>
      </c>
      <c r="F14" s="12">
        <v>13382.0</v>
      </c>
      <c r="G14" s="37">
        <f t="shared" si="1"/>
        <v>76.52566735</v>
      </c>
      <c r="H14" s="27" t="s">
        <v>3325</v>
      </c>
      <c r="I14" s="33">
        <v>35847.0</v>
      </c>
      <c r="J14" s="16" t="s">
        <v>138</v>
      </c>
      <c r="K14" s="8" t="s">
        <v>3326</v>
      </c>
      <c r="L14" s="1">
        <v>0.0</v>
      </c>
      <c r="M14" s="1">
        <v>0.0</v>
      </c>
      <c r="N14" s="1" t="s">
        <v>140</v>
      </c>
      <c r="O14" s="16" t="s">
        <v>163</v>
      </c>
      <c r="R14" s="1">
        <v>0.0</v>
      </c>
    </row>
    <row r="15">
      <c r="A15" s="3">
        <v>41333.0</v>
      </c>
      <c r="B15" s="5">
        <v>14.0</v>
      </c>
      <c r="C15" s="8" t="s">
        <v>3327</v>
      </c>
      <c r="D15" s="1">
        <f>IFERROR(__xludf.DUMMYFUNCTION("IF(C15="""", 0, COUNTA(SPLIT(C15, "" "")))"),2.0)</f>
        <v>2</v>
      </c>
      <c r="E15" s="8" t="s">
        <v>3328</v>
      </c>
      <c r="F15" s="12">
        <v>12492.0</v>
      </c>
      <c r="G15" s="37">
        <f t="shared" si="1"/>
        <v>78.96235455</v>
      </c>
      <c r="H15" s="27" t="s">
        <v>3329</v>
      </c>
      <c r="I15" s="33">
        <v>35847.0</v>
      </c>
      <c r="J15" s="16" t="s">
        <v>138</v>
      </c>
      <c r="K15" s="8" t="s">
        <v>3330</v>
      </c>
      <c r="L15" s="1">
        <v>2.0</v>
      </c>
      <c r="M15" s="1">
        <v>0.0</v>
      </c>
      <c r="N15" s="1" t="s">
        <v>140</v>
      </c>
      <c r="O15" s="16" t="s">
        <v>27</v>
      </c>
      <c r="R15" s="1">
        <v>0.0</v>
      </c>
    </row>
    <row r="16">
      <c r="A16" s="3">
        <v>41333.0</v>
      </c>
      <c r="B16" s="5">
        <v>15.0</v>
      </c>
      <c r="C16" s="8" t="s">
        <v>3331</v>
      </c>
      <c r="D16" s="1">
        <f>IFERROR(__xludf.DUMMYFUNCTION("IF(C16="""", 0, COUNTA(SPLIT(C16, "" "")))"),2.0)</f>
        <v>2</v>
      </c>
      <c r="E16" s="8" t="s">
        <v>3332</v>
      </c>
      <c r="F16" s="12">
        <v>16289.0</v>
      </c>
      <c r="G16" s="37">
        <f t="shared" si="1"/>
        <v>68.56673511</v>
      </c>
      <c r="H16" s="27" t="s">
        <v>3333</v>
      </c>
      <c r="I16" s="33">
        <v>35847.0</v>
      </c>
      <c r="J16" s="16" t="s">
        <v>138</v>
      </c>
      <c r="K16" s="8" t="s">
        <v>3334</v>
      </c>
      <c r="L16" s="1">
        <v>0.0</v>
      </c>
      <c r="M16" s="1">
        <v>0.0</v>
      </c>
      <c r="N16" s="1" t="s">
        <v>140</v>
      </c>
      <c r="O16" s="16" t="s">
        <v>191</v>
      </c>
      <c r="R16" s="1">
        <v>0.0</v>
      </c>
    </row>
    <row r="17">
      <c r="A17" s="3">
        <v>41333.0</v>
      </c>
      <c r="B17" s="5">
        <v>16.0</v>
      </c>
      <c r="C17" s="17" t="s">
        <v>3335</v>
      </c>
      <c r="D17" s="1">
        <f>IFERROR(__xludf.DUMMYFUNCTION("IF(C17="""", 0, COUNTA(SPLIT(C17, "" "")))"),2.0)</f>
        <v>2</v>
      </c>
      <c r="E17" s="8" t="s">
        <v>3336</v>
      </c>
      <c r="F17" s="12">
        <v>16459.0</v>
      </c>
      <c r="G17" s="37">
        <f t="shared" si="1"/>
        <v>68.10130048</v>
      </c>
      <c r="H17" s="27" t="s">
        <v>3337</v>
      </c>
      <c r="I17" s="33">
        <v>35847.0</v>
      </c>
      <c r="J17" s="16" t="s">
        <v>138</v>
      </c>
      <c r="K17" s="8" t="s">
        <v>3338</v>
      </c>
      <c r="L17" s="1">
        <v>0.0</v>
      </c>
      <c r="M17" s="1">
        <v>3.0</v>
      </c>
      <c r="N17" s="1" t="s">
        <v>140</v>
      </c>
      <c r="O17" s="16" t="s">
        <v>159</v>
      </c>
      <c r="R17" s="1">
        <v>0.0</v>
      </c>
    </row>
    <row r="18">
      <c r="A18" s="3">
        <v>41333.0</v>
      </c>
      <c r="B18" s="5">
        <v>17.0</v>
      </c>
      <c r="C18" s="8" t="s">
        <v>3339</v>
      </c>
      <c r="D18" s="1">
        <f>IFERROR(__xludf.DUMMYFUNCTION("IF(C18="""", 0, COUNTA(SPLIT(C18, "" "")))"),3.0)</f>
        <v>3</v>
      </c>
      <c r="E18" s="8" t="s">
        <v>3340</v>
      </c>
      <c r="F18" s="12">
        <v>15498.0</v>
      </c>
      <c r="G18" s="37">
        <f t="shared" si="1"/>
        <v>70.73237509</v>
      </c>
      <c r="H18" s="27" t="s">
        <v>3341</v>
      </c>
      <c r="I18" s="33">
        <v>35847.0</v>
      </c>
      <c r="J18" s="16" t="s">
        <v>138</v>
      </c>
      <c r="K18" s="8" t="s">
        <v>3342</v>
      </c>
      <c r="L18" s="1">
        <v>0.0</v>
      </c>
      <c r="M18" s="1">
        <v>0.0</v>
      </c>
      <c r="N18" s="1" t="s">
        <v>140</v>
      </c>
      <c r="O18" s="16" t="s">
        <v>163</v>
      </c>
      <c r="R18" s="1">
        <v>0.0</v>
      </c>
    </row>
    <row r="19">
      <c r="A19" s="3">
        <v>41333.0</v>
      </c>
      <c r="B19" s="5">
        <v>18.0</v>
      </c>
      <c r="C19" s="17" t="s">
        <v>3343</v>
      </c>
      <c r="D19" s="1">
        <f>IFERROR(__xludf.DUMMYFUNCTION("IF(C19="""", 0, COUNTA(SPLIT(C19, "" "")))"),3.0)</f>
        <v>3</v>
      </c>
      <c r="E19" s="8" t="s">
        <v>3344</v>
      </c>
      <c r="F19" s="12">
        <v>13531.0</v>
      </c>
      <c r="G19" s="37">
        <f t="shared" si="1"/>
        <v>76.11772758</v>
      </c>
      <c r="H19" s="27" t="s">
        <v>3345</v>
      </c>
      <c r="I19" s="33">
        <v>35847.0</v>
      </c>
      <c r="J19" s="16" t="s">
        <v>138</v>
      </c>
      <c r="K19" s="8" t="s">
        <v>3346</v>
      </c>
      <c r="L19" s="1">
        <v>0.0</v>
      </c>
      <c r="M19" s="1">
        <v>0.0</v>
      </c>
      <c r="N19" s="1" t="s">
        <v>140</v>
      </c>
      <c r="O19" s="16" t="s">
        <v>167</v>
      </c>
      <c r="R19" s="1">
        <v>0.0</v>
      </c>
    </row>
    <row r="20">
      <c r="A20" s="3">
        <v>41333.0</v>
      </c>
      <c r="B20" s="5">
        <v>19.0</v>
      </c>
      <c r="C20" s="8" t="s">
        <v>3347</v>
      </c>
      <c r="D20" s="1">
        <f>IFERROR(__xludf.DUMMYFUNCTION("IF(C20="""", 0, COUNTA(SPLIT(C20, "" "")))"),2.0)</f>
        <v>2</v>
      </c>
      <c r="E20" s="8" t="s">
        <v>3348</v>
      </c>
      <c r="F20" s="12">
        <v>14529.0</v>
      </c>
      <c r="G20" s="37">
        <f t="shared" si="1"/>
        <v>73.3853525</v>
      </c>
      <c r="H20" s="27" t="s">
        <v>3349</v>
      </c>
      <c r="I20" s="33">
        <v>36943.0</v>
      </c>
      <c r="J20" s="16" t="s">
        <v>138</v>
      </c>
      <c r="K20" s="8" t="s">
        <v>3350</v>
      </c>
      <c r="L20" s="1">
        <v>0.0</v>
      </c>
      <c r="M20" s="1">
        <v>0.0</v>
      </c>
      <c r="N20" s="1" t="s">
        <v>140</v>
      </c>
      <c r="O20" s="16" t="s">
        <v>204</v>
      </c>
      <c r="R20" s="1">
        <v>0.0</v>
      </c>
    </row>
    <row r="21">
      <c r="A21" s="3">
        <v>41333.0</v>
      </c>
      <c r="B21" s="5">
        <v>20.0</v>
      </c>
      <c r="C21" s="8" t="s">
        <v>3351</v>
      </c>
      <c r="D21" s="1">
        <f>IFERROR(__xludf.DUMMYFUNCTION("IF(C21="""", 0, COUNTA(SPLIT(C21, "" "")))"),2.0)</f>
        <v>2</v>
      </c>
      <c r="E21" s="8" t="s">
        <v>3352</v>
      </c>
      <c r="F21" s="12">
        <v>15859.0</v>
      </c>
      <c r="G21" s="37">
        <f t="shared" si="1"/>
        <v>69.74401095</v>
      </c>
      <c r="H21" s="27" t="s">
        <v>3353</v>
      </c>
      <c r="I21" s="33">
        <v>36943.0</v>
      </c>
      <c r="J21" s="16" t="s">
        <v>138</v>
      </c>
      <c r="K21" s="8" t="s">
        <v>3354</v>
      </c>
      <c r="L21" s="1">
        <v>0.0</v>
      </c>
      <c r="M21" s="1">
        <v>0.0</v>
      </c>
      <c r="N21" s="1" t="s">
        <v>140</v>
      </c>
      <c r="O21" s="16" t="s">
        <v>27</v>
      </c>
      <c r="R21" s="1">
        <v>0.0</v>
      </c>
    </row>
    <row r="22">
      <c r="A22" s="3">
        <v>41333.0</v>
      </c>
      <c r="B22" s="5">
        <v>21.0</v>
      </c>
      <c r="C22" s="17" t="s">
        <v>3355</v>
      </c>
      <c r="D22" s="1">
        <f>IFERROR(__xludf.DUMMYFUNCTION("IF(C22="""", 0, COUNTA(SPLIT(C22, "" "")))"),2.0)</f>
        <v>2</v>
      </c>
      <c r="E22" s="8" t="s">
        <v>3356</v>
      </c>
      <c r="F22" s="12">
        <v>12118.0</v>
      </c>
      <c r="G22" s="37">
        <f t="shared" si="1"/>
        <v>79.98631075</v>
      </c>
      <c r="H22" s="27" t="s">
        <v>3357</v>
      </c>
      <c r="I22" s="33">
        <v>36943.0</v>
      </c>
      <c r="J22" s="16" t="s">
        <v>138</v>
      </c>
      <c r="K22" s="8" t="s">
        <v>3358</v>
      </c>
      <c r="L22" s="1">
        <v>0.0</v>
      </c>
      <c r="M22" s="1">
        <v>0.0</v>
      </c>
      <c r="N22" s="1" t="s">
        <v>140</v>
      </c>
      <c r="O22" s="16" t="s">
        <v>159</v>
      </c>
      <c r="R22" s="1">
        <v>0.0</v>
      </c>
    </row>
    <row r="23">
      <c r="A23" s="3">
        <v>41333.0</v>
      </c>
      <c r="B23" s="5">
        <v>22.0</v>
      </c>
      <c r="C23" s="8" t="s">
        <v>3359</v>
      </c>
      <c r="D23" s="1">
        <f>IFERROR(__xludf.DUMMYFUNCTION("IF(C23="""", 0, COUNTA(SPLIT(C23, "" "")))"),2.0)</f>
        <v>2</v>
      </c>
      <c r="E23" s="8" t="s">
        <v>3360</v>
      </c>
      <c r="F23" s="12">
        <v>13254.0</v>
      </c>
      <c r="G23" s="37">
        <f t="shared" si="1"/>
        <v>76.87611225</v>
      </c>
      <c r="H23" s="27" t="s">
        <v>3361</v>
      </c>
      <c r="I23" s="33">
        <v>36943.0</v>
      </c>
      <c r="J23" s="16" t="s">
        <v>138</v>
      </c>
      <c r="K23" s="8" t="s">
        <v>3362</v>
      </c>
      <c r="L23" s="1">
        <v>0.0</v>
      </c>
      <c r="M23" s="1">
        <v>0.0</v>
      </c>
      <c r="N23" s="1" t="s">
        <v>140</v>
      </c>
      <c r="O23" s="16" t="s">
        <v>214</v>
      </c>
      <c r="R23" s="1">
        <v>0.0</v>
      </c>
    </row>
    <row r="24">
      <c r="A24" s="3">
        <v>41333.0</v>
      </c>
      <c r="B24" s="5">
        <v>23.0</v>
      </c>
      <c r="C24" s="8" t="s">
        <v>3363</v>
      </c>
      <c r="D24" s="1">
        <f>IFERROR(__xludf.DUMMYFUNCTION("IF(C24="""", 0, COUNTA(SPLIT(C24, "" "")))"),3.0)</f>
        <v>3</v>
      </c>
      <c r="E24" s="8" t="s">
        <v>3364</v>
      </c>
      <c r="F24" s="12">
        <v>12346.0</v>
      </c>
      <c r="G24" s="37">
        <f t="shared" si="1"/>
        <v>79.36208077</v>
      </c>
      <c r="H24" s="27" t="s">
        <v>3365</v>
      </c>
      <c r="I24" s="33">
        <v>36943.0</v>
      </c>
      <c r="J24" s="16" t="s">
        <v>138</v>
      </c>
      <c r="K24" s="8" t="s">
        <v>3366</v>
      </c>
      <c r="L24" s="1">
        <v>0.0</v>
      </c>
      <c r="M24" s="1">
        <v>0.0</v>
      </c>
      <c r="N24" s="1" t="s">
        <v>140</v>
      </c>
      <c r="O24" s="16" t="s">
        <v>218</v>
      </c>
      <c r="R24" s="1">
        <v>0.0</v>
      </c>
    </row>
    <row r="25">
      <c r="A25" s="3">
        <v>41333.0</v>
      </c>
      <c r="B25" s="5">
        <v>24.0</v>
      </c>
      <c r="C25" s="8" t="s">
        <v>3367</v>
      </c>
      <c r="D25" s="1">
        <f>IFERROR(__xludf.DUMMYFUNCTION("IF(C25="""", 0, COUNTA(SPLIT(C25, "" "")))"),3.0)</f>
        <v>3</v>
      </c>
      <c r="E25" s="8" t="s">
        <v>3368</v>
      </c>
      <c r="F25" s="12">
        <v>13547.0</v>
      </c>
      <c r="G25" s="37">
        <f t="shared" si="1"/>
        <v>76.07392197</v>
      </c>
      <c r="H25" s="27" t="s">
        <v>3369</v>
      </c>
      <c r="I25" s="33">
        <v>36943.0</v>
      </c>
      <c r="J25" s="16" t="s">
        <v>138</v>
      </c>
      <c r="K25" s="8" t="s">
        <v>3370</v>
      </c>
      <c r="L25" s="1">
        <v>0.0</v>
      </c>
      <c r="M25" s="1">
        <v>0.0</v>
      </c>
      <c r="N25" s="1" t="s">
        <v>140</v>
      </c>
      <c r="O25" s="16" t="s">
        <v>222</v>
      </c>
      <c r="R25" s="1">
        <v>0.0</v>
      </c>
    </row>
    <row r="26">
      <c r="A26" s="3">
        <v>41333.0</v>
      </c>
      <c r="B26" s="5">
        <v>25.0</v>
      </c>
      <c r="C26" s="17" t="s">
        <v>3371</v>
      </c>
      <c r="D26" s="1">
        <f>IFERROR(__xludf.DUMMYFUNCTION("IF(C26="""", 0, COUNTA(SPLIT(C26, "" "")))"),4.0)</f>
        <v>4</v>
      </c>
      <c r="E26" s="8" t="s">
        <v>3372</v>
      </c>
      <c r="F26" s="12">
        <v>12302.0</v>
      </c>
      <c r="G26" s="37">
        <f t="shared" si="1"/>
        <v>79.4825462</v>
      </c>
      <c r="H26" s="27" t="s">
        <v>3373</v>
      </c>
      <c r="I26" s="33">
        <v>36943.0</v>
      </c>
      <c r="J26" s="16" t="s">
        <v>138</v>
      </c>
      <c r="K26" s="8" t="s">
        <v>3374</v>
      </c>
      <c r="L26" s="1">
        <v>0.0</v>
      </c>
      <c r="M26" s="1">
        <v>0.0</v>
      </c>
      <c r="N26" s="1" t="s">
        <v>140</v>
      </c>
      <c r="O26" s="16" t="s">
        <v>163</v>
      </c>
      <c r="R26" s="1">
        <v>0.0</v>
      </c>
    </row>
    <row r="27">
      <c r="A27" s="3">
        <v>41333.0</v>
      </c>
      <c r="B27" s="5">
        <v>26.0</v>
      </c>
      <c r="C27" s="17" t="s">
        <v>3375</v>
      </c>
      <c r="D27" s="1">
        <f>IFERROR(__xludf.DUMMYFUNCTION("IF(C27="""", 0, COUNTA(SPLIT(C27, "" "")))"),3.0)</f>
        <v>3</v>
      </c>
      <c r="E27" s="8" t="s">
        <v>3376</v>
      </c>
      <c r="F27" s="12">
        <v>13216.0</v>
      </c>
      <c r="G27" s="37">
        <f t="shared" si="1"/>
        <v>76.98015058</v>
      </c>
      <c r="H27" s="27" t="s">
        <v>3377</v>
      </c>
      <c r="I27" s="33">
        <v>36943.0</v>
      </c>
      <c r="J27" s="16" t="s">
        <v>138</v>
      </c>
      <c r="K27" s="8" t="s">
        <v>3378</v>
      </c>
      <c r="L27" s="1">
        <v>0.0</v>
      </c>
      <c r="M27" s="1">
        <v>0.0</v>
      </c>
      <c r="N27" s="1" t="s">
        <v>140</v>
      </c>
      <c r="O27" s="16" t="s">
        <v>163</v>
      </c>
      <c r="R27" s="1">
        <v>0.0</v>
      </c>
    </row>
    <row r="28">
      <c r="A28" s="3">
        <v>41333.0</v>
      </c>
      <c r="B28" s="5">
        <v>27.0</v>
      </c>
      <c r="C28" s="17" t="s">
        <v>3379</v>
      </c>
      <c r="D28" s="1">
        <f>IFERROR(__xludf.DUMMYFUNCTION("IF(C28="""", 0, COUNTA(SPLIT(C28, "" "")))"),3.0)</f>
        <v>3</v>
      </c>
      <c r="E28" s="8" t="s">
        <v>3380</v>
      </c>
      <c r="F28" s="12">
        <v>15043.0</v>
      </c>
      <c r="G28" s="37">
        <f t="shared" si="1"/>
        <v>71.97809719</v>
      </c>
      <c r="H28" s="27" t="s">
        <v>3381</v>
      </c>
      <c r="I28" s="33">
        <v>36943.0</v>
      </c>
      <c r="J28" s="16" t="s">
        <v>138</v>
      </c>
      <c r="K28" s="8" t="s">
        <v>3382</v>
      </c>
      <c r="L28" s="1">
        <v>0.0</v>
      </c>
      <c r="M28" s="1">
        <v>0.0</v>
      </c>
      <c r="N28" s="1" t="s">
        <v>140</v>
      </c>
      <c r="O28" s="16" t="s">
        <v>167</v>
      </c>
      <c r="R28" s="1">
        <v>0.0</v>
      </c>
    </row>
    <row r="29">
      <c r="A29" s="3">
        <v>41333.0</v>
      </c>
      <c r="B29" s="5">
        <v>28.0</v>
      </c>
      <c r="C29" s="17" t="s">
        <v>3383</v>
      </c>
      <c r="D29" s="1">
        <f>IFERROR(__xludf.DUMMYFUNCTION("IF(C29="""", 0, COUNTA(SPLIT(C29, "" "")))"),4.0)</f>
        <v>4</v>
      </c>
      <c r="E29" s="8" t="s">
        <v>3384</v>
      </c>
      <c r="F29" s="12">
        <v>15704.0</v>
      </c>
      <c r="G29" s="37">
        <f t="shared" si="1"/>
        <v>70.16837782</v>
      </c>
      <c r="H29" s="27" t="s">
        <v>3385</v>
      </c>
      <c r="I29" s="33">
        <v>36943.0</v>
      </c>
      <c r="J29" s="16" t="s">
        <v>138</v>
      </c>
      <c r="K29" s="8" t="s">
        <v>3386</v>
      </c>
      <c r="L29" s="1">
        <v>3.0</v>
      </c>
      <c r="M29" s="1">
        <v>0.0</v>
      </c>
      <c r="N29" s="1" t="s">
        <v>140</v>
      </c>
      <c r="O29" s="16" t="s">
        <v>163</v>
      </c>
      <c r="R29" s="1">
        <v>0.0</v>
      </c>
    </row>
    <row r="30">
      <c r="A30" s="3">
        <v>41333.0</v>
      </c>
      <c r="B30" s="5">
        <v>29.0</v>
      </c>
      <c r="C30" s="8" t="s">
        <v>3387</v>
      </c>
      <c r="D30" s="1">
        <f>IFERROR(__xludf.DUMMYFUNCTION("IF(C30="""", 0, COUNTA(SPLIT(C30, "" "")))"),4.0)</f>
        <v>4</v>
      </c>
      <c r="E30" s="8" t="s">
        <v>3388</v>
      </c>
      <c r="F30" s="12">
        <v>16068.0</v>
      </c>
      <c r="G30" s="37">
        <f t="shared" si="1"/>
        <v>69.17180014</v>
      </c>
      <c r="H30" s="27" t="s">
        <v>3389</v>
      </c>
      <c r="I30" s="33">
        <v>36943.0</v>
      </c>
      <c r="J30" s="16" t="s">
        <v>138</v>
      </c>
      <c r="K30" s="8" t="s">
        <v>3390</v>
      </c>
      <c r="L30" s="1">
        <v>0.0</v>
      </c>
      <c r="M30" s="1">
        <v>0.0</v>
      </c>
      <c r="N30" s="1" t="s">
        <v>140</v>
      </c>
      <c r="O30" s="16" t="s">
        <v>163</v>
      </c>
      <c r="R30" s="1">
        <v>0.0</v>
      </c>
    </row>
    <row r="31">
      <c r="A31" s="3">
        <v>41333.0</v>
      </c>
      <c r="B31" s="5">
        <v>30.0</v>
      </c>
      <c r="C31" s="17" t="s">
        <v>3391</v>
      </c>
      <c r="D31" s="1">
        <f>IFERROR(__xludf.DUMMYFUNCTION("IF(C31="""", 0, COUNTA(SPLIT(C31, "" "")))"),2.0)</f>
        <v>2</v>
      </c>
      <c r="E31" s="8" t="s">
        <v>3392</v>
      </c>
      <c r="F31" s="12">
        <v>12639.0</v>
      </c>
      <c r="G31" s="37">
        <f t="shared" si="1"/>
        <v>78.55989049</v>
      </c>
      <c r="H31" s="27" t="s">
        <v>3393</v>
      </c>
      <c r="I31" s="33">
        <v>36943.0</v>
      </c>
      <c r="J31" s="16" t="s">
        <v>138</v>
      </c>
      <c r="K31" s="8" t="s">
        <v>3394</v>
      </c>
      <c r="L31" s="1">
        <v>0.0</v>
      </c>
      <c r="M31" s="1">
        <v>0.0</v>
      </c>
      <c r="N31" s="1" t="s">
        <v>140</v>
      </c>
      <c r="O31" s="16" t="s">
        <v>218</v>
      </c>
      <c r="R31" s="1">
        <v>0.0</v>
      </c>
    </row>
    <row r="32">
      <c r="A32" s="3">
        <v>41333.0</v>
      </c>
      <c r="B32" s="18">
        <v>31.0</v>
      </c>
      <c r="C32" s="17" t="s">
        <v>3395</v>
      </c>
      <c r="D32" s="1">
        <f>IFERROR(__xludf.DUMMYFUNCTION("IF(C32="""", 0, COUNTA(SPLIT(C32, "" "")))"),3.0)</f>
        <v>3</v>
      </c>
      <c r="E32" s="8" t="s">
        <v>3396</v>
      </c>
      <c r="F32" s="20">
        <v>13501.0</v>
      </c>
      <c r="G32" s="37">
        <f t="shared" si="1"/>
        <v>76.19986311</v>
      </c>
      <c r="H32" s="27" t="s">
        <v>3397</v>
      </c>
      <c r="I32" s="33">
        <v>36943.0</v>
      </c>
      <c r="J32" s="16" t="s">
        <v>138</v>
      </c>
      <c r="K32" s="8" t="s">
        <v>3398</v>
      </c>
      <c r="L32" s="1">
        <v>10.0</v>
      </c>
      <c r="M32" s="1">
        <v>0.0</v>
      </c>
      <c r="N32" s="1" t="s">
        <v>28</v>
      </c>
      <c r="O32" s="16" t="s">
        <v>163</v>
      </c>
      <c r="R32" s="1">
        <v>26.0</v>
      </c>
    </row>
    <row r="33">
      <c r="A33" s="3">
        <v>41333.0</v>
      </c>
      <c r="B33" s="5">
        <v>32.0</v>
      </c>
      <c r="C33" s="8" t="s">
        <v>3399</v>
      </c>
      <c r="D33" s="1">
        <f>IFERROR(__xludf.DUMMYFUNCTION("IF(C33="""", 0, COUNTA(SPLIT(C33, "" "")))"),4.0)</f>
        <v>4</v>
      </c>
      <c r="E33" s="8" t="s">
        <v>3400</v>
      </c>
      <c r="F33" s="12">
        <v>13206.0</v>
      </c>
      <c r="G33" s="37">
        <f t="shared" si="1"/>
        <v>77.00752909</v>
      </c>
      <c r="H33" s="27" t="s">
        <v>3401</v>
      </c>
      <c r="I33" s="33">
        <v>36943.0</v>
      </c>
      <c r="J33" s="16" t="s">
        <v>138</v>
      </c>
      <c r="K33" s="8" t="s">
        <v>3402</v>
      </c>
      <c r="L33" s="1">
        <v>0.0</v>
      </c>
      <c r="M33" s="1">
        <v>0.0</v>
      </c>
      <c r="N33" s="1" t="s">
        <v>140</v>
      </c>
      <c r="O33" s="16" t="s">
        <v>218</v>
      </c>
      <c r="R33" s="1">
        <v>0.0</v>
      </c>
    </row>
    <row r="34">
      <c r="A34" s="3">
        <v>41333.0</v>
      </c>
      <c r="B34" s="5">
        <v>33.0</v>
      </c>
      <c r="C34" s="8" t="s">
        <v>3403</v>
      </c>
      <c r="D34" s="1">
        <f>IFERROR(__xludf.DUMMYFUNCTION("IF(C34="""", 0, COUNTA(SPLIT(C34, "" "")))"),2.0)</f>
        <v>2</v>
      </c>
      <c r="E34" s="8" t="s">
        <v>3404</v>
      </c>
      <c r="F34" s="12">
        <v>12131.0</v>
      </c>
      <c r="G34" s="37">
        <f t="shared" si="1"/>
        <v>79.95071869</v>
      </c>
      <c r="H34" s="27" t="s">
        <v>3405</v>
      </c>
      <c r="I34" s="33">
        <v>36943.0</v>
      </c>
      <c r="J34" s="16" t="s">
        <v>138</v>
      </c>
      <c r="K34" s="8" t="s">
        <v>3406</v>
      </c>
      <c r="L34" s="1">
        <v>0.0</v>
      </c>
      <c r="M34" s="1">
        <v>0.0</v>
      </c>
      <c r="N34" s="1" t="s">
        <v>140</v>
      </c>
      <c r="O34" s="16" t="s">
        <v>27</v>
      </c>
      <c r="R34" s="1">
        <v>0.0</v>
      </c>
    </row>
    <row r="35">
      <c r="A35" s="3">
        <v>41333.0</v>
      </c>
      <c r="B35" s="5">
        <v>34.0</v>
      </c>
      <c r="C35" s="8" t="s">
        <v>3407</v>
      </c>
      <c r="D35" s="1">
        <f>IFERROR(__xludf.DUMMYFUNCTION("IF(C35="""", 0, COUNTA(SPLIT(C35, "" "")))"),2.0)</f>
        <v>2</v>
      </c>
      <c r="E35" s="8" t="s">
        <v>3408</v>
      </c>
      <c r="F35" s="12">
        <v>13286.0</v>
      </c>
      <c r="G35" s="37">
        <f t="shared" si="1"/>
        <v>76.78850103</v>
      </c>
      <c r="H35" s="27" t="s">
        <v>3409</v>
      </c>
      <c r="I35" s="33">
        <v>37915.0</v>
      </c>
      <c r="J35" s="16" t="s">
        <v>138</v>
      </c>
      <c r="K35" s="8" t="s">
        <v>3410</v>
      </c>
      <c r="L35" s="1">
        <v>0.0</v>
      </c>
      <c r="M35" s="1">
        <v>0.0</v>
      </c>
      <c r="N35" s="1" t="s">
        <v>140</v>
      </c>
      <c r="O35" s="16" t="s">
        <v>159</v>
      </c>
      <c r="R35" s="1">
        <v>0.0</v>
      </c>
    </row>
    <row r="36">
      <c r="A36" s="3">
        <v>41333.0</v>
      </c>
      <c r="B36" s="5">
        <v>35.0</v>
      </c>
      <c r="C36" s="8" t="s">
        <v>3411</v>
      </c>
      <c r="D36" s="1">
        <f>IFERROR(__xludf.DUMMYFUNCTION("IF(C36="""", 0, COUNTA(SPLIT(C36, "" "")))"),2.0)</f>
        <v>2</v>
      </c>
      <c r="E36" s="8" t="s">
        <v>3412</v>
      </c>
      <c r="F36" s="12">
        <v>15287.0</v>
      </c>
      <c r="G36" s="37">
        <f t="shared" si="1"/>
        <v>71.3100616</v>
      </c>
      <c r="H36" s="27" t="s">
        <v>3413</v>
      </c>
      <c r="I36" s="33">
        <v>37915.0</v>
      </c>
      <c r="J36" s="16" t="s">
        <v>138</v>
      </c>
      <c r="K36" s="8" t="s">
        <v>3414</v>
      </c>
      <c r="L36" s="1">
        <v>0.0</v>
      </c>
      <c r="M36" s="1">
        <v>1.0</v>
      </c>
      <c r="N36" s="1" t="s">
        <v>140</v>
      </c>
      <c r="O36" s="16" t="s">
        <v>27</v>
      </c>
      <c r="R36" s="1">
        <v>30.0</v>
      </c>
    </row>
    <row r="37">
      <c r="A37" s="3">
        <v>41333.0</v>
      </c>
      <c r="B37" s="5">
        <v>36.0</v>
      </c>
      <c r="C37" s="8" t="s">
        <v>3415</v>
      </c>
      <c r="D37" s="1">
        <f>IFERROR(__xludf.DUMMYFUNCTION("IF(C37="""", 0, COUNTA(SPLIT(C37, "" "")))"),3.0)</f>
        <v>3</v>
      </c>
      <c r="E37" s="8" t="s">
        <v>3416</v>
      </c>
      <c r="F37" s="12">
        <v>13317.0</v>
      </c>
      <c r="G37" s="37">
        <f t="shared" si="1"/>
        <v>76.70362765</v>
      </c>
      <c r="H37" s="27" t="s">
        <v>3417</v>
      </c>
      <c r="I37" s="33">
        <v>37915.0</v>
      </c>
      <c r="J37" s="16" t="s">
        <v>138</v>
      </c>
      <c r="K37" s="8" t="s">
        <v>3418</v>
      </c>
      <c r="L37" s="1">
        <v>0.0</v>
      </c>
      <c r="M37" s="1">
        <v>0.0</v>
      </c>
      <c r="N37" s="1" t="s">
        <v>140</v>
      </c>
      <c r="O37" s="16" t="s">
        <v>260</v>
      </c>
      <c r="R37" s="1">
        <v>0.0</v>
      </c>
    </row>
    <row r="38">
      <c r="A38" s="3">
        <v>41333.0</v>
      </c>
      <c r="B38" s="5">
        <v>37.0</v>
      </c>
      <c r="C38" s="8" t="s">
        <v>3419</v>
      </c>
      <c r="D38" s="1">
        <f>IFERROR(__xludf.DUMMYFUNCTION("IF(C38="""", 0, COUNTA(SPLIT(C38, "" "")))"),3.0)</f>
        <v>3</v>
      </c>
      <c r="E38" s="8" t="s">
        <v>3420</v>
      </c>
      <c r="F38" s="12">
        <v>15034.0</v>
      </c>
      <c r="G38" s="37">
        <f t="shared" si="1"/>
        <v>72.00273785</v>
      </c>
      <c r="H38" s="27" t="s">
        <v>3421</v>
      </c>
      <c r="I38" s="33">
        <v>37915.0</v>
      </c>
      <c r="J38" s="16" t="s">
        <v>138</v>
      </c>
      <c r="K38" s="8" t="s">
        <v>3422</v>
      </c>
      <c r="L38" s="1">
        <v>0.0</v>
      </c>
      <c r="M38" s="1">
        <v>0.0</v>
      </c>
      <c r="N38" s="1" t="s">
        <v>140</v>
      </c>
      <c r="O38" s="16" t="s">
        <v>148</v>
      </c>
      <c r="R38" s="1">
        <v>0.0</v>
      </c>
    </row>
    <row r="39">
      <c r="A39" s="3">
        <v>41333.0</v>
      </c>
      <c r="B39" s="5">
        <v>38.0</v>
      </c>
      <c r="C39" s="17" t="s">
        <v>3423</v>
      </c>
      <c r="D39" s="1">
        <f>IFERROR(__xludf.DUMMYFUNCTION("IF(C39="""", 0, COUNTA(SPLIT(C39, "" "")))"),3.0)</f>
        <v>3</v>
      </c>
      <c r="E39" s="8" t="s">
        <v>3424</v>
      </c>
      <c r="F39" s="12">
        <v>12654.0</v>
      </c>
      <c r="G39" s="37">
        <f t="shared" si="1"/>
        <v>78.51882272</v>
      </c>
      <c r="H39" s="27" t="s">
        <v>3425</v>
      </c>
      <c r="I39" s="33">
        <v>37915.0</v>
      </c>
      <c r="J39" s="16" t="s">
        <v>138</v>
      </c>
      <c r="K39" s="8" t="s">
        <v>3426</v>
      </c>
      <c r="L39" s="1">
        <v>0.0</v>
      </c>
      <c r="M39" s="1">
        <v>0.0</v>
      </c>
      <c r="N39" s="1" t="s">
        <v>140</v>
      </c>
      <c r="O39" s="16" t="s">
        <v>163</v>
      </c>
      <c r="R39" s="1">
        <v>0.0</v>
      </c>
    </row>
    <row r="40">
      <c r="A40" s="3">
        <v>41333.0</v>
      </c>
      <c r="B40" s="5">
        <v>39.0</v>
      </c>
      <c r="C40" s="8" t="s">
        <v>3427</v>
      </c>
      <c r="D40" s="1">
        <f>IFERROR(__xludf.DUMMYFUNCTION("IF(C40="""", 0, COUNTA(SPLIT(C40, "" "")))"),3.0)</f>
        <v>3</v>
      </c>
      <c r="E40" s="8" t="s">
        <v>3428</v>
      </c>
      <c r="F40" s="12">
        <v>12893.0</v>
      </c>
      <c r="G40" s="37">
        <f t="shared" si="1"/>
        <v>77.86447639</v>
      </c>
      <c r="H40" s="27" t="s">
        <v>3429</v>
      </c>
      <c r="I40" s="33">
        <v>37915.0</v>
      </c>
      <c r="J40" s="16" t="s">
        <v>138</v>
      </c>
      <c r="K40" s="8" t="s">
        <v>3430</v>
      </c>
      <c r="L40" s="1">
        <v>0.0</v>
      </c>
      <c r="M40" s="1">
        <v>0.0</v>
      </c>
      <c r="N40" s="1" t="s">
        <v>140</v>
      </c>
      <c r="O40" s="16" t="s">
        <v>167</v>
      </c>
      <c r="R40" s="1">
        <v>0.0</v>
      </c>
    </row>
    <row r="41">
      <c r="A41" s="3">
        <v>41333.0</v>
      </c>
      <c r="B41" s="5">
        <v>40.0</v>
      </c>
      <c r="C41" s="8" t="s">
        <v>3431</v>
      </c>
      <c r="D41" s="1">
        <f>IFERROR(__xludf.DUMMYFUNCTION("IF(C41="""", 0, COUNTA(SPLIT(C41, "" "")))"),2.0)</f>
        <v>2</v>
      </c>
      <c r="E41" s="8" t="s">
        <v>3432</v>
      </c>
      <c r="F41" s="12">
        <v>13472.0</v>
      </c>
      <c r="G41" s="37">
        <f t="shared" si="1"/>
        <v>76.27926078</v>
      </c>
      <c r="H41" s="27" t="s">
        <v>3433</v>
      </c>
      <c r="I41" s="33">
        <v>37915.0</v>
      </c>
      <c r="J41" s="16" t="s">
        <v>138</v>
      </c>
      <c r="K41" s="8" t="s">
        <v>3434</v>
      </c>
      <c r="L41" s="1">
        <v>0.0</v>
      </c>
      <c r="M41" s="1">
        <v>0.0</v>
      </c>
      <c r="N41" s="1" t="s">
        <v>140</v>
      </c>
      <c r="O41" s="16" t="s">
        <v>27</v>
      </c>
      <c r="R41" s="1">
        <v>0.0</v>
      </c>
    </row>
    <row r="42">
      <c r="A42" s="3">
        <v>41333.0</v>
      </c>
      <c r="B42" s="5">
        <v>41.0</v>
      </c>
      <c r="C42" s="8" t="s">
        <v>3435</v>
      </c>
      <c r="D42" s="1">
        <f>IFERROR(__xludf.DUMMYFUNCTION("IF(C42="""", 0, COUNTA(SPLIT(C42, "" "")))"),4.0)</f>
        <v>4</v>
      </c>
      <c r="E42" s="8" t="s">
        <v>3436</v>
      </c>
      <c r="F42" s="12">
        <v>17817.0</v>
      </c>
      <c r="G42" s="37">
        <f t="shared" si="1"/>
        <v>64.38329911</v>
      </c>
      <c r="H42" s="27" t="s">
        <v>3437</v>
      </c>
      <c r="I42" s="33">
        <v>37915.0</v>
      </c>
      <c r="J42" s="16" t="s">
        <v>138</v>
      </c>
      <c r="K42" s="8" t="s">
        <v>3438</v>
      </c>
      <c r="L42" s="1">
        <v>0.0</v>
      </c>
      <c r="M42" s="1">
        <v>0.0</v>
      </c>
      <c r="N42" s="1" t="s">
        <v>140</v>
      </c>
      <c r="O42" s="16" t="s">
        <v>276</v>
      </c>
      <c r="R42" s="1">
        <v>0.0</v>
      </c>
    </row>
    <row r="43">
      <c r="A43" s="3">
        <v>41333.0</v>
      </c>
      <c r="B43" s="5">
        <v>42.0</v>
      </c>
      <c r="C43" s="8" t="s">
        <v>3439</v>
      </c>
      <c r="D43" s="1">
        <f>IFERROR(__xludf.DUMMYFUNCTION("IF(C43="""", 0, COUNTA(SPLIT(C43, "" "")))"),3.0)</f>
        <v>3</v>
      </c>
      <c r="E43" s="8" t="s">
        <v>3440</v>
      </c>
      <c r="F43" s="12">
        <v>14533.0</v>
      </c>
      <c r="G43" s="37">
        <f t="shared" si="1"/>
        <v>73.3744011</v>
      </c>
      <c r="H43" s="27" t="s">
        <v>3441</v>
      </c>
      <c r="I43" s="33">
        <v>37915.0</v>
      </c>
      <c r="J43" s="16" t="s">
        <v>138</v>
      </c>
      <c r="K43" s="8" t="s">
        <v>3442</v>
      </c>
      <c r="L43" s="1">
        <v>0.0</v>
      </c>
      <c r="M43" s="1">
        <v>0.0</v>
      </c>
      <c r="N43" s="1" t="s">
        <v>140</v>
      </c>
      <c r="O43" s="16" t="s">
        <v>280</v>
      </c>
      <c r="R43" s="1">
        <v>0.0</v>
      </c>
    </row>
    <row r="44">
      <c r="A44" s="3">
        <v>41333.0</v>
      </c>
      <c r="B44" s="5">
        <v>43.0</v>
      </c>
      <c r="C44" s="8" t="s">
        <v>3443</v>
      </c>
      <c r="D44" s="1">
        <f>IFERROR(__xludf.DUMMYFUNCTION("IF(C44="""", 0, COUNTA(SPLIT(C44, "" "")))"),2.0)</f>
        <v>2</v>
      </c>
      <c r="E44" s="8" t="s">
        <v>3444</v>
      </c>
      <c r="F44" s="12">
        <v>15135.0</v>
      </c>
      <c r="G44" s="37">
        <f t="shared" si="1"/>
        <v>71.72621492</v>
      </c>
      <c r="H44" s="27" t="s">
        <v>3445</v>
      </c>
      <c r="I44" s="33">
        <v>37915.0</v>
      </c>
      <c r="J44" s="16" t="s">
        <v>138</v>
      </c>
      <c r="K44" s="8" t="s">
        <v>3446</v>
      </c>
      <c r="L44" s="1">
        <v>0.0</v>
      </c>
      <c r="M44" s="1">
        <v>0.0</v>
      </c>
      <c r="N44" s="1" t="s">
        <v>140</v>
      </c>
      <c r="O44" s="16" t="s">
        <v>167</v>
      </c>
      <c r="R44" s="1">
        <v>0.0</v>
      </c>
    </row>
    <row r="45">
      <c r="A45" s="3">
        <v>41333.0</v>
      </c>
      <c r="B45" s="5">
        <v>44.0</v>
      </c>
      <c r="C45" s="8" t="s">
        <v>3447</v>
      </c>
      <c r="D45" s="1">
        <f>IFERROR(__xludf.DUMMYFUNCTION("IF(C45="""", 0, COUNTA(SPLIT(C45, "" "")))"),2.0)</f>
        <v>2</v>
      </c>
      <c r="E45" s="8" t="s">
        <v>3448</v>
      </c>
      <c r="F45" s="12">
        <v>17977.0</v>
      </c>
      <c r="G45" s="37">
        <f t="shared" si="1"/>
        <v>63.94524298</v>
      </c>
      <c r="H45" s="27" t="s">
        <v>3449</v>
      </c>
      <c r="I45" s="33">
        <v>37915.0</v>
      </c>
      <c r="J45" s="16" t="s">
        <v>138</v>
      </c>
      <c r="K45" s="8" t="s">
        <v>3450</v>
      </c>
      <c r="L45" s="1">
        <v>0.0</v>
      </c>
      <c r="M45" s="1">
        <v>0.0</v>
      </c>
      <c r="N45" s="1" t="s">
        <v>140</v>
      </c>
      <c r="O45" s="16" t="s">
        <v>178</v>
      </c>
      <c r="R45" s="1">
        <v>0.0</v>
      </c>
    </row>
    <row r="46">
      <c r="A46" s="3">
        <v>41333.0</v>
      </c>
      <c r="B46" s="5">
        <v>45.0</v>
      </c>
      <c r="C46" s="8" t="s">
        <v>3451</v>
      </c>
      <c r="D46" s="1">
        <f>IFERROR(__xludf.DUMMYFUNCTION("IF(C46="""", 0, COUNTA(SPLIT(C46, "" "")))"),4.0)</f>
        <v>4</v>
      </c>
      <c r="E46" s="8" t="s">
        <v>3452</v>
      </c>
      <c r="F46" s="12">
        <v>12483.0</v>
      </c>
      <c r="G46" s="37">
        <f t="shared" si="1"/>
        <v>78.98699521</v>
      </c>
      <c r="H46" s="27" t="s">
        <v>3453</v>
      </c>
      <c r="I46" s="33">
        <v>37915.0</v>
      </c>
      <c r="J46" s="16" t="s">
        <v>138</v>
      </c>
      <c r="K46" s="8" t="s">
        <v>3454</v>
      </c>
      <c r="L46" s="1">
        <v>0.0</v>
      </c>
      <c r="M46" s="1">
        <v>0.0</v>
      </c>
      <c r="N46" s="1" t="s">
        <v>140</v>
      </c>
      <c r="O46" s="16" t="s">
        <v>290</v>
      </c>
      <c r="R46" s="1">
        <v>0.0</v>
      </c>
    </row>
    <row r="47">
      <c r="A47" s="3">
        <v>41333.0</v>
      </c>
      <c r="B47" s="5">
        <v>46.0</v>
      </c>
      <c r="C47" s="8" t="s">
        <v>3455</v>
      </c>
      <c r="D47" s="1">
        <f>IFERROR(__xludf.DUMMYFUNCTION("IF(C47="""", 0, COUNTA(SPLIT(C47, "" "")))"),2.0)</f>
        <v>2</v>
      </c>
      <c r="E47" s="8" t="s">
        <v>3456</v>
      </c>
      <c r="F47" s="12">
        <v>18553.0</v>
      </c>
      <c r="G47" s="37">
        <f t="shared" si="1"/>
        <v>62.36824093</v>
      </c>
      <c r="H47" s="27" t="s">
        <v>3457</v>
      </c>
      <c r="I47" s="33">
        <v>37915.0</v>
      </c>
      <c r="J47" s="16" t="s">
        <v>138</v>
      </c>
      <c r="K47" s="8" t="s">
        <v>3458</v>
      </c>
      <c r="L47" s="1">
        <v>0.0</v>
      </c>
      <c r="M47" s="1">
        <v>0.0</v>
      </c>
      <c r="N47" s="1" t="s">
        <v>140</v>
      </c>
      <c r="O47" s="16" t="s">
        <v>174</v>
      </c>
      <c r="R47" s="1">
        <v>0.0</v>
      </c>
    </row>
    <row r="48">
      <c r="A48" s="3">
        <v>41333.0</v>
      </c>
      <c r="B48" s="5">
        <v>47.0</v>
      </c>
      <c r="C48" s="8" t="s">
        <v>3459</v>
      </c>
      <c r="D48" s="1">
        <f>IFERROR(__xludf.DUMMYFUNCTION("IF(C48="""", 0, COUNTA(SPLIT(C48, "" "")))"),2.0)</f>
        <v>2</v>
      </c>
      <c r="E48" s="8" t="s">
        <v>3460</v>
      </c>
      <c r="F48" s="12">
        <v>19170.0</v>
      </c>
      <c r="G48" s="37">
        <f t="shared" si="1"/>
        <v>60.678987</v>
      </c>
      <c r="H48" s="27" t="s">
        <v>3461</v>
      </c>
      <c r="I48" s="33">
        <v>37915.0</v>
      </c>
      <c r="J48" s="16" t="s">
        <v>138</v>
      </c>
      <c r="K48" s="8" t="s">
        <v>3462</v>
      </c>
      <c r="L48" s="1">
        <v>0.0</v>
      </c>
      <c r="M48" s="1">
        <v>1.0</v>
      </c>
      <c r="N48" s="1" t="s">
        <v>140</v>
      </c>
      <c r="O48" s="16" t="s">
        <v>297</v>
      </c>
      <c r="R48" s="1">
        <v>0.0</v>
      </c>
    </row>
    <row r="49">
      <c r="A49" s="3">
        <v>41333.0</v>
      </c>
      <c r="B49" s="5">
        <v>48.0</v>
      </c>
      <c r="C49" s="17" t="s">
        <v>3463</v>
      </c>
      <c r="D49" s="1">
        <f>IFERROR(__xludf.DUMMYFUNCTION("IF(C49="""", 0, COUNTA(SPLIT(C49, "" "")))"),2.0)</f>
        <v>2</v>
      </c>
      <c r="E49" s="8" t="s">
        <v>3464</v>
      </c>
      <c r="F49" s="12">
        <v>16231.0</v>
      </c>
      <c r="G49" s="37">
        <f t="shared" si="1"/>
        <v>68.72553046</v>
      </c>
      <c r="H49" s="27" t="s">
        <v>3465</v>
      </c>
      <c r="I49" s="33">
        <v>37915.0</v>
      </c>
      <c r="J49" s="16" t="s">
        <v>138</v>
      </c>
      <c r="K49" s="8" t="s">
        <v>3466</v>
      </c>
      <c r="L49" s="1">
        <v>0.0</v>
      </c>
      <c r="M49" s="1">
        <v>1.0</v>
      </c>
      <c r="N49" s="1" t="s">
        <v>140</v>
      </c>
      <c r="O49" s="16" t="s">
        <v>174</v>
      </c>
      <c r="R49" s="1">
        <v>22.0</v>
      </c>
    </row>
    <row r="50">
      <c r="A50" s="3">
        <v>41333.0</v>
      </c>
      <c r="B50" s="5">
        <v>49.0</v>
      </c>
      <c r="C50" s="8" t="s">
        <v>3467</v>
      </c>
      <c r="D50" s="1">
        <f>IFERROR(__xludf.DUMMYFUNCTION("IF(C50="""", 0, COUNTA(SPLIT(C50, "" "")))"),2.0)</f>
        <v>2</v>
      </c>
      <c r="E50" s="8" t="s">
        <v>3468</v>
      </c>
      <c r="F50" s="12">
        <v>14718.0</v>
      </c>
      <c r="G50" s="37">
        <f t="shared" si="1"/>
        <v>72.8678987</v>
      </c>
      <c r="H50" s="27" t="s">
        <v>3469</v>
      </c>
      <c r="I50" s="33">
        <v>38800.0</v>
      </c>
      <c r="J50" s="16" t="s">
        <v>146</v>
      </c>
      <c r="K50" s="8" t="s">
        <v>3470</v>
      </c>
      <c r="L50" s="1">
        <v>0.0</v>
      </c>
      <c r="M50" s="1">
        <v>0.0</v>
      </c>
      <c r="N50" s="1" t="s">
        <v>140</v>
      </c>
      <c r="O50" s="16" t="s">
        <v>27</v>
      </c>
      <c r="R50" s="1">
        <v>0.0</v>
      </c>
    </row>
    <row r="51">
      <c r="A51" s="3">
        <v>41333.0</v>
      </c>
      <c r="B51" s="5">
        <v>50.0</v>
      </c>
      <c r="C51" s="8" t="s">
        <v>3471</v>
      </c>
      <c r="D51" s="1">
        <f>IFERROR(__xludf.DUMMYFUNCTION("IF(C51="""", 0, COUNTA(SPLIT(C51, "" "")))"),4.0)</f>
        <v>4</v>
      </c>
      <c r="E51" s="8" t="s">
        <v>3472</v>
      </c>
      <c r="F51" s="12">
        <v>15581.0</v>
      </c>
      <c r="G51" s="37">
        <f t="shared" si="1"/>
        <v>70.50513347</v>
      </c>
      <c r="H51" s="27" t="s">
        <v>3473</v>
      </c>
      <c r="I51" s="33">
        <v>38800.0</v>
      </c>
      <c r="J51" s="16" t="s">
        <v>146</v>
      </c>
      <c r="K51" s="8" t="s">
        <v>3474</v>
      </c>
      <c r="L51" s="1">
        <v>0.0</v>
      </c>
      <c r="M51" s="1">
        <v>0.0</v>
      </c>
      <c r="N51" s="1" t="s">
        <v>140</v>
      </c>
      <c r="O51" s="16" t="s">
        <v>163</v>
      </c>
      <c r="R51" s="1">
        <v>0.0</v>
      </c>
    </row>
    <row r="52">
      <c r="A52" s="3">
        <v>41333.0</v>
      </c>
      <c r="B52" s="5">
        <v>51.0</v>
      </c>
      <c r="C52" s="8" t="s">
        <v>3475</v>
      </c>
      <c r="D52" s="1">
        <f>IFERROR(__xludf.DUMMYFUNCTION("IF(C52="""", 0, COUNTA(SPLIT(C52, "" "")))"),2.0)</f>
        <v>2</v>
      </c>
      <c r="E52" s="8" t="s">
        <v>3476</v>
      </c>
      <c r="F52" s="12">
        <v>16340.0</v>
      </c>
      <c r="G52" s="37">
        <f t="shared" si="1"/>
        <v>68.42710472</v>
      </c>
      <c r="H52" s="27" t="s">
        <v>3477</v>
      </c>
      <c r="I52" s="33">
        <v>38800.0</v>
      </c>
      <c r="J52" s="16" t="s">
        <v>146</v>
      </c>
      <c r="K52" s="8" t="s">
        <v>3478</v>
      </c>
      <c r="L52" s="1">
        <v>0.0</v>
      </c>
      <c r="M52" s="1">
        <v>0.0</v>
      </c>
      <c r="N52" s="1" t="s">
        <v>140</v>
      </c>
      <c r="O52" s="16" t="s">
        <v>174</v>
      </c>
      <c r="R52" s="1">
        <v>0.0</v>
      </c>
    </row>
    <row r="53">
      <c r="A53" s="3">
        <v>41333.0</v>
      </c>
      <c r="B53" s="5">
        <v>52.0</v>
      </c>
      <c r="C53" s="8" t="s">
        <v>3479</v>
      </c>
      <c r="D53" s="1">
        <f>IFERROR(__xludf.DUMMYFUNCTION("IF(C53="""", 0, COUNTA(SPLIT(C53, "" "")))"),3.0)</f>
        <v>3</v>
      </c>
      <c r="E53" s="8" t="s">
        <v>3480</v>
      </c>
      <c r="F53" s="12">
        <v>16725.0</v>
      </c>
      <c r="G53" s="37">
        <f t="shared" si="1"/>
        <v>67.37303217</v>
      </c>
      <c r="H53" s="27" t="s">
        <v>3481</v>
      </c>
      <c r="I53" s="33">
        <v>38800.0</v>
      </c>
      <c r="J53" s="16" t="s">
        <v>146</v>
      </c>
      <c r="K53" s="8" t="s">
        <v>3482</v>
      </c>
      <c r="L53" s="1">
        <v>0.0</v>
      </c>
      <c r="M53" s="1">
        <v>0.0</v>
      </c>
      <c r="N53" s="1" t="s">
        <v>140</v>
      </c>
      <c r="O53" s="16" t="s">
        <v>163</v>
      </c>
      <c r="R53" s="1">
        <v>0.0</v>
      </c>
    </row>
    <row r="54">
      <c r="A54" s="3">
        <v>41333.0</v>
      </c>
      <c r="B54" s="5">
        <v>53.0</v>
      </c>
      <c r="C54" s="17" t="s">
        <v>313</v>
      </c>
      <c r="D54" s="1">
        <f>IFERROR(__xludf.DUMMYFUNCTION("IF(C54="""", 0, COUNTA(SPLIT(C54, "" "")))"),3.0)</f>
        <v>3</v>
      </c>
      <c r="E54" s="8" t="s">
        <v>3483</v>
      </c>
      <c r="F54" s="12">
        <v>16252.0</v>
      </c>
      <c r="G54" s="37">
        <f t="shared" si="1"/>
        <v>68.66803559</v>
      </c>
      <c r="H54" s="27" t="s">
        <v>3484</v>
      </c>
      <c r="I54" s="33">
        <v>38800.0</v>
      </c>
      <c r="J54" s="16" t="s">
        <v>146</v>
      </c>
      <c r="K54" s="8" t="s">
        <v>3485</v>
      </c>
      <c r="L54" s="1">
        <v>0.0</v>
      </c>
      <c r="M54" s="1">
        <v>0.0</v>
      </c>
      <c r="N54" s="1" t="s">
        <v>140</v>
      </c>
      <c r="O54" s="16" t="s">
        <v>167</v>
      </c>
      <c r="R54" s="1">
        <v>10.0</v>
      </c>
    </row>
    <row r="55">
      <c r="A55" s="3">
        <v>41333.0</v>
      </c>
      <c r="B55" s="5">
        <v>54.0</v>
      </c>
      <c r="C55" s="8" t="s">
        <v>3486</v>
      </c>
      <c r="D55" s="1">
        <f>IFERROR(__xludf.DUMMYFUNCTION("IF(C55="""", 0, COUNTA(SPLIT(C55, "" "")))"),2.0)</f>
        <v>2</v>
      </c>
      <c r="E55" s="8" t="s">
        <v>3487</v>
      </c>
      <c r="F55" s="12">
        <v>14362.0</v>
      </c>
      <c r="G55" s="37">
        <f t="shared" si="1"/>
        <v>73.84257358</v>
      </c>
      <c r="H55" s="27" t="s">
        <v>3488</v>
      </c>
      <c r="I55" s="33">
        <v>38800.0</v>
      </c>
      <c r="J55" s="16" t="s">
        <v>146</v>
      </c>
      <c r="K55" s="8" t="s">
        <v>3489</v>
      </c>
      <c r="L55" s="1">
        <v>0.0</v>
      </c>
      <c r="M55" s="1">
        <v>0.0</v>
      </c>
      <c r="N55" s="1" t="s">
        <v>140</v>
      </c>
      <c r="O55" s="16" t="s">
        <v>204</v>
      </c>
      <c r="R55" s="1">
        <v>0.0</v>
      </c>
    </row>
    <row r="56">
      <c r="A56" s="3">
        <v>41333.0</v>
      </c>
      <c r="B56" s="5">
        <v>55.0</v>
      </c>
      <c r="C56" s="8" t="s">
        <v>3490</v>
      </c>
      <c r="D56" s="1">
        <f>IFERROR(__xludf.DUMMYFUNCTION("IF(C56="""", 0, COUNTA(SPLIT(C56, "" "")))"),2.0)</f>
        <v>2</v>
      </c>
      <c r="E56" s="8" t="s">
        <v>3491</v>
      </c>
      <c r="F56" s="12">
        <v>14032.0</v>
      </c>
      <c r="G56" s="37">
        <f t="shared" si="1"/>
        <v>74.74606434</v>
      </c>
      <c r="H56" s="27" t="s">
        <v>3492</v>
      </c>
      <c r="I56" s="33">
        <v>38800.0</v>
      </c>
      <c r="J56" s="16" t="s">
        <v>146</v>
      </c>
      <c r="K56" s="8" t="s">
        <v>3493</v>
      </c>
      <c r="L56" s="1">
        <v>0.0</v>
      </c>
      <c r="M56" s="1">
        <v>0.0</v>
      </c>
      <c r="N56" s="1" t="s">
        <v>140</v>
      </c>
      <c r="O56" s="16" t="s">
        <v>27</v>
      </c>
      <c r="R56" s="1">
        <v>0.0</v>
      </c>
    </row>
    <row r="57">
      <c r="A57" s="3">
        <v>41333.0</v>
      </c>
      <c r="B57" s="5">
        <v>56.0</v>
      </c>
      <c r="C57" s="8" t="s">
        <v>3494</v>
      </c>
      <c r="D57" s="1">
        <f>IFERROR(__xludf.DUMMYFUNCTION("IF(C57="""", 0, COUNTA(SPLIT(C57, "" "")))"),3.0)</f>
        <v>3</v>
      </c>
      <c r="E57" s="8" t="s">
        <v>3495</v>
      </c>
      <c r="F57" s="12">
        <v>14473.0</v>
      </c>
      <c r="G57" s="37">
        <f t="shared" si="1"/>
        <v>73.53867214</v>
      </c>
      <c r="H57" s="27" t="s">
        <v>3496</v>
      </c>
      <c r="I57" s="33">
        <v>39410.0</v>
      </c>
      <c r="J57" s="16" t="s">
        <v>146</v>
      </c>
      <c r="K57" s="8" t="s">
        <v>3497</v>
      </c>
      <c r="L57" s="1">
        <v>0.0</v>
      </c>
      <c r="M57" s="1">
        <v>0.0</v>
      </c>
      <c r="N57" s="1" t="s">
        <v>140</v>
      </c>
      <c r="O57" s="16" t="s">
        <v>167</v>
      </c>
      <c r="R57" s="1">
        <v>0.0</v>
      </c>
    </row>
    <row r="58">
      <c r="A58" s="3">
        <v>41333.0</v>
      </c>
      <c r="B58" s="5">
        <v>57.0</v>
      </c>
      <c r="C58" s="8" t="s">
        <v>3498</v>
      </c>
      <c r="D58" s="1">
        <f>IFERROR(__xludf.DUMMYFUNCTION("IF(C58="""", 0, COUNTA(SPLIT(C58, "" "")))"),3.0)</f>
        <v>3</v>
      </c>
      <c r="E58" s="8" t="s">
        <v>3499</v>
      </c>
      <c r="F58" s="12">
        <v>13634.0</v>
      </c>
      <c r="G58" s="37">
        <f t="shared" si="1"/>
        <v>75.83572895</v>
      </c>
      <c r="H58" s="27" t="s">
        <v>3500</v>
      </c>
      <c r="I58" s="33">
        <v>39410.0</v>
      </c>
      <c r="J58" s="16" t="s">
        <v>146</v>
      </c>
      <c r="K58" s="8" t="s">
        <v>3501</v>
      </c>
      <c r="L58" s="1">
        <v>0.0</v>
      </c>
      <c r="M58" s="1">
        <v>0.0</v>
      </c>
      <c r="N58" s="1" t="s">
        <v>140</v>
      </c>
      <c r="O58" s="16" t="s">
        <v>328</v>
      </c>
      <c r="R58" s="1">
        <v>0.0</v>
      </c>
    </row>
    <row r="59">
      <c r="A59" s="3">
        <v>41333.0</v>
      </c>
      <c r="B59" s="5">
        <v>58.0</v>
      </c>
      <c r="C59" s="8" t="s">
        <v>3502</v>
      </c>
      <c r="D59" s="1">
        <f>IFERROR(__xludf.DUMMYFUNCTION("IF(C59="""", 0, COUNTA(SPLIT(C59, "" "")))"),2.0)</f>
        <v>2</v>
      </c>
      <c r="E59" s="8" t="s">
        <v>3503</v>
      </c>
      <c r="F59" s="12">
        <v>15652.0</v>
      </c>
      <c r="G59" s="37">
        <f t="shared" si="1"/>
        <v>70.31074606</v>
      </c>
      <c r="H59" s="27" t="s">
        <v>3504</v>
      </c>
      <c r="I59" s="33">
        <v>39410.0</v>
      </c>
      <c r="J59" s="16" t="s">
        <v>146</v>
      </c>
      <c r="K59" s="8" t="s">
        <v>3505</v>
      </c>
      <c r="L59" s="1">
        <v>0.0</v>
      </c>
      <c r="M59" s="1">
        <v>0.0</v>
      </c>
      <c r="N59" s="1" t="s">
        <v>140</v>
      </c>
      <c r="O59" s="16" t="s">
        <v>174</v>
      </c>
      <c r="R59" s="1">
        <v>0.0</v>
      </c>
    </row>
    <row r="60">
      <c r="A60" s="3">
        <v>41333.0</v>
      </c>
      <c r="B60" s="5">
        <v>59.0</v>
      </c>
      <c r="C60" s="8" t="s">
        <v>3506</v>
      </c>
      <c r="D60" s="1">
        <f>IFERROR(__xludf.DUMMYFUNCTION("IF(C60="""", 0, COUNTA(SPLIT(C60, "" "")))"),2.0)</f>
        <v>2</v>
      </c>
      <c r="E60" s="8" t="s">
        <v>3507</v>
      </c>
      <c r="F60" s="12">
        <v>15720.0</v>
      </c>
      <c r="G60" s="37">
        <f t="shared" si="1"/>
        <v>70.12457221</v>
      </c>
      <c r="H60" s="27" t="s">
        <v>3508</v>
      </c>
      <c r="I60" s="33">
        <v>39410.0</v>
      </c>
      <c r="J60" s="16" t="s">
        <v>146</v>
      </c>
      <c r="K60" s="8" t="s">
        <v>3509</v>
      </c>
      <c r="L60" s="1">
        <v>0.0</v>
      </c>
      <c r="M60" s="1">
        <v>0.0</v>
      </c>
      <c r="N60" s="1" t="s">
        <v>140</v>
      </c>
      <c r="O60" s="16" t="s">
        <v>27</v>
      </c>
      <c r="R60" s="1">
        <v>0.0</v>
      </c>
    </row>
    <row r="61">
      <c r="A61" s="3">
        <v>41333.0</v>
      </c>
      <c r="B61" s="5">
        <v>60.0</v>
      </c>
      <c r="C61" s="8" t="s">
        <v>3510</v>
      </c>
      <c r="D61" s="1">
        <f>IFERROR(__xludf.DUMMYFUNCTION("IF(C61="""", 0, COUNTA(SPLIT(C61, "" "")))"),2.0)</f>
        <v>2</v>
      </c>
      <c r="E61" s="8" t="s">
        <v>3511</v>
      </c>
      <c r="F61" s="12">
        <v>13482.0</v>
      </c>
      <c r="G61" s="37">
        <f t="shared" si="1"/>
        <v>76.25188227</v>
      </c>
      <c r="H61" s="27" t="s">
        <v>3512</v>
      </c>
      <c r="I61" s="33">
        <v>39410.0</v>
      </c>
      <c r="J61" s="16" t="s">
        <v>146</v>
      </c>
      <c r="K61" s="8" t="s">
        <v>3513</v>
      </c>
      <c r="L61" s="1">
        <v>0.0</v>
      </c>
      <c r="M61" s="1">
        <v>0.0</v>
      </c>
      <c r="N61" s="1" t="s">
        <v>140</v>
      </c>
      <c r="O61" s="16" t="s">
        <v>174</v>
      </c>
      <c r="R61" s="1">
        <v>0.0</v>
      </c>
    </row>
    <row r="62">
      <c r="A62" s="3">
        <v>41333.0</v>
      </c>
      <c r="B62" s="5">
        <v>61.0</v>
      </c>
      <c r="C62" s="8" t="s">
        <v>3514</v>
      </c>
      <c r="D62" s="1">
        <f>IFERROR(__xludf.DUMMYFUNCTION("IF(C62="""", 0, COUNTA(SPLIT(C62, "" "")))"),2.0)</f>
        <v>2</v>
      </c>
      <c r="E62" s="8" t="s">
        <v>3515</v>
      </c>
      <c r="F62" s="12">
        <v>16430.0</v>
      </c>
      <c r="G62" s="37">
        <f t="shared" si="1"/>
        <v>68.18069815</v>
      </c>
      <c r="H62" s="27" t="s">
        <v>3516</v>
      </c>
      <c r="I62" s="33">
        <v>39410.0</v>
      </c>
      <c r="J62" s="16" t="s">
        <v>146</v>
      </c>
      <c r="K62" s="8" t="s">
        <v>3517</v>
      </c>
      <c r="L62" s="1">
        <v>0.0</v>
      </c>
      <c r="M62" s="1">
        <v>0.0</v>
      </c>
      <c r="N62" s="1" t="s">
        <v>140</v>
      </c>
      <c r="O62" s="16" t="s">
        <v>167</v>
      </c>
      <c r="R62" s="1">
        <v>0.0</v>
      </c>
    </row>
    <row r="63">
      <c r="A63" s="3">
        <v>41333.0</v>
      </c>
      <c r="B63" s="5">
        <v>62.0</v>
      </c>
      <c r="C63" s="8" t="s">
        <v>3518</v>
      </c>
      <c r="D63" s="1">
        <f>IFERROR(__xludf.DUMMYFUNCTION("IF(C63="""", 0, COUNTA(SPLIT(C63, "" "")))"),3.0)</f>
        <v>3</v>
      </c>
      <c r="E63" s="8" t="s">
        <v>3519</v>
      </c>
      <c r="F63" s="12">
        <v>17959.0</v>
      </c>
      <c r="G63" s="37">
        <f t="shared" si="1"/>
        <v>63.9945243</v>
      </c>
      <c r="H63" s="27" t="s">
        <v>3520</v>
      </c>
      <c r="I63" s="33">
        <v>39410.0</v>
      </c>
      <c r="J63" s="16" t="s">
        <v>146</v>
      </c>
      <c r="K63" s="8" t="s">
        <v>3521</v>
      </c>
      <c r="L63" s="1">
        <v>0.0</v>
      </c>
      <c r="M63" s="1">
        <v>0.0</v>
      </c>
      <c r="N63" s="1" t="s">
        <v>140</v>
      </c>
      <c r="O63" s="16" t="s">
        <v>163</v>
      </c>
      <c r="R63" s="1">
        <v>0.0</v>
      </c>
    </row>
    <row r="64">
      <c r="A64" s="3">
        <v>41333.0</v>
      </c>
      <c r="B64" s="5">
        <v>63.0</v>
      </c>
      <c r="C64" s="8" t="s">
        <v>3522</v>
      </c>
      <c r="D64" s="1">
        <f>IFERROR(__xludf.DUMMYFUNCTION("IF(C64="""", 0, COUNTA(SPLIT(C64, "" "")))"),3.0)</f>
        <v>3</v>
      </c>
      <c r="E64" s="8" t="s">
        <v>3523</v>
      </c>
      <c r="F64" s="12">
        <v>18041.0</v>
      </c>
      <c r="G64" s="37">
        <f t="shared" si="1"/>
        <v>63.77002053</v>
      </c>
      <c r="H64" s="27" t="s">
        <v>3524</v>
      </c>
      <c r="I64" s="33">
        <v>39410.0</v>
      </c>
      <c r="J64" s="16" t="s">
        <v>146</v>
      </c>
      <c r="K64" s="8" t="s">
        <v>3525</v>
      </c>
      <c r="L64" s="1">
        <v>0.0</v>
      </c>
      <c r="M64" s="1">
        <v>0.0</v>
      </c>
      <c r="N64" s="1" t="s">
        <v>140</v>
      </c>
      <c r="O64" s="16" t="s">
        <v>167</v>
      </c>
      <c r="R64" s="1">
        <v>0.0</v>
      </c>
    </row>
    <row r="65">
      <c r="A65" s="3">
        <v>41333.0</v>
      </c>
      <c r="B65" s="5">
        <v>64.0</v>
      </c>
      <c r="C65" s="8" t="s">
        <v>3526</v>
      </c>
      <c r="D65" s="1">
        <f>IFERROR(__xludf.DUMMYFUNCTION("IF(C65="""", 0, COUNTA(SPLIT(C65, "" "")))"),3.0)</f>
        <v>3</v>
      </c>
      <c r="E65" s="8" t="s">
        <v>3527</v>
      </c>
      <c r="F65" s="12">
        <v>18162.0</v>
      </c>
      <c r="G65" s="37">
        <f t="shared" si="1"/>
        <v>63.43874059</v>
      </c>
      <c r="H65" s="27" t="s">
        <v>3528</v>
      </c>
      <c r="I65" s="33">
        <v>39410.0</v>
      </c>
      <c r="J65" s="16" t="s">
        <v>146</v>
      </c>
      <c r="K65" s="8" t="s">
        <v>3529</v>
      </c>
      <c r="L65" s="1">
        <v>0.0</v>
      </c>
      <c r="M65" s="1">
        <v>2.0</v>
      </c>
      <c r="N65" s="1" t="s">
        <v>140</v>
      </c>
      <c r="O65" s="16" t="s">
        <v>218</v>
      </c>
      <c r="R65" s="1">
        <v>4.0</v>
      </c>
    </row>
    <row r="66">
      <c r="A66" s="3">
        <v>41333.0</v>
      </c>
      <c r="B66" s="5">
        <v>65.0</v>
      </c>
      <c r="C66" s="8" t="s">
        <v>3530</v>
      </c>
      <c r="D66" s="1">
        <f>IFERROR(__xludf.DUMMYFUNCTION("IF(C66="""", 0, COUNTA(SPLIT(C66, "" "")))"),2.0)</f>
        <v>2</v>
      </c>
      <c r="E66" s="8" t="s">
        <v>3531</v>
      </c>
      <c r="F66" s="38" t="s">
        <v>3532</v>
      </c>
      <c r="G66" s="37" t="str">
        <f t="shared" si="1"/>
        <v>#VALUE!</v>
      </c>
      <c r="H66" s="27" t="s">
        <v>3533</v>
      </c>
      <c r="I66" s="33">
        <v>39410.0</v>
      </c>
      <c r="J66" s="16" t="s">
        <v>146</v>
      </c>
      <c r="K66" s="8" t="s">
        <v>3534</v>
      </c>
      <c r="L66" s="1">
        <v>0.0</v>
      </c>
      <c r="M66" s="1">
        <v>0.0</v>
      </c>
      <c r="N66" s="1" t="s">
        <v>140</v>
      </c>
      <c r="O66" s="16" t="s">
        <v>353</v>
      </c>
      <c r="R66" s="1">
        <v>0.0</v>
      </c>
    </row>
    <row r="67">
      <c r="A67" s="3">
        <v>41333.0</v>
      </c>
      <c r="B67" s="5">
        <v>66.0</v>
      </c>
      <c r="C67" s="8" t="s">
        <v>3535</v>
      </c>
      <c r="D67" s="1">
        <f>IFERROR(__xludf.DUMMYFUNCTION("IF(C67="""", 0, COUNTA(SPLIT(C67, "" "")))"),4.0)</f>
        <v>4</v>
      </c>
      <c r="E67" s="8" t="s">
        <v>3536</v>
      </c>
      <c r="F67" s="12">
        <v>12420.0</v>
      </c>
      <c r="G67" s="37">
        <f t="shared" si="1"/>
        <v>79.15947981</v>
      </c>
      <c r="H67" s="27" t="s">
        <v>3537</v>
      </c>
      <c r="I67" s="33">
        <v>40502.0</v>
      </c>
      <c r="J67" s="16" t="s">
        <v>146</v>
      </c>
      <c r="K67" s="8" t="s">
        <v>3538</v>
      </c>
      <c r="L67" s="1">
        <v>0.0</v>
      </c>
      <c r="M67" s="1">
        <v>0.0</v>
      </c>
      <c r="N67" s="1" t="s">
        <v>140</v>
      </c>
      <c r="O67" s="16" t="s">
        <v>163</v>
      </c>
      <c r="R67" s="1">
        <v>0.0</v>
      </c>
    </row>
    <row r="68">
      <c r="A68" s="3">
        <v>41333.0</v>
      </c>
      <c r="B68" s="5">
        <v>67.0</v>
      </c>
      <c r="C68" s="8" t="s">
        <v>3539</v>
      </c>
      <c r="D68" s="1">
        <f>IFERROR(__xludf.DUMMYFUNCTION("IF(C68="""", 0, COUNTA(SPLIT(C68, "" "")))"),3.0)</f>
        <v>3</v>
      </c>
      <c r="E68" s="8" t="s">
        <v>3540</v>
      </c>
      <c r="F68" s="12">
        <v>14525.0</v>
      </c>
      <c r="G68" s="37">
        <f t="shared" si="1"/>
        <v>73.3963039</v>
      </c>
      <c r="H68" s="27" t="s">
        <v>3541</v>
      </c>
      <c r="I68" s="33">
        <v>40502.0</v>
      </c>
      <c r="J68" s="16" t="s">
        <v>146</v>
      </c>
      <c r="K68" s="8" t="s">
        <v>3542</v>
      </c>
      <c r="L68" s="1">
        <v>0.0</v>
      </c>
      <c r="M68" s="1">
        <v>0.0</v>
      </c>
      <c r="N68" s="1" t="s">
        <v>140</v>
      </c>
      <c r="O68" s="16" t="s">
        <v>360</v>
      </c>
      <c r="R68" s="1">
        <v>0.0</v>
      </c>
    </row>
    <row r="69">
      <c r="A69" s="3">
        <v>41333.0</v>
      </c>
      <c r="B69" s="5">
        <v>68.0</v>
      </c>
      <c r="C69" s="8" t="s">
        <v>3543</v>
      </c>
      <c r="D69" s="1">
        <f>IFERROR(__xludf.DUMMYFUNCTION("IF(C69="""", 0, COUNTA(SPLIT(C69, "" "")))"),2.0)</f>
        <v>2</v>
      </c>
      <c r="E69" s="8" t="s">
        <v>3544</v>
      </c>
      <c r="F69" s="12">
        <v>13931.0</v>
      </c>
      <c r="G69" s="37">
        <f t="shared" si="1"/>
        <v>75.02258727</v>
      </c>
      <c r="H69" s="27" t="s">
        <v>3545</v>
      </c>
      <c r="I69" s="33">
        <v>40502.0</v>
      </c>
      <c r="J69" s="16" t="s">
        <v>146</v>
      </c>
      <c r="K69" s="8" t="s">
        <v>3546</v>
      </c>
      <c r="L69" s="1">
        <v>0.0</v>
      </c>
      <c r="M69" s="1">
        <v>0.0</v>
      </c>
      <c r="N69" s="1" t="s">
        <v>140</v>
      </c>
      <c r="O69" s="16" t="s">
        <v>27</v>
      </c>
      <c r="R69" s="1">
        <v>0.0</v>
      </c>
    </row>
    <row r="70">
      <c r="A70" s="3">
        <v>41333.0</v>
      </c>
      <c r="B70" s="5">
        <v>69.0</v>
      </c>
      <c r="C70" s="8" t="s">
        <v>3547</v>
      </c>
      <c r="D70" s="1">
        <f>IFERROR(__xludf.DUMMYFUNCTION("IF(C70="""", 0, COUNTA(SPLIT(C70, "" "")))"),3.0)</f>
        <v>3</v>
      </c>
      <c r="E70" s="8" t="s">
        <v>3548</v>
      </c>
      <c r="F70" s="12">
        <v>14927.0</v>
      </c>
      <c r="G70" s="37">
        <f t="shared" si="1"/>
        <v>72.29568789</v>
      </c>
      <c r="H70" s="27" t="s">
        <v>3549</v>
      </c>
      <c r="I70" s="33">
        <v>40502.0</v>
      </c>
      <c r="J70" s="16" t="s">
        <v>146</v>
      </c>
      <c r="K70" s="8" t="s">
        <v>3550</v>
      </c>
      <c r="L70" s="1">
        <v>0.0</v>
      </c>
      <c r="M70" s="1">
        <v>0.0</v>
      </c>
      <c r="N70" s="1" t="s">
        <v>140</v>
      </c>
      <c r="O70" s="16" t="s">
        <v>167</v>
      </c>
      <c r="R70" s="1">
        <v>0.0</v>
      </c>
    </row>
    <row r="71">
      <c r="A71" s="3">
        <v>41333.0</v>
      </c>
      <c r="B71" s="5">
        <v>70.0</v>
      </c>
      <c r="C71" s="8" t="s">
        <v>3551</v>
      </c>
      <c r="D71" s="1">
        <f>IFERROR(__xludf.DUMMYFUNCTION("IF(C71="""", 0, COUNTA(SPLIT(C71, "" "")))"),3.0)</f>
        <v>3</v>
      </c>
      <c r="E71" s="8" t="s">
        <v>3552</v>
      </c>
      <c r="F71" s="12">
        <v>13561.0</v>
      </c>
      <c r="G71" s="37">
        <f t="shared" si="1"/>
        <v>76.03559206</v>
      </c>
      <c r="H71" s="27" t="s">
        <v>3553</v>
      </c>
      <c r="I71" s="33">
        <v>40502.0</v>
      </c>
      <c r="J71" s="16" t="s">
        <v>146</v>
      </c>
      <c r="K71" s="8" t="s">
        <v>3554</v>
      </c>
      <c r="L71" s="1">
        <v>0.0</v>
      </c>
      <c r="M71" s="1">
        <v>0.0</v>
      </c>
      <c r="N71" s="1" t="s">
        <v>140</v>
      </c>
      <c r="O71" s="16" t="s">
        <v>218</v>
      </c>
      <c r="R71" s="1">
        <v>0.0</v>
      </c>
    </row>
    <row r="72">
      <c r="A72" s="3">
        <v>41333.0</v>
      </c>
      <c r="B72" s="5">
        <v>71.0</v>
      </c>
      <c r="C72" s="8" t="s">
        <v>3555</v>
      </c>
      <c r="D72" s="1">
        <f>IFERROR(__xludf.DUMMYFUNCTION("IF(C72="""", 0, COUNTA(SPLIT(C72, "" "")))"),2.0)</f>
        <v>2</v>
      </c>
      <c r="E72" s="8" t="s">
        <v>3556</v>
      </c>
      <c r="F72" s="12">
        <v>18295.0</v>
      </c>
      <c r="G72" s="37">
        <f t="shared" si="1"/>
        <v>63.07460643</v>
      </c>
      <c r="H72" s="27" t="s">
        <v>3557</v>
      </c>
      <c r="I72" s="33">
        <v>40502.0</v>
      </c>
      <c r="J72" s="16" t="s">
        <v>146</v>
      </c>
      <c r="K72" s="8" t="s">
        <v>3558</v>
      </c>
      <c r="L72" s="1">
        <v>0.0</v>
      </c>
      <c r="M72" s="1">
        <v>0.0</v>
      </c>
      <c r="N72" s="1" t="s">
        <v>140</v>
      </c>
      <c r="O72" s="16" t="s">
        <v>204</v>
      </c>
      <c r="R72" s="1">
        <v>0.0</v>
      </c>
    </row>
    <row r="73">
      <c r="A73" s="3">
        <v>41333.0</v>
      </c>
      <c r="B73" s="5">
        <v>72.0</v>
      </c>
      <c r="C73" s="8" t="s">
        <v>3559</v>
      </c>
      <c r="D73" s="1">
        <f>IFERROR(__xludf.DUMMYFUNCTION("IF(C73="""", 0, COUNTA(SPLIT(C73, "" "")))"),5.0)</f>
        <v>5</v>
      </c>
      <c r="E73" s="8" t="s">
        <v>3560</v>
      </c>
      <c r="F73" s="12">
        <v>17486.0</v>
      </c>
      <c r="G73" s="37">
        <f t="shared" si="1"/>
        <v>65.28952772</v>
      </c>
      <c r="H73" s="27" t="s">
        <v>3561</v>
      </c>
      <c r="I73" s="33">
        <v>40502.0</v>
      </c>
      <c r="J73" s="16" t="s">
        <v>146</v>
      </c>
      <c r="K73" s="8" t="s">
        <v>3562</v>
      </c>
      <c r="L73" s="1">
        <v>0.0</v>
      </c>
      <c r="M73" s="1">
        <v>0.0</v>
      </c>
      <c r="N73" s="1" t="s">
        <v>140</v>
      </c>
      <c r="O73" s="16" t="s">
        <v>376</v>
      </c>
      <c r="R73" s="1">
        <v>0.0</v>
      </c>
    </row>
    <row r="74">
      <c r="A74" s="3">
        <v>41333.0</v>
      </c>
      <c r="B74" s="5">
        <v>73.0</v>
      </c>
      <c r="C74" s="8" t="s">
        <v>3563</v>
      </c>
      <c r="D74" s="1">
        <f>IFERROR(__xludf.DUMMYFUNCTION("IF(C74="""", 0, COUNTA(SPLIT(C74, "" "")))"),2.0)</f>
        <v>2</v>
      </c>
      <c r="E74" s="8" t="s">
        <v>3564</v>
      </c>
      <c r="F74" s="12">
        <v>19623.0</v>
      </c>
      <c r="G74" s="37">
        <f t="shared" si="1"/>
        <v>59.43874059</v>
      </c>
      <c r="H74" s="27" t="s">
        <v>3565</v>
      </c>
      <c r="I74" s="33">
        <v>40502.0</v>
      </c>
      <c r="J74" s="16" t="s">
        <v>146</v>
      </c>
      <c r="K74" s="8" t="s">
        <v>3566</v>
      </c>
      <c r="L74" s="1">
        <v>0.0</v>
      </c>
      <c r="M74" s="1">
        <v>0.0</v>
      </c>
      <c r="N74" s="1" t="s">
        <v>140</v>
      </c>
      <c r="O74" s="16" t="s">
        <v>159</v>
      </c>
      <c r="R74" s="1">
        <v>0.0</v>
      </c>
    </row>
    <row r="75">
      <c r="A75" s="3">
        <v>41333.0</v>
      </c>
      <c r="B75" s="5">
        <v>74.0</v>
      </c>
      <c r="C75" s="8" t="s">
        <v>3567</v>
      </c>
      <c r="D75" s="1">
        <f>IFERROR(__xludf.DUMMYFUNCTION("IF(C75="""", 0, COUNTA(SPLIT(C75, "" "")))"),2.0)</f>
        <v>2</v>
      </c>
      <c r="E75" s="8" t="s">
        <v>3568</v>
      </c>
      <c r="F75" s="12">
        <v>16546.0</v>
      </c>
      <c r="G75" s="37">
        <f t="shared" si="1"/>
        <v>67.86310746</v>
      </c>
      <c r="H75" s="27" t="s">
        <v>3569</v>
      </c>
      <c r="I75" s="33">
        <v>40957.0</v>
      </c>
      <c r="J75" s="16" t="s">
        <v>146</v>
      </c>
      <c r="K75" s="8" t="s">
        <v>3570</v>
      </c>
      <c r="L75" s="1">
        <v>0.0</v>
      </c>
      <c r="M75" s="1">
        <v>0.0</v>
      </c>
      <c r="N75" s="1" t="s">
        <v>140</v>
      </c>
      <c r="O75" s="16" t="s">
        <v>383</v>
      </c>
      <c r="R75" s="1">
        <v>0.0</v>
      </c>
    </row>
    <row r="76">
      <c r="A76" s="3">
        <v>41333.0</v>
      </c>
      <c r="B76" s="5">
        <v>75.0</v>
      </c>
      <c r="C76" s="8" t="s">
        <v>3571</v>
      </c>
      <c r="D76" s="1">
        <f>IFERROR(__xludf.DUMMYFUNCTION("IF(C76="""", 0, COUNTA(SPLIT(C76, "" "")))"),3.0)</f>
        <v>3</v>
      </c>
      <c r="E76" s="8" t="s">
        <v>3572</v>
      </c>
      <c r="F76" s="12">
        <v>17183.0</v>
      </c>
      <c r="G76" s="37">
        <f t="shared" si="1"/>
        <v>66.11909651</v>
      </c>
      <c r="H76" s="27" t="s">
        <v>3573</v>
      </c>
      <c r="I76" s="33">
        <v>40957.0</v>
      </c>
      <c r="J76" s="16" t="s">
        <v>146</v>
      </c>
      <c r="K76" s="8" t="s">
        <v>3574</v>
      </c>
      <c r="L76" s="1">
        <v>0.0</v>
      </c>
      <c r="M76" s="1">
        <v>0.0</v>
      </c>
      <c r="N76" s="1" t="s">
        <v>140</v>
      </c>
      <c r="O76" s="16" t="s">
        <v>167</v>
      </c>
      <c r="R76" s="1">
        <v>0.0</v>
      </c>
    </row>
    <row r="77">
      <c r="A77" s="3">
        <v>41333.0</v>
      </c>
      <c r="B77" s="5">
        <v>76.0</v>
      </c>
      <c r="C77" s="17" t="s">
        <v>3575</v>
      </c>
      <c r="D77" s="1">
        <f>IFERROR(__xludf.DUMMYFUNCTION("IF(C77="""", 0, COUNTA(SPLIT(C77, "" "")))"),2.0)</f>
        <v>2</v>
      </c>
      <c r="E77" s="8" t="s">
        <v>3576</v>
      </c>
      <c r="F77" s="12">
        <v>15822.0</v>
      </c>
      <c r="G77" s="37">
        <f t="shared" si="1"/>
        <v>69.84531143</v>
      </c>
      <c r="H77" s="27" t="s">
        <v>3577</v>
      </c>
      <c r="I77" s="33">
        <v>40957.0</v>
      </c>
      <c r="J77" s="16" t="s">
        <v>146</v>
      </c>
      <c r="K77" s="8" t="s">
        <v>3578</v>
      </c>
      <c r="L77" s="1">
        <v>0.0</v>
      </c>
      <c r="M77" s="1">
        <v>0.0</v>
      </c>
      <c r="N77" s="1" t="s">
        <v>140</v>
      </c>
      <c r="O77" s="16" t="s">
        <v>390</v>
      </c>
      <c r="R77" s="1">
        <v>0.0</v>
      </c>
    </row>
    <row r="78">
      <c r="A78" s="3">
        <v>41333.0</v>
      </c>
      <c r="B78" s="5">
        <v>77.0</v>
      </c>
      <c r="C78" s="8" t="s">
        <v>3579</v>
      </c>
      <c r="D78" s="1">
        <f>IFERROR(__xludf.DUMMYFUNCTION("IF(C78="""", 0, COUNTA(SPLIT(C78, "" "")))"),3.0)</f>
        <v>3</v>
      </c>
      <c r="E78" s="8" t="s">
        <v>3580</v>
      </c>
      <c r="F78" s="12">
        <v>19532.0</v>
      </c>
      <c r="G78" s="37">
        <f t="shared" si="1"/>
        <v>59.68788501</v>
      </c>
      <c r="H78" s="27" t="s">
        <v>3581</v>
      </c>
      <c r="I78" s="33">
        <v>40957.0</v>
      </c>
      <c r="J78" s="16" t="s">
        <v>146</v>
      </c>
      <c r="K78" s="8" t="s">
        <v>3582</v>
      </c>
      <c r="L78" s="1">
        <v>0.0</v>
      </c>
      <c r="M78" s="1">
        <v>0.0</v>
      </c>
      <c r="N78" s="1" t="s">
        <v>140</v>
      </c>
      <c r="O78" s="16" t="s">
        <v>155</v>
      </c>
      <c r="R78" s="1">
        <v>0.0</v>
      </c>
    </row>
    <row r="79">
      <c r="A79" s="3">
        <v>41333.0</v>
      </c>
      <c r="B79" s="5">
        <v>78.0</v>
      </c>
      <c r="C79" s="8" t="s">
        <v>3583</v>
      </c>
      <c r="D79" s="1">
        <f>IFERROR(__xludf.DUMMYFUNCTION("IF(C79="""", 0, COUNTA(SPLIT(C79, "" "")))"),2.0)</f>
        <v>2</v>
      </c>
      <c r="E79" s="8" t="s">
        <v>3584</v>
      </c>
      <c r="F79" s="12">
        <v>17223.0</v>
      </c>
      <c r="G79" s="37">
        <f t="shared" si="1"/>
        <v>66.00958248</v>
      </c>
      <c r="H79" s="27" t="s">
        <v>3585</v>
      </c>
      <c r="I79" s="33">
        <v>40957.0</v>
      </c>
      <c r="J79" s="16" t="s">
        <v>146</v>
      </c>
      <c r="K79" s="8" t="s">
        <v>3586</v>
      </c>
      <c r="L79" s="1">
        <v>0.0</v>
      </c>
      <c r="M79" s="1">
        <v>0.0</v>
      </c>
      <c r="N79" s="1" t="s">
        <v>140</v>
      </c>
      <c r="O79" s="16" t="s">
        <v>27</v>
      </c>
      <c r="R79" s="1">
        <v>0.0</v>
      </c>
    </row>
    <row r="80">
      <c r="A80" s="3">
        <v>41333.0</v>
      </c>
      <c r="B80" s="5">
        <v>79.0</v>
      </c>
      <c r="C80" s="8" t="s">
        <v>3587</v>
      </c>
      <c r="D80" s="1">
        <f>IFERROR(__xludf.DUMMYFUNCTION("IF(C80="""", 0, COUNTA(SPLIT(C80, "" "")))"),3.0)</f>
        <v>3</v>
      </c>
      <c r="E80" s="8" t="s">
        <v>3588</v>
      </c>
      <c r="F80" s="12">
        <v>18300.0</v>
      </c>
      <c r="G80" s="37">
        <f t="shared" si="1"/>
        <v>63.06091718</v>
      </c>
      <c r="H80" s="27" t="s">
        <v>3589</v>
      </c>
      <c r="I80" s="33">
        <v>40957.0</v>
      </c>
      <c r="J80" s="16" t="s">
        <v>146</v>
      </c>
      <c r="K80" s="8" t="s">
        <v>3590</v>
      </c>
      <c r="L80" s="1">
        <v>0.0</v>
      </c>
      <c r="M80" s="1">
        <v>0.0</v>
      </c>
      <c r="N80" s="1" t="s">
        <v>140</v>
      </c>
      <c r="O80" s="16" t="s">
        <v>167</v>
      </c>
      <c r="R80" s="1">
        <v>0.0</v>
      </c>
    </row>
    <row r="81">
      <c r="A81" s="3">
        <v>41333.0</v>
      </c>
      <c r="B81" s="5">
        <v>80.0</v>
      </c>
      <c r="C81" s="8" t="s">
        <v>3591</v>
      </c>
      <c r="D81" s="1">
        <f>IFERROR(__xludf.DUMMYFUNCTION("IF(C81="""", 0, COUNTA(SPLIT(C81, "" "")))"),3.0)</f>
        <v>3</v>
      </c>
      <c r="E81" s="8" t="s">
        <v>3592</v>
      </c>
      <c r="F81" s="12">
        <v>20685.0</v>
      </c>
      <c r="G81" s="37">
        <f t="shared" si="1"/>
        <v>56.53114305</v>
      </c>
      <c r="H81" s="27" t="s">
        <v>3593</v>
      </c>
      <c r="I81" s="33">
        <v>40957.0</v>
      </c>
      <c r="J81" s="16" t="s">
        <v>146</v>
      </c>
      <c r="K81" s="8" t="s">
        <v>3594</v>
      </c>
      <c r="L81" s="1">
        <v>0.0</v>
      </c>
      <c r="M81" s="1">
        <v>0.0</v>
      </c>
      <c r="N81" s="1" t="s">
        <v>140</v>
      </c>
      <c r="O81" s="16" t="s">
        <v>159</v>
      </c>
      <c r="R81" s="1">
        <v>0.0</v>
      </c>
    </row>
    <row r="82">
      <c r="A82" s="3">
        <v>41333.0</v>
      </c>
      <c r="B82" s="5">
        <v>81.0</v>
      </c>
      <c r="C82" s="8" t="s">
        <v>3595</v>
      </c>
      <c r="D82" s="1">
        <f>IFERROR(__xludf.DUMMYFUNCTION("IF(C82="""", 0, COUNTA(SPLIT(C82, "" "")))"),3.0)</f>
        <v>3</v>
      </c>
      <c r="E82" s="8" t="s">
        <v>3596</v>
      </c>
      <c r="F82" s="12">
        <v>14457.0</v>
      </c>
      <c r="G82" s="37">
        <f t="shared" si="1"/>
        <v>73.58247775</v>
      </c>
      <c r="H82" s="27" t="s">
        <v>3597</v>
      </c>
      <c r="I82" s="33">
        <v>40957.0</v>
      </c>
      <c r="J82" s="16" t="s">
        <v>146</v>
      </c>
      <c r="K82" s="8" t="s">
        <v>3598</v>
      </c>
      <c r="L82" s="1">
        <v>0.0</v>
      </c>
      <c r="M82" s="1">
        <v>0.0</v>
      </c>
      <c r="N82" s="1" t="s">
        <v>140</v>
      </c>
      <c r="O82" s="16" t="s">
        <v>406</v>
      </c>
      <c r="R82" s="1">
        <v>0.0</v>
      </c>
    </row>
    <row r="83">
      <c r="A83" s="3">
        <v>41333.0</v>
      </c>
      <c r="B83" s="5">
        <v>82.0</v>
      </c>
      <c r="C83" s="8" t="s">
        <v>3599</v>
      </c>
      <c r="D83" s="1">
        <f>IFERROR(__xludf.DUMMYFUNCTION("IF(C83="""", 0, COUNTA(SPLIT(C83, "" "")))"),3.0)</f>
        <v>3</v>
      </c>
      <c r="E83" s="8" t="s">
        <v>3600</v>
      </c>
      <c r="F83" s="12">
        <v>21716.0</v>
      </c>
      <c r="G83" s="37">
        <f t="shared" si="1"/>
        <v>53.70841889</v>
      </c>
      <c r="H83" s="27" t="s">
        <v>3601</v>
      </c>
      <c r="I83" s="33">
        <v>41237.0</v>
      </c>
      <c r="J83" s="16" t="s">
        <v>146</v>
      </c>
      <c r="K83" s="8" t="s">
        <v>3602</v>
      </c>
      <c r="L83" s="1">
        <v>0.0</v>
      </c>
      <c r="M83" s="1">
        <v>0.0</v>
      </c>
      <c r="N83" s="1" t="s">
        <v>140</v>
      </c>
      <c r="O83" s="16" t="s">
        <v>383</v>
      </c>
      <c r="R83" s="1">
        <v>0.0</v>
      </c>
    </row>
    <row r="84">
      <c r="A84" s="3">
        <v>41333.0</v>
      </c>
      <c r="B84" s="5">
        <v>83.0</v>
      </c>
      <c r="C84" s="8" t="s">
        <v>3603</v>
      </c>
      <c r="D84" s="1">
        <f>IFERROR(__xludf.DUMMYFUNCTION("IF(C84="""", 0, COUNTA(SPLIT(C84, "" "")))"),3.0)</f>
        <v>3</v>
      </c>
      <c r="E84" s="8" t="s">
        <v>3604</v>
      </c>
      <c r="F84" s="12">
        <v>16100.0</v>
      </c>
      <c r="G84" s="37">
        <f t="shared" si="1"/>
        <v>69.08418891</v>
      </c>
      <c r="H84" s="27" t="s">
        <v>3605</v>
      </c>
      <c r="I84" s="33">
        <v>41237.0</v>
      </c>
      <c r="J84" s="16" t="s">
        <v>146</v>
      </c>
      <c r="K84" s="8" t="s">
        <v>3606</v>
      </c>
      <c r="L84" s="1">
        <v>0.0</v>
      </c>
      <c r="M84" s="1">
        <v>0.0</v>
      </c>
      <c r="N84" s="1" t="s">
        <v>140</v>
      </c>
      <c r="O84" s="16" t="s">
        <v>167</v>
      </c>
      <c r="R84" s="1">
        <v>0.0</v>
      </c>
    </row>
    <row r="85">
      <c r="A85" s="3">
        <v>41333.0</v>
      </c>
      <c r="B85" s="5">
        <v>84.0</v>
      </c>
      <c r="C85" s="8" t="s">
        <v>3607</v>
      </c>
      <c r="D85" s="1">
        <f>IFERROR(__xludf.DUMMYFUNCTION("IF(C85="""", 0, COUNTA(SPLIT(C85, "" "")))"),3.0)</f>
        <v>3</v>
      </c>
      <c r="E85" s="8" t="s">
        <v>3608</v>
      </c>
      <c r="F85" s="12">
        <v>15606.0</v>
      </c>
      <c r="G85" s="37">
        <f t="shared" si="1"/>
        <v>70.4366872</v>
      </c>
      <c r="H85" s="27" t="s">
        <v>3609</v>
      </c>
      <c r="I85" s="33">
        <v>41237.0</v>
      </c>
      <c r="J85" s="16" t="s">
        <v>146</v>
      </c>
      <c r="K85" s="8" t="s">
        <v>3610</v>
      </c>
      <c r="L85" s="1">
        <v>0.0</v>
      </c>
      <c r="M85" s="1">
        <v>0.0</v>
      </c>
      <c r="N85" s="1" t="s">
        <v>140</v>
      </c>
      <c r="O85" s="16" t="s">
        <v>163</v>
      </c>
      <c r="R85" s="1">
        <v>0.0</v>
      </c>
    </row>
    <row r="86">
      <c r="A86" s="3">
        <v>41333.0</v>
      </c>
      <c r="B86" s="5">
        <v>85.0</v>
      </c>
      <c r="C86" s="8" t="s">
        <v>3611</v>
      </c>
      <c r="D86" s="1">
        <f>IFERROR(__xludf.DUMMYFUNCTION("IF(C86="""", 0, COUNTA(SPLIT(C86, "" "")))"),4.0)</f>
        <v>4</v>
      </c>
      <c r="E86" s="8" t="s">
        <v>3612</v>
      </c>
      <c r="F86" s="12">
        <v>20992.0</v>
      </c>
      <c r="G86" s="37">
        <f t="shared" si="1"/>
        <v>55.69062286</v>
      </c>
      <c r="H86" s="27" t="s">
        <v>3613</v>
      </c>
      <c r="I86" s="33">
        <v>41237.0</v>
      </c>
      <c r="J86" s="16" t="s">
        <v>146</v>
      </c>
      <c r="K86" s="8" t="s">
        <v>3614</v>
      </c>
      <c r="L86" s="1">
        <v>0.0</v>
      </c>
      <c r="M86" s="1">
        <v>1.0</v>
      </c>
      <c r="N86" s="1" t="s">
        <v>140</v>
      </c>
      <c r="O86" s="16" t="s">
        <v>419</v>
      </c>
      <c r="R86" s="1">
        <v>0.0</v>
      </c>
    </row>
    <row r="87">
      <c r="A87" s="3">
        <v>41333.0</v>
      </c>
      <c r="B87" s="5">
        <v>86.0</v>
      </c>
      <c r="C87" s="8" t="s">
        <v>3615</v>
      </c>
      <c r="D87" s="1">
        <f>IFERROR(__xludf.DUMMYFUNCTION("IF(C87="""", 0, COUNTA(SPLIT(C87, "" "")))"),2.0)</f>
        <v>2</v>
      </c>
      <c r="E87" s="8" t="s">
        <v>3616</v>
      </c>
      <c r="F87" s="12">
        <v>15801.0</v>
      </c>
      <c r="G87" s="37">
        <f t="shared" si="1"/>
        <v>69.9028063</v>
      </c>
      <c r="H87" s="27" t="s">
        <v>3617</v>
      </c>
      <c r="I87" s="33">
        <v>37915.0</v>
      </c>
      <c r="J87" s="16" t="s">
        <v>138</v>
      </c>
      <c r="K87" s="8" t="s">
        <v>3618</v>
      </c>
      <c r="L87" s="1">
        <v>0.0</v>
      </c>
      <c r="M87" s="1">
        <v>0.0</v>
      </c>
      <c r="N87" s="1" t="s">
        <v>140</v>
      </c>
      <c r="O87" s="16" t="s">
        <v>174</v>
      </c>
      <c r="R87" s="1">
        <v>0.0</v>
      </c>
    </row>
    <row r="88">
      <c r="A88" s="3">
        <v>41333.0</v>
      </c>
      <c r="B88" s="5">
        <v>87.0</v>
      </c>
      <c r="C88" s="8" t="s">
        <v>3619</v>
      </c>
      <c r="D88" s="1">
        <f>IFERROR(__xludf.DUMMYFUNCTION("IF(C88="""", 0, COUNTA(SPLIT(C88, "" "")))"),2.0)</f>
        <v>2</v>
      </c>
      <c r="E88" s="8" t="s">
        <v>3620</v>
      </c>
      <c r="F88" s="12">
        <v>13590.0</v>
      </c>
      <c r="G88" s="37">
        <f t="shared" si="1"/>
        <v>75.95619439</v>
      </c>
      <c r="H88" s="27" t="s">
        <v>3621</v>
      </c>
      <c r="I88" s="33">
        <v>37915.0</v>
      </c>
      <c r="J88" s="16" t="s">
        <v>138</v>
      </c>
      <c r="K88" s="8" t="s">
        <v>3622</v>
      </c>
      <c r="L88" s="1">
        <v>0.0</v>
      </c>
      <c r="M88" s="1">
        <v>0.0</v>
      </c>
      <c r="N88" s="1" t="s">
        <v>140</v>
      </c>
      <c r="O88" s="16" t="s">
        <v>27</v>
      </c>
      <c r="R88" s="1">
        <v>0.0</v>
      </c>
    </row>
    <row r="89">
      <c r="A89" s="3">
        <v>41333.0</v>
      </c>
      <c r="B89" s="5">
        <v>88.0</v>
      </c>
      <c r="C89" s="8" t="s">
        <v>3623</v>
      </c>
      <c r="D89" s="1">
        <f>IFERROR(__xludf.DUMMYFUNCTION("IF(C89="""", 0, COUNTA(SPLIT(C89, "" "")))"),3.0)</f>
        <v>3</v>
      </c>
      <c r="E89" s="8" t="s">
        <v>3624</v>
      </c>
      <c r="F89" s="12">
        <v>13316.0</v>
      </c>
      <c r="G89" s="37">
        <f t="shared" si="1"/>
        <v>76.7063655</v>
      </c>
      <c r="H89" s="27" t="s">
        <v>3625</v>
      </c>
      <c r="I89" s="33">
        <v>38800.0</v>
      </c>
      <c r="J89" s="16" t="s">
        <v>146</v>
      </c>
      <c r="K89" s="8" t="s">
        <v>3626</v>
      </c>
      <c r="L89" s="1">
        <v>0.0</v>
      </c>
      <c r="M89" s="1">
        <v>0.0</v>
      </c>
      <c r="N89" s="1" t="s">
        <v>140</v>
      </c>
      <c r="O89" s="16" t="s">
        <v>167</v>
      </c>
      <c r="R89" s="1">
        <v>0.0</v>
      </c>
    </row>
    <row r="90">
      <c r="A90" s="3">
        <v>41333.0</v>
      </c>
      <c r="B90" s="5">
        <v>89.0</v>
      </c>
      <c r="C90" s="8" t="s">
        <v>3627</v>
      </c>
      <c r="D90" s="1">
        <f>IFERROR(__xludf.DUMMYFUNCTION("IF(C90="""", 0, COUNTA(SPLIT(C90, "" "")))"),3.0)</f>
        <v>3</v>
      </c>
      <c r="E90" s="8" t="s">
        <v>3628</v>
      </c>
      <c r="F90" s="12">
        <v>12685.0</v>
      </c>
      <c r="G90" s="37">
        <f t="shared" si="1"/>
        <v>78.43394935</v>
      </c>
      <c r="H90" s="27" t="s">
        <v>3629</v>
      </c>
      <c r="I90" s="33">
        <v>38800.0</v>
      </c>
      <c r="J90" s="16" t="s">
        <v>146</v>
      </c>
      <c r="K90" s="8" t="s">
        <v>3630</v>
      </c>
      <c r="L90" s="1">
        <v>0.0</v>
      </c>
      <c r="M90" s="1">
        <v>0.0</v>
      </c>
      <c r="N90" s="1" t="s">
        <v>140</v>
      </c>
      <c r="O90" s="16" t="s">
        <v>433</v>
      </c>
      <c r="R90" s="1">
        <v>0.0</v>
      </c>
    </row>
    <row r="91">
      <c r="A91" s="3">
        <v>41333.0</v>
      </c>
      <c r="B91" s="5">
        <v>90.0</v>
      </c>
      <c r="C91" s="8" t="s">
        <v>3631</v>
      </c>
      <c r="D91" s="1">
        <f>IFERROR(__xludf.DUMMYFUNCTION("IF(C91="""", 0, COUNTA(SPLIT(C91, "" "")))"),2.0)</f>
        <v>2</v>
      </c>
      <c r="E91" s="8" t="s">
        <v>3632</v>
      </c>
      <c r="F91" s="12">
        <v>16028.0</v>
      </c>
      <c r="G91" s="37">
        <f t="shared" si="1"/>
        <v>69.28131417</v>
      </c>
      <c r="H91" s="27" t="s">
        <v>3633</v>
      </c>
      <c r="I91" s="33">
        <v>39410.0</v>
      </c>
      <c r="J91" s="16" t="s">
        <v>146</v>
      </c>
      <c r="K91" s="8" t="s">
        <v>3634</v>
      </c>
      <c r="L91" s="1">
        <v>0.0</v>
      </c>
      <c r="M91" s="1">
        <v>0.0</v>
      </c>
      <c r="N91" s="1" t="s">
        <v>140</v>
      </c>
      <c r="O91" s="16" t="s">
        <v>163</v>
      </c>
      <c r="R91" s="1">
        <v>0.0</v>
      </c>
    </row>
    <row r="92">
      <c r="A92" s="3">
        <v>41333.0</v>
      </c>
      <c r="B92" s="5">
        <v>91.0</v>
      </c>
      <c r="C92" s="8" t="s">
        <v>3635</v>
      </c>
      <c r="D92" s="1">
        <f>IFERROR(__xludf.DUMMYFUNCTION("IF(C92="""", 0, COUNTA(SPLIT(C92, "" "")))"),2.0)</f>
        <v>2</v>
      </c>
      <c r="E92" s="8" t="s">
        <v>3636</v>
      </c>
      <c r="F92" s="12">
        <v>12787.0</v>
      </c>
      <c r="G92" s="37">
        <f t="shared" si="1"/>
        <v>78.15468857</v>
      </c>
      <c r="H92" s="27" t="s">
        <v>3637</v>
      </c>
      <c r="I92" s="33">
        <v>39410.0</v>
      </c>
      <c r="J92" s="16" t="s">
        <v>146</v>
      </c>
      <c r="K92" s="8" t="s">
        <v>3638</v>
      </c>
      <c r="L92" s="1">
        <v>0.0</v>
      </c>
      <c r="M92" s="1">
        <v>0.0</v>
      </c>
      <c r="N92" s="1" t="s">
        <v>140</v>
      </c>
      <c r="O92" s="16" t="s">
        <v>27</v>
      </c>
      <c r="R92" s="1">
        <v>0.0</v>
      </c>
    </row>
    <row r="93">
      <c r="A93" s="3">
        <v>41333.0</v>
      </c>
      <c r="B93" s="5">
        <v>92.0</v>
      </c>
      <c r="C93" s="8" t="s">
        <v>3639</v>
      </c>
      <c r="D93" s="1">
        <f>IFERROR(__xludf.DUMMYFUNCTION("IF(C93="""", 0, COUNTA(SPLIT(C93, "" "")))"),3.0)</f>
        <v>3</v>
      </c>
      <c r="E93" s="8" t="s">
        <v>3640</v>
      </c>
      <c r="F93" s="12">
        <v>12667.0</v>
      </c>
      <c r="G93" s="37">
        <f t="shared" si="1"/>
        <v>78.48323066</v>
      </c>
      <c r="H93" s="27" t="s">
        <v>3641</v>
      </c>
      <c r="I93" s="33">
        <v>39410.0</v>
      </c>
      <c r="J93" s="16" t="s">
        <v>146</v>
      </c>
      <c r="K93" s="8" t="s">
        <v>3642</v>
      </c>
      <c r="L93" s="1">
        <v>0.0</v>
      </c>
      <c r="M93" s="1">
        <v>0.0</v>
      </c>
      <c r="N93" s="1" t="s">
        <v>140</v>
      </c>
      <c r="O93" s="16" t="s">
        <v>159</v>
      </c>
      <c r="R93" s="1">
        <v>0.0</v>
      </c>
    </row>
    <row r="94">
      <c r="A94" s="3">
        <v>41333.0</v>
      </c>
      <c r="B94" s="5">
        <v>93.0</v>
      </c>
      <c r="C94" s="8" t="s">
        <v>3643</v>
      </c>
      <c r="D94" s="1">
        <f>IFERROR(__xludf.DUMMYFUNCTION("IF(C94="""", 0, COUNTA(SPLIT(C94, "" "")))"),2.0)</f>
        <v>2</v>
      </c>
      <c r="E94" s="8" t="s">
        <v>3644</v>
      </c>
      <c r="F94" s="12">
        <v>15966.0</v>
      </c>
      <c r="G94" s="37">
        <f t="shared" si="1"/>
        <v>69.45106092</v>
      </c>
      <c r="H94" s="27" t="s">
        <v>3645</v>
      </c>
      <c r="I94" s="33">
        <v>39410.0</v>
      </c>
      <c r="J94" s="16" t="s">
        <v>146</v>
      </c>
      <c r="K94" s="8" t="s">
        <v>3646</v>
      </c>
      <c r="L94" s="1">
        <v>0.0</v>
      </c>
      <c r="M94" s="1">
        <v>0.0</v>
      </c>
      <c r="N94" s="1" t="s">
        <v>140</v>
      </c>
      <c r="O94" s="16" t="s">
        <v>27</v>
      </c>
      <c r="R94" s="1">
        <v>0.0</v>
      </c>
    </row>
    <row r="95">
      <c r="A95" s="3">
        <v>41333.0</v>
      </c>
      <c r="B95" s="5">
        <v>94.0</v>
      </c>
      <c r="C95" s="8" t="s">
        <v>3647</v>
      </c>
      <c r="D95" s="1">
        <f>IFERROR(__xludf.DUMMYFUNCTION("IF(C95="""", 0, COUNTA(SPLIT(C95, "" "")))"),2.0)</f>
        <v>2</v>
      </c>
      <c r="E95" s="8" t="s">
        <v>3648</v>
      </c>
      <c r="F95" s="12">
        <v>16622.0</v>
      </c>
      <c r="G95" s="37">
        <f t="shared" si="1"/>
        <v>67.6550308</v>
      </c>
      <c r="H95" s="27" t="s">
        <v>3649</v>
      </c>
      <c r="I95" s="33">
        <v>39410.0</v>
      </c>
      <c r="J95" s="16" t="s">
        <v>146</v>
      </c>
      <c r="K95" s="8" t="s">
        <v>3650</v>
      </c>
      <c r="L95" s="1">
        <v>0.0</v>
      </c>
      <c r="M95" s="1">
        <v>0.0</v>
      </c>
      <c r="N95" s="1" t="s">
        <v>140</v>
      </c>
      <c r="O95" s="16" t="s">
        <v>204</v>
      </c>
      <c r="R95" s="1">
        <v>0.0</v>
      </c>
    </row>
    <row r="96">
      <c r="A96" s="3">
        <v>41333.0</v>
      </c>
      <c r="B96" s="5">
        <v>95.0</v>
      </c>
      <c r="C96" s="17" t="s">
        <v>3651</v>
      </c>
      <c r="D96" s="1">
        <f>IFERROR(__xludf.DUMMYFUNCTION("IF(C96="""", 0, COUNTA(SPLIT(C96, "" "")))"),2.0)</f>
        <v>2</v>
      </c>
      <c r="E96" s="8" t="s">
        <v>3652</v>
      </c>
      <c r="F96" s="12">
        <v>12321.0</v>
      </c>
      <c r="G96" s="37">
        <f t="shared" si="1"/>
        <v>79.43052704</v>
      </c>
      <c r="H96" s="27" t="s">
        <v>3653</v>
      </c>
      <c r="I96" s="33">
        <v>39410.0</v>
      </c>
      <c r="J96" s="16" t="s">
        <v>146</v>
      </c>
      <c r="K96" s="8" t="s">
        <v>3654</v>
      </c>
      <c r="L96" s="1">
        <v>0.0</v>
      </c>
      <c r="M96" s="1">
        <v>0.0</v>
      </c>
      <c r="N96" s="1" t="s">
        <v>140</v>
      </c>
      <c r="O96" s="16" t="s">
        <v>27</v>
      </c>
      <c r="R96" s="1">
        <v>0.0</v>
      </c>
    </row>
    <row r="97">
      <c r="A97" s="3">
        <v>41333.0</v>
      </c>
      <c r="B97" s="5">
        <v>96.0</v>
      </c>
      <c r="C97" s="17" t="s">
        <v>3655</v>
      </c>
      <c r="D97" s="1">
        <f>IFERROR(__xludf.DUMMYFUNCTION("IF(C97="""", 0, COUNTA(SPLIT(C97, "" "")))"),2.0)</f>
        <v>2</v>
      </c>
      <c r="E97" s="8" t="s">
        <v>3656</v>
      </c>
      <c r="F97" s="12">
        <v>14039.0</v>
      </c>
      <c r="G97" s="37">
        <f t="shared" si="1"/>
        <v>74.72689938</v>
      </c>
      <c r="H97" s="27" t="s">
        <v>3657</v>
      </c>
      <c r="I97" s="33">
        <v>40502.0</v>
      </c>
      <c r="J97" s="16" t="s">
        <v>146</v>
      </c>
      <c r="K97" s="8" t="s">
        <v>3658</v>
      </c>
      <c r="L97" s="1">
        <v>0.0</v>
      </c>
      <c r="M97" s="1">
        <v>0.0</v>
      </c>
      <c r="N97" s="1" t="s">
        <v>140</v>
      </c>
      <c r="O97" s="16" t="s">
        <v>27</v>
      </c>
      <c r="R97" s="1">
        <v>0.0</v>
      </c>
    </row>
    <row r="98">
      <c r="A98" s="3">
        <v>41333.0</v>
      </c>
      <c r="B98" s="5">
        <v>97.0</v>
      </c>
      <c r="C98" s="8" t="s">
        <v>3659</v>
      </c>
      <c r="D98" s="1">
        <f>IFERROR(__xludf.DUMMYFUNCTION("IF(C98="""", 0, COUNTA(SPLIT(C98, "" "")))"),2.0)</f>
        <v>2</v>
      </c>
      <c r="E98" s="8" t="s">
        <v>3660</v>
      </c>
      <c r="F98" s="12">
        <v>16603.0</v>
      </c>
      <c r="G98" s="37">
        <f t="shared" si="1"/>
        <v>67.70704997</v>
      </c>
      <c r="H98" s="27" t="s">
        <v>3661</v>
      </c>
      <c r="I98" s="33">
        <v>40502.0</v>
      </c>
      <c r="J98" s="16" t="s">
        <v>146</v>
      </c>
      <c r="K98" s="8" t="s">
        <v>3662</v>
      </c>
      <c r="L98" s="1">
        <v>0.0</v>
      </c>
      <c r="M98" s="1">
        <v>0.0</v>
      </c>
      <c r="N98" s="1" t="s">
        <v>140</v>
      </c>
      <c r="O98" s="16" t="s">
        <v>174</v>
      </c>
      <c r="R98" s="1">
        <v>0.0</v>
      </c>
    </row>
    <row r="99">
      <c r="A99" s="3">
        <v>41333.0</v>
      </c>
      <c r="B99" s="5">
        <v>98.0</v>
      </c>
      <c r="C99" s="8" t="s">
        <v>3663</v>
      </c>
      <c r="D99" s="1">
        <f>IFERROR(__xludf.DUMMYFUNCTION("IF(C99="""", 0, COUNTA(SPLIT(C99, "" "")))"),2.0)</f>
        <v>2</v>
      </c>
      <c r="E99" s="8" t="s">
        <v>3664</v>
      </c>
      <c r="F99" s="12">
        <v>12567.0</v>
      </c>
      <c r="G99" s="37">
        <f t="shared" si="1"/>
        <v>78.75701574</v>
      </c>
      <c r="H99" s="27" t="s">
        <v>3665</v>
      </c>
      <c r="I99" s="33">
        <v>40502.0</v>
      </c>
      <c r="J99" s="16" t="s">
        <v>146</v>
      </c>
      <c r="K99" s="8" t="s">
        <v>3666</v>
      </c>
      <c r="L99" s="1">
        <v>0.0</v>
      </c>
      <c r="M99" s="1">
        <v>0.0</v>
      </c>
      <c r="N99" s="1" t="s">
        <v>140</v>
      </c>
      <c r="O99" s="16" t="s">
        <v>27</v>
      </c>
      <c r="R99" s="1">
        <v>0.0</v>
      </c>
    </row>
    <row r="100">
      <c r="A100" s="3">
        <v>41333.0</v>
      </c>
      <c r="B100" s="5">
        <v>99.0</v>
      </c>
      <c r="C100" s="8" t="s">
        <v>3667</v>
      </c>
      <c r="D100" s="1">
        <f>IFERROR(__xludf.DUMMYFUNCTION("IF(C100="""", 0, COUNTA(SPLIT(C100, "" "")))"),3.0)</f>
        <v>3</v>
      </c>
      <c r="E100" s="8" t="s">
        <v>3668</v>
      </c>
      <c r="F100" s="12">
        <v>17714.0</v>
      </c>
      <c r="G100" s="37">
        <f t="shared" si="1"/>
        <v>64.66529774</v>
      </c>
      <c r="H100" s="27" t="s">
        <v>3669</v>
      </c>
      <c r="I100" s="33">
        <v>40502.0</v>
      </c>
      <c r="J100" s="16" t="s">
        <v>146</v>
      </c>
      <c r="K100" s="8" t="s">
        <v>3670</v>
      </c>
      <c r="L100" s="1">
        <v>0.0</v>
      </c>
      <c r="M100" s="1">
        <v>0.0</v>
      </c>
      <c r="N100" s="1" t="s">
        <v>140</v>
      </c>
      <c r="O100" s="16" t="s">
        <v>167</v>
      </c>
      <c r="R100" s="1">
        <v>0.0</v>
      </c>
    </row>
    <row r="101">
      <c r="A101" s="3">
        <v>41333.0</v>
      </c>
      <c r="B101" s="5">
        <v>100.0</v>
      </c>
      <c r="C101" s="8" t="s">
        <v>3671</v>
      </c>
      <c r="D101" s="1">
        <f>IFERROR(__xludf.DUMMYFUNCTION("IF(C101="""", 0, COUNTA(SPLIT(C101, "" "")))"),2.0)</f>
        <v>2</v>
      </c>
      <c r="E101" s="8" t="s">
        <v>3672</v>
      </c>
      <c r="F101" s="12">
        <v>18337.0</v>
      </c>
      <c r="G101" s="37">
        <f t="shared" si="1"/>
        <v>62.9596167</v>
      </c>
      <c r="H101" s="27" t="s">
        <v>3673</v>
      </c>
      <c r="I101" s="33">
        <v>40502.0</v>
      </c>
      <c r="J101" s="16" t="s">
        <v>146</v>
      </c>
      <c r="K101" s="8" t="s">
        <v>3674</v>
      </c>
      <c r="L101" s="1">
        <v>0.0</v>
      </c>
      <c r="M101" s="1">
        <v>0.0</v>
      </c>
      <c r="N101" s="1" t="s">
        <v>140</v>
      </c>
      <c r="O101" s="16" t="s">
        <v>159</v>
      </c>
      <c r="R101" s="1">
        <v>0.0</v>
      </c>
    </row>
    <row r="102">
      <c r="A102" s="3">
        <v>41333.0</v>
      </c>
      <c r="B102" s="5">
        <v>101.0</v>
      </c>
      <c r="C102" s="8" t="s">
        <v>3675</v>
      </c>
      <c r="D102" s="1">
        <f>IFERROR(__xludf.DUMMYFUNCTION("IF(C102="""", 0, COUNTA(SPLIT(C102, "" "")))"),2.0)</f>
        <v>2</v>
      </c>
      <c r="E102" s="8" t="s">
        <v>3676</v>
      </c>
      <c r="F102" s="12">
        <v>12663.0</v>
      </c>
      <c r="G102" s="37">
        <f t="shared" si="1"/>
        <v>78.49418207</v>
      </c>
      <c r="H102" s="27" t="s">
        <v>3677</v>
      </c>
      <c r="I102" s="33">
        <v>40502.0</v>
      </c>
      <c r="J102" s="16" t="s">
        <v>146</v>
      </c>
      <c r="K102" s="8" t="s">
        <v>3678</v>
      </c>
      <c r="L102" s="1">
        <v>0.0</v>
      </c>
      <c r="M102" s="1">
        <v>0.0</v>
      </c>
      <c r="N102" s="1" t="s">
        <v>140</v>
      </c>
      <c r="O102" s="16" t="s">
        <v>27</v>
      </c>
      <c r="R102" s="1">
        <v>0.0</v>
      </c>
    </row>
    <row r="103">
      <c r="A103" s="3">
        <v>41333.0</v>
      </c>
      <c r="B103" s="5">
        <v>102.0</v>
      </c>
      <c r="C103" s="8" t="s">
        <v>3679</v>
      </c>
      <c r="D103" s="1">
        <f>IFERROR(__xludf.DUMMYFUNCTION("IF(C103="""", 0, COUNTA(SPLIT(C103, "" "")))"),2.0)</f>
        <v>2</v>
      </c>
      <c r="E103" s="8" t="s">
        <v>3680</v>
      </c>
      <c r="F103" s="12">
        <v>16330.0</v>
      </c>
      <c r="G103" s="37">
        <f t="shared" si="1"/>
        <v>68.45448323</v>
      </c>
      <c r="H103" s="27" t="s">
        <v>3681</v>
      </c>
      <c r="I103" s="33">
        <v>40502.0</v>
      </c>
      <c r="J103" s="16" t="s">
        <v>146</v>
      </c>
      <c r="K103" s="8" t="s">
        <v>3682</v>
      </c>
      <c r="L103" s="1">
        <v>0.0</v>
      </c>
      <c r="M103" s="1">
        <v>0.0</v>
      </c>
      <c r="N103" s="1" t="s">
        <v>140</v>
      </c>
      <c r="O103" s="16" t="s">
        <v>27</v>
      </c>
      <c r="R103" s="1">
        <v>0.0</v>
      </c>
    </row>
    <row r="104">
      <c r="A104" s="3">
        <v>41333.0</v>
      </c>
      <c r="B104" s="5">
        <v>103.0</v>
      </c>
      <c r="C104" s="17" t="s">
        <v>3683</v>
      </c>
      <c r="D104" s="1">
        <f>IFERROR(__xludf.DUMMYFUNCTION("IF(C104="""", 0, COUNTA(SPLIT(C104, "" "")))"),3.0)</f>
        <v>3</v>
      </c>
      <c r="E104" s="8" t="s">
        <v>3684</v>
      </c>
      <c r="F104" s="12">
        <v>13046.0</v>
      </c>
      <c r="G104" s="37">
        <f t="shared" si="1"/>
        <v>77.44558522</v>
      </c>
      <c r="H104" s="27" t="s">
        <v>3685</v>
      </c>
      <c r="I104" s="33">
        <v>40502.0</v>
      </c>
      <c r="J104" s="16" t="s">
        <v>146</v>
      </c>
      <c r="K104" s="8" t="s">
        <v>3686</v>
      </c>
      <c r="L104" s="1">
        <v>0.0</v>
      </c>
      <c r="M104" s="1">
        <v>0.0</v>
      </c>
      <c r="N104" s="1" t="s">
        <v>140</v>
      </c>
      <c r="O104" s="16" t="s">
        <v>27</v>
      </c>
      <c r="R104" s="1">
        <v>0.0</v>
      </c>
    </row>
    <row r="105">
      <c r="A105" s="3">
        <v>41333.0</v>
      </c>
      <c r="B105" s="5">
        <v>104.0</v>
      </c>
      <c r="C105" s="8" t="s">
        <v>3687</v>
      </c>
      <c r="D105" s="1">
        <f>IFERROR(__xludf.DUMMYFUNCTION("IF(C105="""", 0, COUNTA(SPLIT(C105, "" "")))"),2.0)</f>
        <v>2</v>
      </c>
      <c r="E105" s="8" t="s">
        <v>3688</v>
      </c>
      <c r="F105" s="12">
        <v>15632.0</v>
      </c>
      <c r="G105" s="37">
        <f t="shared" si="1"/>
        <v>70.36550308</v>
      </c>
      <c r="H105" s="27" t="s">
        <v>3689</v>
      </c>
      <c r="I105" s="33">
        <v>40502.0</v>
      </c>
      <c r="J105" s="16" t="s">
        <v>146</v>
      </c>
      <c r="K105" s="8" t="s">
        <v>3690</v>
      </c>
      <c r="L105" s="1">
        <v>0.0</v>
      </c>
      <c r="M105" s="1">
        <v>0.0</v>
      </c>
      <c r="N105" s="1" t="s">
        <v>140</v>
      </c>
      <c r="O105" s="16" t="s">
        <v>27</v>
      </c>
      <c r="R105" s="1">
        <v>0.0</v>
      </c>
    </row>
    <row r="106">
      <c r="A106" s="3">
        <v>41333.0</v>
      </c>
      <c r="B106" s="5">
        <v>105.0</v>
      </c>
      <c r="C106" s="8" t="s">
        <v>3691</v>
      </c>
      <c r="D106" s="1">
        <f>IFERROR(__xludf.DUMMYFUNCTION("IF(C106="""", 0, COUNTA(SPLIT(C106, "" "")))"),2.0)</f>
        <v>2</v>
      </c>
      <c r="E106" s="8" t="s">
        <v>3692</v>
      </c>
      <c r="F106" s="12">
        <v>16907.0</v>
      </c>
      <c r="G106" s="37">
        <f t="shared" si="1"/>
        <v>66.87474333</v>
      </c>
      <c r="H106" s="27" t="s">
        <v>3693</v>
      </c>
      <c r="I106" s="33">
        <v>40957.0</v>
      </c>
      <c r="J106" s="16" t="s">
        <v>146</v>
      </c>
      <c r="K106" s="8" t="s">
        <v>3694</v>
      </c>
      <c r="L106" s="1">
        <v>0.0</v>
      </c>
      <c r="M106" s="1">
        <v>0.0</v>
      </c>
      <c r="N106" s="1" t="s">
        <v>140</v>
      </c>
      <c r="O106" s="16" t="s">
        <v>27</v>
      </c>
      <c r="R106" s="1">
        <v>0.0</v>
      </c>
    </row>
    <row r="107">
      <c r="A107" s="3">
        <v>41333.0</v>
      </c>
      <c r="B107" s="5">
        <v>106.0</v>
      </c>
      <c r="C107" s="8" t="s">
        <v>3695</v>
      </c>
      <c r="D107" s="1">
        <f>IFERROR(__xludf.DUMMYFUNCTION("IF(C107="""", 0, COUNTA(SPLIT(C107, "" "")))"),4.0)</f>
        <v>4</v>
      </c>
      <c r="E107" s="8" t="s">
        <v>3696</v>
      </c>
      <c r="F107" s="12">
        <v>13968.0</v>
      </c>
      <c r="G107" s="37">
        <f t="shared" si="1"/>
        <v>74.92128679</v>
      </c>
      <c r="H107" s="27" t="s">
        <v>3697</v>
      </c>
      <c r="I107" s="33">
        <v>40957.0</v>
      </c>
      <c r="J107" s="16" t="s">
        <v>146</v>
      </c>
      <c r="K107" s="8" t="s">
        <v>3698</v>
      </c>
      <c r="L107" s="1">
        <v>0.0</v>
      </c>
      <c r="M107" s="1">
        <v>0.0</v>
      </c>
      <c r="N107" s="1" t="s">
        <v>140</v>
      </c>
      <c r="O107" s="16" t="s">
        <v>218</v>
      </c>
      <c r="R107" s="1">
        <v>0.0</v>
      </c>
    </row>
    <row r="108">
      <c r="A108" s="3">
        <v>41333.0</v>
      </c>
      <c r="B108" s="5">
        <v>107.0</v>
      </c>
      <c r="C108" s="8" t="s">
        <v>3699</v>
      </c>
      <c r="D108" s="1">
        <f>IFERROR(__xludf.DUMMYFUNCTION("IF(C108="""", 0, COUNTA(SPLIT(C108, "" "")))"),4.0)</f>
        <v>4</v>
      </c>
      <c r="E108" s="8" t="s">
        <v>3700</v>
      </c>
      <c r="F108" s="12">
        <v>13048.0</v>
      </c>
      <c r="G108" s="37">
        <f t="shared" si="1"/>
        <v>77.44010951</v>
      </c>
      <c r="H108" s="27" t="s">
        <v>3701</v>
      </c>
      <c r="I108" s="33">
        <v>40957.0</v>
      </c>
      <c r="J108" s="16" t="s">
        <v>146</v>
      </c>
      <c r="K108" s="8" t="s">
        <v>3702</v>
      </c>
      <c r="L108" s="1">
        <v>0.0</v>
      </c>
      <c r="M108" s="1">
        <v>0.0</v>
      </c>
      <c r="N108" s="1" t="s">
        <v>140</v>
      </c>
      <c r="O108" s="16" t="s">
        <v>163</v>
      </c>
      <c r="R108" s="1">
        <v>0.0</v>
      </c>
    </row>
    <row r="109">
      <c r="A109" s="3">
        <v>41333.0</v>
      </c>
      <c r="B109" s="5">
        <v>108.0</v>
      </c>
      <c r="C109" s="8" t="s">
        <v>3703</v>
      </c>
      <c r="D109" s="1">
        <f>IFERROR(__xludf.DUMMYFUNCTION("IF(C109="""", 0, COUNTA(SPLIT(C109, "" "")))"),3.0)</f>
        <v>3</v>
      </c>
      <c r="E109" s="8" t="s">
        <v>3704</v>
      </c>
      <c r="F109" s="12">
        <v>13914.0</v>
      </c>
      <c r="G109" s="37">
        <f t="shared" si="1"/>
        <v>75.06913073</v>
      </c>
      <c r="H109" s="27" t="s">
        <v>3705</v>
      </c>
      <c r="I109" s="33">
        <v>40957.0</v>
      </c>
      <c r="J109" s="16" t="s">
        <v>146</v>
      </c>
      <c r="K109" s="8" t="s">
        <v>3706</v>
      </c>
      <c r="L109" s="1">
        <v>0.0</v>
      </c>
      <c r="M109" s="1">
        <v>0.0</v>
      </c>
      <c r="N109" s="1" t="s">
        <v>140</v>
      </c>
      <c r="O109" s="16" t="s">
        <v>27</v>
      </c>
      <c r="R109" s="1">
        <v>0.0</v>
      </c>
    </row>
    <row r="110">
      <c r="A110" s="3">
        <v>41333.0</v>
      </c>
      <c r="B110" s="5">
        <v>109.0</v>
      </c>
      <c r="C110" s="8" t="s">
        <v>3707</v>
      </c>
      <c r="D110" s="1">
        <f>IFERROR(__xludf.DUMMYFUNCTION("IF(C110="""", 0, COUNTA(SPLIT(C110, "" "")))"),2.0)</f>
        <v>2</v>
      </c>
      <c r="E110" s="8" t="s">
        <v>3708</v>
      </c>
      <c r="F110" s="12">
        <v>15615.0</v>
      </c>
      <c r="G110" s="37">
        <f t="shared" si="1"/>
        <v>70.41204654</v>
      </c>
      <c r="H110" s="27" t="s">
        <v>3709</v>
      </c>
      <c r="I110" s="33">
        <v>40957.0</v>
      </c>
      <c r="J110" s="16" t="s">
        <v>146</v>
      </c>
      <c r="K110" s="8" t="s">
        <v>3710</v>
      </c>
      <c r="L110" s="1">
        <v>0.0</v>
      </c>
      <c r="M110" s="1">
        <v>0.0</v>
      </c>
      <c r="N110" s="1" t="s">
        <v>140</v>
      </c>
      <c r="O110" s="16" t="s">
        <v>27</v>
      </c>
      <c r="R110" s="1">
        <v>0.0</v>
      </c>
    </row>
    <row r="111">
      <c r="A111" s="3">
        <v>41333.0</v>
      </c>
      <c r="B111" s="5">
        <v>110.0</v>
      </c>
      <c r="C111" s="8" t="s">
        <v>3711</v>
      </c>
      <c r="D111" s="1">
        <f>IFERROR(__xludf.DUMMYFUNCTION("IF(C111="""", 0, COUNTA(SPLIT(C111, "" "")))"),2.0)</f>
        <v>2</v>
      </c>
      <c r="E111" s="8" t="s">
        <v>3712</v>
      </c>
      <c r="F111" s="12">
        <v>13945.0</v>
      </c>
      <c r="G111" s="37">
        <f t="shared" si="1"/>
        <v>74.98425736</v>
      </c>
      <c r="H111" s="27" t="s">
        <v>3713</v>
      </c>
      <c r="I111" s="33">
        <v>40957.0</v>
      </c>
      <c r="J111" s="16" t="s">
        <v>146</v>
      </c>
      <c r="K111" s="8" t="s">
        <v>3714</v>
      </c>
      <c r="L111" s="1">
        <v>0.0</v>
      </c>
      <c r="M111" s="1">
        <v>0.0</v>
      </c>
      <c r="N111" s="1" t="s">
        <v>140</v>
      </c>
      <c r="O111" s="16" t="s">
        <v>27</v>
      </c>
      <c r="R111" s="1">
        <v>0.0</v>
      </c>
    </row>
    <row r="112">
      <c r="A112" s="3">
        <v>41333.0</v>
      </c>
      <c r="B112" s="5">
        <v>111.0</v>
      </c>
      <c r="C112" s="8" t="s">
        <v>3715</v>
      </c>
      <c r="D112" s="1">
        <f>IFERROR(__xludf.DUMMYFUNCTION("IF(C112="""", 0, COUNTA(SPLIT(C112, "" "")))"),4.0)</f>
        <v>4</v>
      </c>
      <c r="E112" s="8" t="s">
        <v>3716</v>
      </c>
      <c r="F112" s="12">
        <v>17281.0</v>
      </c>
      <c r="G112" s="37">
        <f t="shared" si="1"/>
        <v>65.85078713</v>
      </c>
      <c r="H112" s="27" t="s">
        <v>3717</v>
      </c>
      <c r="I112" s="33">
        <v>40957.0</v>
      </c>
      <c r="J112" s="16" t="s">
        <v>146</v>
      </c>
      <c r="K112" s="8" t="s">
        <v>3718</v>
      </c>
      <c r="L112" s="1">
        <v>0.0</v>
      </c>
      <c r="M112" s="1">
        <v>0.0</v>
      </c>
      <c r="N112" s="1" t="s">
        <v>140</v>
      </c>
      <c r="O112" s="16" t="s">
        <v>218</v>
      </c>
      <c r="R112" s="1">
        <v>0.0</v>
      </c>
    </row>
    <row r="113">
      <c r="A113" s="3">
        <v>41333.0</v>
      </c>
      <c r="B113" s="5">
        <v>112.0</v>
      </c>
      <c r="C113" s="8" t="s">
        <v>3719</v>
      </c>
      <c r="D113" s="1">
        <f>IFERROR(__xludf.DUMMYFUNCTION("IF(C113="""", 0, COUNTA(SPLIT(C113, "" "")))"),3.0)</f>
        <v>3</v>
      </c>
      <c r="E113" s="8" t="s">
        <v>3720</v>
      </c>
      <c r="F113" s="12">
        <v>14343.0</v>
      </c>
      <c r="G113" s="37">
        <f t="shared" si="1"/>
        <v>73.89459274</v>
      </c>
      <c r="H113" s="27" t="s">
        <v>3721</v>
      </c>
      <c r="I113" s="33">
        <v>40957.0</v>
      </c>
      <c r="J113" s="16" t="s">
        <v>146</v>
      </c>
      <c r="K113" s="8" t="s">
        <v>3722</v>
      </c>
      <c r="L113" s="1">
        <v>0.0</v>
      </c>
      <c r="M113" s="1">
        <v>0.0</v>
      </c>
      <c r="N113" s="1" t="s">
        <v>140</v>
      </c>
      <c r="O113" s="16" t="s">
        <v>167</v>
      </c>
      <c r="R113" s="1">
        <v>0.0</v>
      </c>
    </row>
    <row r="114">
      <c r="A114" s="3">
        <v>41333.0</v>
      </c>
      <c r="B114" s="5">
        <v>113.0</v>
      </c>
      <c r="C114" s="8" t="s">
        <v>3723</v>
      </c>
      <c r="D114" s="1">
        <f>IFERROR(__xludf.DUMMYFUNCTION("IF(C114="""", 0, COUNTA(SPLIT(C114, "" "")))"),2.0)</f>
        <v>2</v>
      </c>
      <c r="E114" s="8" t="s">
        <v>3724</v>
      </c>
      <c r="F114" s="12">
        <v>15740.0</v>
      </c>
      <c r="G114" s="37">
        <f t="shared" si="1"/>
        <v>70.0698152</v>
      </c>
      <c r="H114" s="27" t="s">
        <v>3725</v>
      </c>
      <c r="I114" s="33">
        <v>40957.0</v>
      </c>
      <c r="J114" s="16" t="s">
        <v>146</v>
      </c>
      <c r="K114" s="8" t="s">
        <v>3726</v>
      </c>
      <c r="L114" s="1">
        <v>0.0</v>
      </c>
      <c r="M114" s="1">
        <v>0.0</v>
      </c>
      <c r="N114" s="1" t="s">
        <v>140</v>
      </c>
      <c r="O114" s="16" t="s">
        <v>27</v>
      </c>
      <c r="R114" s="1">
        <v>0.0</v>
      </c>
    </row>
    <row r="115">
      <c r="A115" s="3">
        <v>41333.0</v>
      </c>
      <c r="B115" s="5">
        <v>114.0</v>
      </c>
      <c r="C115" s="8" t="s">
        <v>3727</v>
      </c>
      <c r="D115" s="1">
        <f>IFERROR(__xludf.DUMMYFUNCTION("IF(C115="""", 0, COUNTA(SPLIT(C115, "" "")))"),2.0)</f>
        <v>2</v>
      </c>
      <c r="E115" s="8" t="s">
        <v>3728</v>
      </c>
      <c r="F115" s="12">
        <v>15917.0</v>
      </c>
      <c r="G115" s="37">
        <f t="shared" si="1"/>
        <v>69.58521561</v>
      </c>
      <c r="H115" s="27" t="s">
        <v>3729</v>
      </c>
      <c r="I115" s="33">
        <v>40957.0</v>
      </c>
      <c r="J115" s="16" t="s">
        <v>146</v>
      </c>
      <c r="K115" s="8" t="s">
        <v>3730</v>
      </c>
      <c r="L115" s="1">
        <v>0.0</v>
      </c>
      <c r="M115" s="1">
        <v>0.0</v>
      </c>
      <c r="N115" s="1" t="s">
        <v>140</v>
      </c>
      <c r="O115" s="16" t="s">
        <v>27</v>
      </c>
      <c r="R115" s="1">
        <v>0.0</v>
      </c>
    </row>
    <row r="116">
      <c r="A116" s="3">
        <v>41333.0</v>
      </c>
      <c r="B116" s="5">
        <v>115.0</v>
      </c>
      <c r="C116" s="8" t="s">
        <v>3731</v>
      </c>
      <c r="D116" s="1">
        <f>IFERROR(__xludf.DUMMYFUNCTION("IF(C116="""", 0, COUNTA(SPLIT(C116, "" "")))"),3.0)</f>
        <v>3</v>
      </c>
      <c r="E116" s="8" t="s">
        <v>3732</v>
      </c>
      <c r="F116" s="12">
        <v>18191.0</v>
      </c>
      <c r="G116" s="37">
        <f t="shared" si="1"/>
        <v>63.35934292</v>
      </c>
      <c r="H116" s="27" t="s">
        <v>3733</v>
      </c>
      <c r="I116" s="33">
        <v>41237.0</v>
      </c>
      <c r="J116" s="16" t="s">
        <v>146</v>
      </c>
      <c r="K116" s="8" t="s">
        <v>3734</v>
      </c>
      <c r="L116" s="1">
        <v>0.0</v>
      </c>
      <c r="M116" s="1">
        <v>0.0</v>
      </c>
      <c r="N116" s="1" t="s">
        <v>140</v>
      </c>
      <c r="O116" s="16" t="s">
        <v>167</v>
      </c>
      <c r="R116" s="1">
        <v>0.0</v>
      </c>
    </row>
    <row r="117">
      <c r="A117" s="3">
        <v>38444.0</v>
      </c>
      <c r="B117" s="18">
        <v>1.0</v>
      </c>
      <c r="C117" s="17" t="s">
        <v>3735</v>
      </c>
      <c r="D117" s="1">
        <f>IFERROR(__xludf.DUMMYFUNCTION("IF(C117="""", 0, COUNTA(SPLIT(C117, "" "")))"),2.0)</f>
        <v>2</v>
      </c>
      <c r="E117" s="8" t="s">
        <v>3736</v>
      </c>
      <c r="F117" s="20">
        <v>9968.0</v>
      </c>
      <c r="G117" s="37">
        <f t="shared" si="1"/>
        <v>77.96303901</v>
      </c>
      <c r="H117" s="27" t="s">
        <v>3737</v>
      </c>
      <c r="I117" s="33">
        <v>28303.0</v>
      </c>
      <c r="J117" s="16" t="s">
        <v>132</v>
      </c>
      <c r="K117" s="8" t="s">
        <v>3738</v>
      </c>
      <c r="L117" s="1">
        <v>0.0</v>
      </c>
      <c r="M117" s="1">
        <v>0.0</v>
      </c>
      <c r="N117" s="1" t="s">
        <v>28</v>
      </c>
      <c r="O117" s="16" t="s">
        <v>159</v>
      </c>
      <c r="R117" s="1">
        <v>47.0</v>
      </c>
    </row>
    <row r="118">
      <c r="A118" s="3">
        <v>38444.0</v>
      </c>
      <c r="B118" s="5">
        <v>2.0</v>
      </c>
      <c r="C118" s="8" t="s">
        <v>3739</v>
      </c>
      <c r="D118" s="1">
        <f>IFERROR(__xludf.DUMMYFUNCTION("IF(C118="""", 0, COUNTA(SPLIT(C118, "" "")))"),2.0)</f>
        <v>2</v>
      </c>
      <c r="E118" s="8" t="s">
        <v>3740</v>
      </c>
      <c r="F118" s="12">
        <v>10189.0</v>
      </c>
      <c r="G118" s="37">
        <f t="shared" si="1"/>
        <v>77.35797399</v>
      </c>
      <c r="H118" s="27" t="s">
        <v>3741</v>
      </c>
      <c r="I118" s="33">
        <v>33417.0</v>
      </c>
      <c r="J118" s="16" t="s">
        <v>138</v>
      </c>
      <c r="K118" s="8" t="s">
        <v>3742</v>
      </c>
      <c r="L118" s="1">
        <v>0.0</v>
      </c>
      <c r="M118" s="1">
        <v>0.0</v>
      </c>
      <c r="N118" s="1" t="s">
        <v>140</v>
      </c>
      <c r="O118" s="16" t="s">
        <v>27</v>
      </c>
      <c r="R118" s="1">
        <v>4.0</v>
      </c>
    </row>
    <row r="119">
      <c r="A119" s="3">
        <v>38444.0</v>
      </c>
      <c r="B119" s="5">
        <v>3.0</v>
      </c>
      <c r="C119" s="8" t="s">
        <v>3743</v>
      </c>
      <c r="D119" s="1">
        <f>IFERROR(__xludf.DUMMYFUNCTION("IF(C119="""", 0, COUNTA(SPLIT(C119, "" "")))"),3.0)</f>
        <v>3</v>
      </c>
      <c r="E119" s="8" t="s">
        <v>3744</v>
      </c>
      <c r="F119" s="12">
        <v>13096.0</v>
      </c>
      <c r="G119" s="37">
        <f t="shared" si="1"/>
        <v>69.39904175</v>
      </c>
      <c r="H119" s="27" t="s">
        <v>3745</v>
      </c>
      <c r="I119" s="33">
        <v>30349.0</v>
      </c>
      <c r="J119" s="16" t="s">
        <v>138</v>
      </c>
      <c r="K119" s="8" t="s">
        <v>3746</v>
      </c>
      <c r="L119" s="1">
        <v>0.0</v>
      </c>
      <c r="M119" s="1">
        <v>0.0</v>
      </c>
      <c r="N119" s="1" t="s">
        <v>140</v>
      </c>
      <c r="O119" s="16" t="s">
        <v>163</v>
      </c>
      <c r="R119" s="1">
        <v>0.0</v>
      </c>
    </row>
    <row r="120">
      <c r="A120" s="3">
        <v>38444.0</v>
      </c>
      <c r="B120" s="5">
        <v>4.0</v>
      </c>
      <c r="C120" s="8" t="s">
        <v>3747</v>
      </c>
      <c r="D120" s="1">
        <f>IFERROR(__xludf.DUMMYFUNCTION("IF(C120="""", 0, COUNTA(SPLIT(C120, "" "")))"),3.0)</f>
        <v>3</v>
      </c>
      <c r="E120" s="8" t="s">
        <v>3748</v>
      </c>
      <c r="F120" s="12">
        <v>12449.0</v>
      </c>
      <c r="G120" s="37">
        <f t="shared" si="1"/>
        <v>71.17043121</v>
      </c>
      <c r="H120" s="27" t="s">
        <v>3749</v>
      </c>
      <c r="I120" s="33">
        <v>36943.0</v>
      </c>
      <c r="J120" s="16" t="s">
        <v>138</v>
      </c>
      <c r="K120" s="8" t="s">
        <v>3750</v>
      </c>
      <c r="L120" s="1">
        <v>0.0</v>
      </c>
      <c r="M120" s="1">
        <v>0.0</v>
      </c>
      <c r="N120" s="1" t="s">
        <v>140</v>
      </c>
      <c r="O120" s="16" t="s">
        <v>27</v>
      </c>
      <c r="R120" s="1">
        <v>0.0</v>
      </c>
    </row>
    <row r="121">
      <c r="A121" s="3">
        <v>38444.0</v>
      </c>
      <c r="B121" s="5">
        <v>5.0</v>
      </c>
      <c r="C121" s="8" t="s">
        <v>3751</v>
      </c>
      <c r="D121" s="1">
        <f>IFERROR(__xludf.DUMMYFUNCTION("IF(C121="""", 0, COUNTA(SPLIT(C121, "" "")))"),4.0)</f>
        <v>4</v>
      </c>
      <c r="E121" s="8" t="s">
        <v>3752</v>
      </c>
      <c r="F121" s="12">
        <v>11219.0</v>
      </c>
      <c r="G121" s="37">
        <f t="shared" si="1"/>
        <v>74.53798768</v>
      </c>
      <c r="H121" s="27" t="s">
        <v>3753</v>
      </c>
      <c r="I121" s="33">
        <v>36943.0</v>
      </c>
      <c r="J121" s="16" t="s">
        <v>138</v>
      </c>
      <c r="K121" s="8" t="s">
        <v>3754</v>
      </c>
      <c r="L121" s="1">
        <v>0.0</v>
      </c>
      <c r="M121" s="1">
        <v>0.0</v>
      </c>
      <c r="N121" s="1" t="s">
        <v>140</v>
      </c>
      <c r="O121" s="16" t="s">
        <v>148</v>
      </c>
      <c r="R121" s="1">
        <v>0.0</v>
      </c>
    </row>
    <row r="122">
      <c r="A122" s="3">
        <v>38444.0</v>
      </c>
      <c r="B122" s="5">
        <v>6.0</v>
      </c>
      <c r="C122" s="8" t="s">
        <v>3755</v>
      </c>
      <c r="D122" s="1">
        <f>IFERROR(__xludf.DUMMYFUNCTION("IF(C122="""", 0, COUNTA(SPLIT(C122, "" "")))"),3.0)</f>
        <v>3</v>
      </c>
      <c r="E122" s="8" t="s">
        <v>3756</v>
      </c>
      <c r="F122" s="12">
        <v>9822.0</v>
      </c>
      <c r="G122" s="37">
        <f t="shared" si="1"/>
        <v>78.36276523</v>
      </c>
      <c r="H122" s="27" t="s">
        <v>3757</v>
      </c>
      <c r="I122" s="33">
        <v>27904.0</v>
      </c>
      <c r="J122" s="16" t="s">
        <v>132</v>
      </c>
      <c r="K122" s="8" t="s">
        <v>3758</v>
      </c>
      <c r="L122" s="1">
        <v>0.0</v>
      </c>
      <c r="M122" s="1">
        <v>0.0</v>
      </c>
      <c r="N122" s="1" t="s">
        <v>140</v>
      </c>
      <c r="O122" s="16" t="s">
        <v>167</v>
      </c>
      <c r="R122" s="1">
        <v>0.0</v>
      </c>
    </row>
    <row r="123">
      <c r="A123" s="3">
        <v>38444.0</v>
      </c>
      <c r="B123" s="5">
        <v>7.0</v>
      </c>
      <c r="C123" s="8" t="s">
        <v>3759</v>
      </c>
      <c r="D123" s="1">
        <f>IFERROR(__xludf.DUMMYFUNCTION("IF(C123="""", 0, COUNTA(SPLIT(C123, "" "")))"),2.0)</f>
        <v>2</v>
      </c>
      <c r="E123" s="8" t="s">
        <v>3760</v>
      </c>
      <c r="F123" s="12">
        <v>9321.0</v>
      </c>
      <c r="G123" s="37">
        <f t="shared" si="1"/>
        <v>79.73442847</v>
      </c>
      <c r="H123" s="27" t="s">
        <v>3761</v>
      </c>
      <c r="I123" s="33">
        <v>29036.0</v>
      </c>
      <c r="J123" s="16" t="s">
        <v>138</v>
      </c>
      <c r="K123" s="8" t="s">
        <v>3762</v>
      </c>
      <c r="L123" s="1">
        <v>0.0</v>
      </c>
      <c r="M123" s="1">
        <v>0.0</v>
      </c>
      <c r="N123" s="1" t="s">
        <v>140</v>
      </c>
      <c r="O123" s="16" t="s">
        <v>27</v>
      </c>
      <c r="R123" s="1">
        <v>0.0</v>
      </c>
    </row>
    <row r="124">
      <c r="A124" s="3">
        <v>38444.0</v>
      </c>
      <c r="B124" s="5">
        <v>8.0</v>
      </c>
      <c r="C124" s="8" t="s">
        <v>3763</v>
      </c>
      <c r="D124" s="1">
        <f>IFERROR(__xludf.DUMMYFUNCTION("IF(C124="""", 0, COUNTA(SPLIT(C124, "" "")))"),2.0)</f>
        <v>2</v>
      </c>
      <c r="E124" s="8" t="s">
        <v>3764</v>
      </c>
      <c r="F124" s="12">
        <v>10002.0</v>
      </c>
      <c r="G124" s="37">
        <f t="shared" si="1"/>
        <v>77.86995209</v>
      </c>
      <c r="H124" s="27" t="s">
        <v>3765</v>
      </c>
      <c r="I124" s="33">
        <v>29036.0</v>
      </c>
      <c r="J124" s="16" t="s">
        <v>138</v>
      </c>
      <c r="K124" s="8" t="s">
        <v>3766</v>
      </c>
      <c r="L124" s="1">
        <v>0.0</v>
      </c>
      <c r="M124" s="1">
        <v>0.0</v>
      </c>
      <c r="N124" s="1" t="s">
        <v>140</v>
      </c>
      <c r="O124" s="16" t="s">
        <v>204</v>
      </c>
      <c r="R124" s="1">
        <v>0.0</v>
      </c>
    </row>
    <row r="125">
      <c r="A125" s="3">
        <v>38444.0</v>
      </c>
      <c r="B125" s="5">
        <v>9.0</v>
      </c>
      <c r="C125" s="8" t="s">
        <v>3767</v>
      </c>
      <c r="D125" s="1">
        <f>IFERROR(__xludf.DUMMYFUNCTION("IF(C125="""", 0, COUNTA(SPLIT(C125, "" "")))"),3.0)</f>
        <v>3</v>
      </c>
      <c r="E125" s="8" t="s">
        <v>3768</v>
      </c>
      <c r="F125" s="12">
        <v>10618.0</v>
      </c>
      <c r="G125" s="37">
        <f t="shared" si="1"/>
        <v>76.183436</v>
      </c>
      <c r="H125" s="27" t="s">
        <v>3769</v>
      </c>
      <c r="I125" s="33">
        <v>30349.0</v>
      </c>
      <c r="J125" s="16" t="s">
        <v>138</v>
      </c>
      <c r="K125" s="8" t="s">
        <v>3770</v>
      </c>
      <c r="L125" s="1">
        <v>0.0</v>
      </c>
      <c r="M125" s="1">
        <v>0.0</v>
      </c>
      <c r="N125" s="1" t="s">
        <v>140</v>
      </c>
      <c r="O125" s="16" t="s">
        <v>539</v>
      </c>
      <c r="R125" s="1">
        <v>0.0</v>
      </c>
    </row>
    <row r="126">
      <c r="A126" s="3">
        <v>38444.0</v>
      </c>
      <c r="B126" s="5">
        <v>10.0</v>
      </c>
      <c r="C126" s="8" t="s">
        <v>3771</v>
      </c>
      <c r="D126" s="1">
        <f>IFERROR(__xludf.DUMMYFUNCTION("IF(C126="""", 0, COUNTA(SPLIT(C126, "" "")))"),2.0)</f>
        <v>2</v>
      </c>
      <c r="E126" s="8" t="s">
        <v>3772</v>
      </c>
      <c r="F126" s="12">
        <v>12209.0</v>
      </c>
      <c r="G126" s="37">
        <f t="shared" si="1"/>
        <v>71.8275154</v>
      </c>
      <c r="H126" s="27" t="s">
        <v>3773</v>
      </c>
      <c r="I126" s="33">
        <v>30349.0</v>
      </c>
      <c r="J126" s="16" t="s">
        <v>138</v>
      </c>
      <c r="K126" s="8" t="s">
        <v>3774</v>
      </c>
      <c r="L126" s="1">
        <v>0.0</v>
      </c>
      <c r="M126" s="1">
        <v>0.0</v>
      </c>
      <c r="N126" s="1" t="s">
        <v>140</v>
      </c>
      <c r="O126" s="16" t="s">
        <v>155</v>
      </c>
      <c r="R126" s="1">
        <v>0.0</v>
      </c>
    </row>
    <row r="127">
      <c r="A127" s="3">
        <v>38444.0</v>
      </c>
      <c r="B127" s="5">
        <v>11.0</v>
      </c>
      <c r="C127" s="8" t="s">
        <v>3775</v>
      </c>
      <c r="D127" s="1">
        <f>IFERROR(__xludf.DUMMYFUNCTION("IF(C127="""", 0, COUNTA(SPLIT(C127, "" "")))"),3.0)</f>
        <v>3</v>
      </c>
      <c r="E127" s="8" t="s">
        <v>3776</v>
      </c>
      <c r="F127" s="12">
        <v>11037.0</v>
      </c>
      <c r="G127" s="37">
        <f t="shared" si="1"/>
        <v>75.03627652</v>
      </c>
      <c r="H127" s="27" t="s">
        <v>3777</v>
      </c>
      <c r="I127" s="33">
        <v>30349.0</v>
      </c>
      <c r="J127" s="16" t="s">
        <v>138</v>
      </c>
      <c r="K127" s="8" t="s">
        <v>3778</v>
      </c>
      <c r="L127" s="1">
        <v>0.0</v>
      </c>
      <c r="M127" s="1">
        <v>0.0</v>
      </c>
      <c r="N127" s="1" t="s">
        <v>140</v>
      </c>
      <c r="O127" s="16" t="s">
        <v>167</v>
      </c>
      <c r="R127" s="1">
        <v>0.0</v>
      </c>
    </row>
    <row r="128">
      <c r="A128" s="3">
        <v>38444.0</v>
      </c>
      <c r="B128" s="5">
        <v>12.0</v>
      </c>
      <c r="C128" s="17" t="s">
        <v>3779</v>
      </c>
      <c r="D128" s="1">
        <f>IFERROR(__xludf.DUMMYFUNCTION("IF(C128="""", 0, COUNTA(SPLIT(C128, "" "")))"),3.0)</f>
        <v>3</v>
      </c>
      <c r="E128" s="8" t="s">
        <v>3780</v>
      </c>
      <c r="F128" s="12">
        <v>9908.0</v>
      </c>
      <c r="G128" s="37">
        <f t="shared" si="1"/>
        <v>78.12731006</v>
      </c>
      <c r="H128" s="27" t="s">
        <v>3781</v>
      </c>
      <c r="I128" s="33">
        <v>30349.0</v>
      </c>
      <c r="J128" s="16" t="s">
        <v>138</v>
      </c>
      <c r="K128" s="8" t="s">
        <v>3782</v>
      </c>
      <c r="L128" s="1">
        <v>0.0</v>
      </c>
      <c r="M128" s="1">
        <v>0.0</v>
      </c>
      <c r="N128" s="1" t="s">
        <v>140</v>
      </c>
      <c r="O128" s="16" t="s">
        <v>27</v>
      </c>
      <c r="R128" s="1">
        <v>9.0</v>
      </c>
    </row>
    <row r="129">
      <c r="A129" s="3">
        <v>38444.0</v>
      </c>
      <c r="B129" s="5">
        <v>13.0</v>
      </c>
      <c r="C129" s="8" t="s">
        <v>3783</v>
      </c>
      <c r="D129" s="1">
        <f>IFERROR(__xludf.DUMMYFUNCTION("IF(C129="""", 0, COUNTA(SPLIT(C129, "" "")))"),2.0)</f>
        <v>2</v>
      </c>
      <c r="E129" s="8" t="s">
        <v>3784</v>
      </c>
      <c r="F129" s="12">
        <v>9757.0</v>
      </c>
      <c r="G129" s="37">
        <f t="shared" si="1"/>
        <v>78.54072553</v>
      </c>
      <c r="H129" s="27" t="s">
        <v>3785</v>
      </c>
      <c r="I129" s="33">
        <v>30349.0</v>
      </c>
      <c r="J129" s="16" t="s">
        <v>138</v>
      </c>
      <c r="K129" s="8" t="s">
        <v>3786</v>
      </c>
      <c r="L129" s="1">
        <v>0.0</v>
      </c>
      <c r="M129" s="1">
        <v>0.0</v>
      </c>
      <c r="N129" s="1" t="s">
        <v>140</v>
      </c>
      <c r="O129" s="16" t="s">
        <v>174</v>
      </c>
      <c r="R129" s="1">
        <v>0.0</v>
      </c>
    </row>
    <row r="130">
      <c r="A130" s="3">
        <v>38444.0</v>
      </c>
      <c r="B130" s="5">
        <v>14.0</v>
      </c>
      <c r="C130" s="8" t="s">
        <v>3787</v>
      </c>
      <c r="D130" s="1">
        <f>IFERROR(__xludf.DUMMYFUNCTION("IF(C130="""", 0, COUNTA(SPLIT(C130, "" "")))"),2.0)</f>
        <v>2</v>
      </c>
      <c r="E130" s="8" t="s">
        <v>3788</v>
      </c>
      <c r="F130" s="12">
        <v>10945.0</v>
      </c>
      <c r="G130" s="37">
        <f t="shared" si="1"/>
        <v>75.2881588</v>
      </c>
      <c r="H130" s="27" t="s">
        <v>3789</v>
      </c>
      <c r="I130" s="33">
        <v>30349.0</v>
      </c>
      <c r="J130" s="16" t="s">
        <v>138</v>
      </c>
      <c r="K130" s="8" t="s">
        <v>3790</v>
      </c>
      <c r="L130" s="1">
        <v>0.0</v>
      </c>
      <c r="M130" s="1">
        <v>0.0</v>
      </c>
      <c r="N130" s="1" t="s">
        <v>140</v>
      </c>
      <c r="O130" s="16" t="s">
        <v>204</v>
      </c>
      <c r="R130" s="1">
        <v>0.0</v>
      </c>
    </row>
    <row r="131">
      <c r="A131" s="3">
        <v>38444.0</v>
      </c>
      <c r="B131" s="5">
        <v>15.0</v>
      </c>
      <c r="C131" s="8" t="s">
        <v>3791</v>
      </c>
      <c r="D131" s="1">
        <f>IFERROR(__xludf.DUMMYFUNCTION("IF(C131="""", 0, COUNTA(SPLIT(C131, "" "")))"),2.0)</f>
        <v>2</v>
      </c>
      <c r="E131" s="8" t="s">
        <v>3792</v>
      </c>
      <c r="F131" s="12">
        <v>12413.0</v>
      </c>
      <c r="G131" s="37">
        <f t="shared" si="1"/>
        <v>71.26899384</v>
      </c>
      <c r="H131" s="27" t="s">
        <v>3793</v>
      </c>
      <c r="I131" s="33">
        <v>30349.0</v>
      </c>
      <c r="J131" s="16" t="s">
        <v>138</v>
      </c>
      <c r="K131" s="8" t="s">
        <v>3794</v>
      </c>
      <c r="L131" s="1">
        <v>0.0</v>
      </c>
      <c r="M131" s="1">
        <v>0.0</v>
      </c>
      <c r="N131" s="1" t="s">
        <v>140</v>
      </c>
      <c r="O131" s="16" t="s">
        <v>159</v>
      </c>
      <c r="R131" s="1">
        <v>0.0</v>
      </c>
    </row>
    <row r="132">
      <c r="A132" s="3">
        <v>38444.0</v>
      </c>
      <c r="B132" s="5">
        <v>16.0</v>
      </c>
      <c r="C132" s="8" t="s">
        <v>3795</v>
      </c>
      <c r="D132" s="1">
        <f>IFERROR(__xludf.DUMMYFUNCTION("IF(C132="""", 0, COUNTA(SPLIT(C132, "" "")))"),2.0)</f>
        <v>2</v>
      </c>
      <c r="E132" s="8" t="s">
        <v>3796</v>
      </c>
      <c r="F132" s="12">
        <v>11994.0</v>
      </c>
      <c r="G132" s="37">
        <f t="shared" si="1"/>
        <v>72.41615332</v>
      </c>
      <c r="H132" s="27" t="s">
        <v>3797</v>
      </c>
      <c r="I132" s="33">
        <v>31192.0</v>
      </c>
      <c r="J132" s="16" t="s">
        <v>138</v>
      </c>
      <c r="K132" s="8" t="s">
        <v>3798</v>
      </c>
      <c r="L132" s="1">
        <v>0.0</v>
      </c>
      <c r="M132" s="1">
        <v>2.0</v>
      </c>
      <c r="N132" s="1" t="s">
        <v>140</v>
      </c>
      <c r="O132" s="16" t="s">
        <v>561</v>
      </c>
      <c r="R132" s="1">
        <v>0.0</v>
      </c>
    </row>
    <row r="133">
      <c r="A133" s="3">
        <v>38444.0</v>
      </c>
      <c r="B133" s="5">
        <v>17.0</v>
      </c>
      <c r="C133" s="17" t="s">
        <v>3799</v>
      </c>
      <c r="D133" s="1">
        <f>IFERROR(__xludf.DUMMYFUNCTION("IF(C133="""", 0, COUNTA(SPLIT(C133, "" "")))"),3.0)</f>
        <v>3</v>
      </c>
      <c r="E133" s="8" t="s">
        <v>3800</v>
      </c>
      <c r="F133" s="12">
        <v>9530.0</v>
      </c>
      <c r="G133" s="37">
        <f t="shared" si="1"/>
        <v>79.16221766</v>
      </c>
      <c r="H133" s="27" t="s">
        <v>3801</v>
      </c>
      <c r="I133" s="33">
        <v>31192.0</v>
      </c>
      <c r="J133" s="16" t="s">
        <v>138</v>
      </c>
      <c r="K133" s="8" t="s">
        <v>3802</v>
      </c>
      <c r="L133" s="1">
        <v>0.0</v>
      </c>
      <c r="M133" s="1">
        <v>0.0</v>
      </c>
      <c r="N133" s="1" t="s">
        <v>140</v>
      </c>
      <c r="O133" s="16" t="s">
        <v>163</v>
      </c>
      <c r="R133" s="1">
        <v>0.0</v>
      </c>
    </row>
    <row r="134">
      <c r="A134" s="3">
        <v>38444.0</v>
      </c>
      <c r="B134" s="5">
        <v>18.0</v>
      </c>
      <c r="C134" s="8" t="s">
        <v>3803</v>
      </c>
      <c r="D134" s="1">
        <f>IFERROR(__xludf.DUMMYFUNCTION("IF(C134="""", 0, COUNTA(SPLIT(C134, "" "")))"),3.0)</f>
        <v>3</v>
      </c>
      <c r="E134" s="8" t="s">
        <v>3804</v>
      </c>
      <c r="F134" s="12">
        <v>11360.0</v>
      </c>
      <c r="G134" s="37">
        <f t="shared" si="1"/>
        <v>74.15195072</v>
      </c>
      <c r="H134" s="27" t="s">
        <v>3805</v>
      </c>
      <c r="I134" s="33">
        <v>31192.0</v>
      </c>
      <c r="J134" s="16" t="s">
        <v>138</v>
      </c>
      <c r="K134" s="8" t="s">
        <v>3806</v>
      </c>
      <c r="L134" s="1">
        <v>0.0</v>
      </c>
      <c r="M134" s="1">
        <v>0.0</v>
      </c>
      <c r="N134" s="1" t="s">
        <v>140</v>
      </c>
      <c r="O134" s="16" t="s">
        <v>568</v>
      </c>
      <c r="R134" s="1">
        <v>0.0</v>
      </c>
    </row>
    <row r="135">
      <c r="A135" s="3">
        <v>38444.0</v>
      </c>
      <c r="B135" s="5">
        <v>19.0</v>
      </c>
      <c r="C135" s="8" t="s">
        <v>3807</v>
      </c>
      <c r="D135" s="1">
        <f>IFERROR(__xludf.DUMMYFUNCTION("IF(C135="""", 0, COUNTA(SPLIT(C135, "" "")))"),2.0)</f>
        <v>2</v>
      </c>
      <c r="E135" s="8" t="s">
        <v>3808</v>
      </c>
      <c r="F135" s="12">
        <v>11200.0</v>
      </c>
      <c r="G135" s="37">
        <f t="shared" si="1"/>
        <v>74.59000684</v>
      </c>
      <c r="H135" s="27" t="s">
        <v>3809</v>
      </c>
      <c r="I135" s="33">
        <v>31192.0</v>
      </c>
      <c r="J135" s="16" t="s">
        <v>138</v>
      </c>
      <c r="K135" s="8" t="s">
        <v>3810</v>
      </c>
      <c r="L135" s="1">
        <v>0.0</v>
      </c>
      <c r="M135" s="1">
        <v>0.0</v>
      </c>
      <c r="N135" s="1" t="s">
        <v>140</v>
      </c>
      <c r="O135" s="16" t="s">
        <v>174</v>
      </c>
      <c r="R135" s="1">
        <v>0.0</v>
      </c>
    </row>
    <row r="136">
      <c r="A136" s="3">
        <v>38444.0</v>
      </c>
      <c r="B136" s="5">
        <v>20.0</v>
      </c>
      <c r="C136" s="8" t="s">
        <v>3811</v>
      </c>
      <c r="D136" s="1">
        <f>IFERROR(__xludf.DUMMYFUNCTION("IF(C136="""", 0, COUNTA(SPLIT(C136, "" "")))"),2.0)</f>
        <v>2</v>
      </c>
      <c r="E136" s="8" t="s">
        <v>3812</v>
      </c>
      <c r="F136" s="12">
        <v>10278.0</v>
      </c>
      <c r="G136" s="37">
        <f t="shared" si="1"/>
        <v>77.11430527</v>
      </c>
      <c r="H136" s="27" t="s">
        <v>3813</v>
      </c>
      <c r="I136" s="33">
        <v>31192.0</v>
      </c>
      <c r="J136" s="16" t="s">
        <v>138</v>
      </c>
      <c r="K136" s="8" t="s">
        <v>3814</v>
      </c>
      <c r="L136" s="1">
        <v>0.0</v>
      </c>
      <c r="M136" s="1">
        <v>0.0</v>
      </c>
      <c r="N136" s="1" t="s">
        <v>140</v>
      </c>
      <c r="O136" s="16" t="s">
        <v>159</v>
      </c>
      <c r="R136" s="1">
        <v>0.0</v>
      </c>
    </row>
    <row r="137">
      <c r="A137" s="3">
        <v>38444.0</v>
      </c>
      <c r="B137" s="5">
        <v>21.0</v>
      </c>
      <c r="C137" s="8" t="s">
        <v>3815</v>
      </c>
      <c r="D137" s="1">
        <f>IFERROR(__xludf.DUMMYFUNCTION("IF(C137="""", 0, COUNTA(SPLIT(C137, "" "")))"),3.0)</f>
        <v>3</v>
      </c>
      <c r="E137" s="8" t="s">
        <v>3816</v>
      </c>
      <c r="F137" s="12">
        <v>11653.0</v>
      </c>
      <c r="G137" s="37">
        <f t="shared" si="1"/>
        <v>73.34976044</v>
      </c>
      <c r="H137" s="27" t="s">
        <v>3817</v>
      </c>
      <c r="I137" s="33">
        <v>31192.0</v>
      </c>
      <c r="J137" s="16" t="s">
        <v>138</v>
      </c>
      <c r="K137" s="8" t="s">
        <v>3818</v>
      </c>
      <c r="L137" s="1">
        <v>0.0</v>
      </c>
      <c r="M137" s="1">
        <v>0.0</v>
      </c>
      <c r="N137" s="1" t="s">
        <v>140</v>
      </c>
      <c r="O137" s="16" t="s">
        <v>155</v>
      </c>
      <c r="R137" s="1">
        <v>0.0</v>
      </c>
    </row>
    <row r="138">
      <c r="A138" s="3">
        <v>38444.0</v>
      </c>
      <c r="B138" s="5">
        <v>22.0</v>
      </c>
      <c r="C138" s="8" t="s">
        <v>3819</v>
      </c>
      <c r="D138" s="1">
        <f>IFERROR(__xludf.DUMMYFUNCTION("IF(C138="""", 0, COUNTA(SPLIT(C138, "" "")))"),3.0)</f>
        <v>3</v>
      </c>
      <c r="E138" s="8" t="s">
        <v>3820</v>
      </c>
      <c r="F138" s="12">
        <v>11631.0</v>
      </c>
      <c r="G138" s="37">
        <f t="shared" si="1"/>
        <v>73.40999316</v>
      </c>
      <c r="H138" s="27" t="s">
        <v>3821</v>
      </c>
      <c r="I138" s="33">
        <v>31192.0</v>
      </c>
      <c r="J138" s="16" t="s">
        <v>138</v>
      </c>
      <c r="K138" s="8" t="s">
        <v>3822</v>
      </c>
      <c r="L138" s="1">
        <v>0.0</v>
      </c>
      <c r="M138" s="1">
        <v>0.0</v>
      </c>
      <c r="N138" s="1" t="s">
        <v>140</v>
      </c>
      <c r="O138" s="16" t="s">
        <v>167</v>
      </c>
      <c r="R138" s="1">
        <v>0.0</v>
      </c>
    </row>
    <row r="139">
      <c r="A139" s="3">
        <v>38444.0</v>
      </c>
      <c r="B139" s="5">
        <v>23.0</v>
      </c>
      <c r="C139" s="8" t="s">
        <v>3823</v>
      </c>
      <c r="D139" s="1">
        <f>IFERROR(__xludf.DUMMYFUNCTION("IF(C139="""", 0, COUNTA(SPLIT(C139, "" "")))"),2.0)</f>
        <v>2</v>
      </c>
      <c r="E139" s="8" t="s">
        <v>3824</v>
      </c>
      <c r="F139" s="12">
        <v>10392.0</v>
      </c>
      <c r="G139" s="37">
        <f t="shared" si="1"/>
        <v>76.80219028</v>
      </c>
      <c r="H139" s="27" t="s">
        <v>3825</v>
      </c>
      <c r="I139" s="33">
        <v>31192.0</v>
      </c>
      <c r="J139" s="16" t="s">
        <v>138</v>
      </c>
      <c r="K139" s="8" t="s">
        <v>3826</v>
      </c>
      <c r="L139" s="1">
        <v>0.0</v>
      </c>
      <c r="M139" s="1">
        <v>0.0</v>
      </c>
      <c r="N139" s="1" t="s">
        <v>140</v>
      </c>
      <c r="O139" s="16" t="s">
        <v>27</v>
      </c>
      <c r="R139" s="1">
        <v>1.0</v>
      </c>
    </row>
    <row r="140">
      <c r="A140" s="3">
        <v>38444.0</v>
      </c>
      <c r="B140" s="5">
        <v>24.0</v>
      </c>
      <c r="C140" s="8" t="s">
        <v>3827</v>
      </c>
      <c r="D140" s="1">
        <f>IFERROR(__xludf.DUMMYFUNCTION("IF(C140="""", 0, COUNTA(SPLIT(C140, "" "")))"),3.0)</f>
        <v>3</v>
      </c>
      <c r="E140" s="8" t="s">
        <v>3828</v>
      </c>
      <c r="F140" s="12">
        <v>9952.0</v>
      </c>
      <c r="G140" s="37">
        <f t="shared" si="1"/>
        <v>78.00684463</v>
      </c>
      <c r="H140" s="27" t="s">
        <v>3829</v>
      </c>
      <c r="I140" s="33">
        <v>32322.0</v>
      </c>
      <c r="J140" s="16" t="s">
        <v>138</v>
      </c>
      <c r="K140" s="8" t="s">
        <v>3830</v>
      </c>
      <c r="L140" s="1">
        <v>0.0</v>
      </c>
      <c r="M140" s="1">
        <v>0.0</v>
      </c>
      <c r="N140" s="1" t="s">
        <v>140</v>
      </c>
      <c r="O140" s="16" t="s">
        <v>163</v>
      </c>
      <c r="R140" s="1">
        <v>0.0</v>
      </c>
    </row>
    <row r="141">
      <c r="A141" s="3">
        <v>38444.0</v>
      </c>
      <c r="B141" s="5">
        <v>25.0</v>
      </c>
      <c r="C141" s="8" t="s">
        <v>3831</v>
      </c>
      <c r="D141" s="1">
        <f>IFERROR(__xludf.DUMMYFUNCTION("IF(C141="""", 0, COUNTA(SPLIT(C141, "" "")))"),3.0)</f>
        <v>3</v>
      </c>
      <c r="E141" s="8" t="s">
        <v>3832</v>
      </c>
      <c r="F141" s="12">
        <v>9428.0</v>
      </c>
      <c r="G141" s="37">
        <f t="shared" si="1"/>
        <v>79.44147844</v>
      </c>
      <c r="H141" s="27" t="s">
        <v>3833</v>
      </c>
      <c r="I141" s="33">
        <v>32322.0</v>
      </c>
      <c r="J141" s="16" t="s">
        <v>138</v>
      </c>
      <c r="K141" s="8" t="s">
        <v>3834</v>
      </c>
      <c r="L141" s="1">
        <v>0.0</v>
      </c>
      <c r="M141" s="1">
        <v>0.0</v>
      </c>
      <c r="N141" s="1" t="s">
        <v>140</v>
      </c>
      <c r="O141" s="16" t="s">
        <v>218</v>
      </c>
      <c r="R141" s="1">
        <v>0.0</v>
      </c>
    </row>
    <row r="142">
      <c r="A142" s="3">
        <v>38444.0</v>
      </c>
      <c r="B142" s="5">
        <v>26.0</v>
      </c>
      <c r="C142" s="8" t="s">
        <v>3835</v>
      </c>
      <c r="D142" s="1">
        <f>IFERROR(__xludf.DUMMYFUNCTION("IF(C142="""", 0, COUNTA(SPLIT(C142, "" "")))"),2.0)</f>
        <v>2</v>
      </c>
      <c r="E142" s="8" t="s">
        <v>3836</v>
      </c>
      <c r="F142" s="12">
        <v>11223.0</v>
      </c>
      <c r="G142" s="37">
        <f t="shared" si="1"/>
        <v>74.52703628</v>
      </c>
      <c r="H142" s="27" t="s">
        <v>3837</v>
      </c>
      <c r="I142" s="33">
        <v>32322.0</v>
      </c>
      <c r="J142" s="16" t="s">
        <v>138</v>
      </c>
      <c r="K142" s="8" t="s">
        <v>3838</v>
      </c>
      <c r="L142" s="1">
        <v>0.0</v>
      </c>
      <c r="M142" s="1">
        <v>0.0</v>
      </c>
      <c r="N142" s="1" t="s">
        <v>140</v>
      </c>
      <c r="O142" s="16" t="s">
        <v>27</v>
      </c>
      <c r="R142" s="1">
        <v>0.0</v>
      </c>
    </row>
    <row r="143">
      <c r="A143" s="3">
        <v>38444.0</v>
      </c>
      <c r="B143" s="5">
        <v>27.0</v>
      </c>
      <c r="C143" s="8" t="s">
        <v>3839</v>
      </c>
      <c r="D143" s="1">
        <f>IFERROR(__xludf.DUMMYFUNCTION("IF(C143="""", 0, COUNTA(SPLIT(C143, "" "")))"),3.0)</f>
        <v>3</v>
      </c>
      <c r="E143" s="8" t="s">
        <v>3840</v>
      </c>
      <c r="F143" s="12">
        <v>10119.0</v>
      </c>
      <c r="G143" s="37">
        <f t="shared" si="1"/>
        <v>77.54962355</v>
      </c>
      <c r="H143" s="27" t="s">
        <v>3841</v>
      </c>
      <c r="I143" s="33">
        <v>32322.0</v>
      </c>
      <c r="J143" s="16" t="s">
        <v>138</v>
      </c>
      <c r="K143" s="8" t="s">
        <v>3842</v>
      </c>
      <c r="L143" s="1">
        <v>0.0</v>
      </c>
      <c r="M143" s="1">
        <v>0.0</v>
      </c>
      <c r="N143" s="1" t="s">
        <v>140</v>
      </c>
      <c r="O143" s="16" t="s">
        <v>204</v>
      </c>
      <c r="R143" s="1">
        <v>0.0</v>
      </c>
    </row>
    <row r="144">
      <c r="A144" s="3">
        <v>38444.0</v>
      </c>
      <c r="B144" s="5">
        <v>28.0</v>
      </c>
      <c r="C144" s="17" t="s">
        <v>3843</v>
      </c>
      <c r="D144" s="1">
        <f>IFERROR(__xludf.DUMMYFUNCTION("IF(C144="""", 0, COUNTA(SPLIT(C144, "" "")))"),2.0)</f>
        <v>2</v>
      </c>
      <c r="E144" s="8" t="s">
        <v>3844</v>
      </c>
      <c r="F144" s="12">
        <v>9990.0</v>
      </c>
      <c r="G144" s="37">
        <f t="shared" si="1"/>
        <v>77.9028063</v>
      </c>
      <c r="H144" s="27" t="s">
        <v>3845</v>
      </c>
      <c r="I144" s="33">
        <v>32322.0</v>
      </c>
      <c r="J144" s="16" t="s">
        <v>138</v>
      </c>
      <c r="K144" s="8" t="s">
        <v>3846</v>
      </c>
      <c r="L144" s="1">
        <v>0.0</v>
      </c>
      <c r="M144" s="1">
        <v>0.0</v>
      </c>
      <c r="N144" s="1" t="s">
        <v>140</v>
      </c>
      <c r="O144" s="16" t="s">
        <v>297</v>
      </c>
      <c r="R144" s="1">
        <v>0.0</v>
      </c>
    </row>
    <row r="145">
      <c r="A145" s="3">
        <v>38444.0</v>
      </c>
      <c r="B145" s="5">
        <v>29.0</v>
      </c>
      <c r="C145" s="8" t="s">
        <v>3847</v>
      </c>
      <c r="D145" s="1">
        <f>IFERROR(__xludf.DUMMYFUNCTION("IF(C145="""", 0, COUNTA(SPLIT(C145, "" "")))"),3.0)</f>
        <v>3</v>
      </c>
      <c r="E145" s="8" t="s">
        <v>3848</v>
      </c>
      <c r="F145" s="12">
        <v>11246.0</v>
      </c>
      <c r="G145" s="37">
        <f t="shared" si="1"/>
        <v>74.46406571</v>
      </c>
      <c r="H145" s="27" t="s">
        <v>3849</v>
      </c>
      <c r="I145" s="33">
        <v>32322.0</v>
      </c>
      <c r="J145" s="16" t="s">
        <v>138</v>
      </c>
      <c r="K145" s="8" t="s">
        <v>3850</v>
      </c>
      <c r="L145" s="1">
        <v>0.0</v>
      </c>
      <c r="M145" s="1">
        <v>0.0</v>
      </c>
      <c r="N145" s="1" t="s">
        <v>140</v>
      </c>
      <c r="O145" s="16" t="s">
        <v>174</v>
      </c>
      <c r="R145" s="1">
        <v>0.0</v>
      </c>
    </row>
    <row r="146">
      <c r="A146" s="3">
        <v>38444.0</v>
      </c>
      <c r="B146" s="5">
        <v>30.0</v>
      </c>
      <c r="C146" s="8" t="s">
        <v>3851</v>
      </c>
      <c r="D146" s="1">
        <f>IFERROR(__xludf.DUMMYFUNCTION("IF(C146="""", 0, COUNTA(SPLIT(C146, "" "")))"),3.0)</f>
        <v>3</v>
      </c>
      <c r="E146" s="8" t="s">
        <v>3852</v>
      </c>
      <c r="F146" s="12">
        <v>11295.0</v>
      </c>
      <c r="G146" s="37">
        <f t="shared" si="1"/>
        <v>74.32991102</v>
      </c>
      <c r="H146" s="27" t="s">
        <v>3853</v>
      </c>
      <c r="I146" s="33">
        <v>33417.0</v>
      </c>
      <c r="J146" s="16" t="s">
        <v>138</v>
      </c>
      <c r="K146" s="8" t="s">
        <v>3854</v>
      </c>
      <c r="L146" s="1">
        <v>0.0</v>
      </c>
      <c r="M146" s="1">
        <v>0.0</v>
      </c>
      <c r="N146" s="1" t="s">
        <v>140</v>
      </c>
      <c r="O146" s="16" t="s">
        <v>174</v>
      </c>
      <c r="R146" s="1">
        <v>0.0</v>
      </c>
    </row>
    <row r="147">
      <c r="A147" s="3">
        <v>38444.0</v>
      </c>
      <c r="B147" s="5">
        <v>31.0</v>
      </c>
      <c r="C147" s="8" t="s">
        <v>3855</v>
      </c>
      <c r="D147" s="1">
        <f>IFERROR(__xludf.DUMMYFUNCTION("IF(C147="""", 0, COUNTA(SPLIT(C147, "" "")))"),5.0)</f>
        <v>5</v>
      </c>
      <c r="E147" s="8" t="s">
        <v>3856</v>
      </c>
      <c r="F147" s="12">
        <v>13454.0</v>
      </c>
      <c r="G147" s="37">
        <f t="shared" si="1"/>
        <v>68.41889117</v>
      </c>
      <c r="H147" s="27" t="s">
        <v>3857</v>
      </c>
      <c r="I147" s="33">
        <v>33417.0</v>
      </c>
      <c r="J147" s="16" t="s">
        <v>138</v>
      </c>
      <c r="K147" s="8" t="s">
        <v>3858</v>
      </c>
      <c r="L147" s="1">
        <v>0.0</v>
      </c>
      <c r="M147" s="1">
        <v>0.0</v>
      </c>
      <c r="N147" s="1" t="s">
        <v>140</v>
      </c>
      <c r="O147" s="16" t="s">
        <v>163</v>
      </c>
      <c r="R147" s="1">
        <v>0.0</v>
      </c>
    </row>
    <row r="148">
      <c r="A148" s="3">
        <v>38444.0</v>
      </c>
      <c r="B148" s="5">
        <v>32.0</v>
      </c>
      <c r="C148" s="8" t="s">
        <v>3859</v>
      </c>
      <c r="D148" s="1">
        <f>IFERROR(__xludf.DUMMYFUNCTION("IF(C148="""", 0, COUNTA(SPLIT(C148, "" "")))"),3.0)</f>
        <v>3</v>
      </c>
      <c r="E148" s="8" t="s">
        <v>3860</v>
      </c>
      <c r="F148" s="12">
        <v>13207.0</v>
      </c>
      <c r="G148" s="37">
        <f t="shared" si="1"/>
        <v>69.09514031</v>
      </c>
      <c r="H148" s="27" t="s">
        <v>3861</v>
      </c>
      <c r="I148" s="33">
        <v>33417.0</v>
      </c>
      <c r="J148" s="16" t="s">
        <v>138</v>
      </c>
      <c r="K148" s="8" t="s">
        <v>3862</v>
      </c>
      <c r="L148" s="1">
        <v>0.0</v>
      </c>
      <c r="M148" s="1">
        <v>0.0</v>
      </c>
      <c r="N148" s="1" t="s">
        <v>140</v>
      </c>
      <c r="O148" s="16" t="s">
        <v>167</v>
      </c>
      <c r="R148" s="1">
        <v>0.0</v>
      </c>
    </row>
    <row r="149">
      <c r="A149" s="3">
        <v>38444.0</v>
      </c>
      <c r="B149" s="5">
        <v>33.0</v>
      </c>
      <c r="C149" s="8" t="s">
        <v>3863</v>
      </c>
      <c r="D149" s="1">
        <f>IFERROR(__xludf.DUMMYFUNCTION("IF(C149="""", 0, COUNTA(SPLIT(C149, "" "")))"),2.0)</f>
        <v>2</v>
      </c>
      <c r="E149" s="8" t="s">
        <v>3864</v>
      </c>
      <c r="F149" s="12">
        <v>11373.0</v>
      </c>
      <c r="G149" s="37">
        <f t="shared" si="1"/>
        <v>74.11635866</v>
      </c>
      <c r="H149" s="27" t="s">
        <v>3865</v>
      </c>
      <c r="I149" s="33">
        <v>33417.0</v>
      </c>
      <c r="J149" s="16" t="s">
        <v>138</v>
      </c>
      <c r="K149" s="8" t="s">
        <v>3866</v>
      </c>
      <c r="L149" s="1">
        <v>0.0</v>
      </c>
      <c r="M149" s="1">
        <v>0.0</v>
      </c>
      <c r="N149" s="1" t="s">
        <v>140</v>
      </c>
      <c r="O149" s="16" t="s">
        <v>27</v>
      </c>
      <c r="R149" s="1">
        <v>6.0</v>
      </c>
    </row>
    <row r="150">
      <c r="A150" s="3">
        <v>38444.0</v>
      </c>
      <c r="B150" s="5">
        <v>34.0</v>
      </c>
      <c r="C150" s="8" t="s">
        <v>3867</v>
      </c>
      <c r="D150" s="1">
        <f>IFERROR(__xludf.DUMMYFUNCTION("IF(C150="""", 0, COUNTA(SPLIT(C150, "" "")))"),2.0)</f>
        <v>2</v>
      </c>
      <c r="E150" s="8" t="s">
        <v>3868</v>
      </c>
      <c r="F150" s="12">
        <v>11854.0</v>
      </c>
      <c r="G150" s="37">
        <f t="shared" si="1"/>
        <v>72.79945243</v>
      </c>
      <c r="H150" s="27" t="s">
        <v>3869</v>
      </c>
      <c r="I150" s="33">
        <v>33417.0</v>
      </c>
      <c r="J150" s="16" t="s">
        <v>138</v>
      </c>
      <c r="K150" s="8" t="s">
        <v>3870</v>
      </c>
      <c r="L150" s="1">
        <v>0.0</v>
      </c>
      <c r="M150" s="1">
        <v>0.0</v>
      </c>
      <c r="N150" s="1" t="s">
        <v>140</v>
      </c>
      <c r="O150" s="16" t="s">
        <v>174</v>
      </c>
      <c r="R150" s="1">
        <v>0.0</v>
      </c>
    </row>
    <row r="151">
      <c r="A151" s="3">
        <v>38444.0</v>
      </c>
      <c r="B151" s="5">
        <v>35.0</v>
      </c>
      <c r="C151" s="8" t="s">
        <v>3871</v>
      </c>
      <c r="D151" s="1">
        <f>IFERROR(__xludf.DUMMYFUNCTION("IF(C151="""", 0, COUNTA(SPLIT(C151, "" "")))"),3.0)</f>
        <v>3</v>
      </c>
      <c r="E151" s="8" t="s">
        <v>3872</v>
      </c>
      <c r="F151" s="12">
        <v>13189.0</v>
      </c>
      <c r="G151" s="37">
        <f t="shared" si="1"/>
        <v>69.14442163</v>
      </c>
      <c r="H151" s="27" t="s">
        <v>3873</v>
      </c>
      <c r="I151" s="33">
        <v>33417.0</v>
      </c>
      <c r="J151" s="16" t="s">
        <v>138</v>
      </c>
      <c r="K151" s="8" t="s">
        <v>3874</v>
      </c>
      <c r="L151" s="1">
        <v>0.0</v>
      </c>
      <c r="M151" s="1">
        <v>0.0</v>
      </c>
      <c r="N151" s="1" t="s">
        <v>140</v>
      </c>
      <c r="O151" s="16" t="s">
        <v>159</v>
      </c>
      <c r="R151" s="1">
        <v>0.0</v>
      </c>
    </row>
    <row r="152">
      <c r="A152" s="3">
        <v>38444.0</v>
      </c>
      <c r="B152" s="5">
        <v>36.0</v>
      </c>
      <c r="C152" s="8" t="s">
        <v>3875</v>
      </c>
      <c r="D152" s="1">
        <f>IFERROR(__xludf.DUMMYFUNCTION("IF(C152="""", 0, COUNTA(SPLIT(C152, "" "")))"),2.0)</f>
        <v>2</v>
      </c>
      <c r="E152" s="8" t="s">
        <v>3876</v>
      </c>
      <c r="F152" s="12">
        <v>11826.0</v>
      </c>
      <c r="G152" s="37">
        <f t="shared" si="1"/>
        <v>72.87611225</v>
      </c>
      <c r="H152" s="27" t="s">
        <v>3877</v>
      </c>
      <c r="I152" s="33">
        <v>34664.0</v>
      </c>
      <c r="J152" s="16" t="s">
        <v>138</v>
      </c>
      <c r="K152" s="8" t="s">
        <v>3878</v>
      </c>
      <c r="L152" s="1">
        <v>0.0</v>
      </c>
      <c r="M152" s="1">
        <v>0.0</v>
      </c>
      <c r="N152" s="1" t="s">
        <v>140</v>
      </c>
      <c r="O152" s="16" t="s">
        <v>390</v>
      </c>
      <c r="R152" s="1">
        <v>0.0</v>
      </c>
    </row>
    <row r="153">
      <c r="A153" s="3">
        <v>38444.0</v>
      </c>
      <c r="B153" s="5">
        <v>37.0</v>
      </c>
      <c r="C153" s="8" t="s">
        <v>3879</v>
      </c>
      <c r="D153" s="1">
        <f>IFERROR(__xludf.DUMMYFUNCTION("IF(C153="""", 0, COUNTA(SPLIT(C153, "" "")))"),3.0)</f>
        <v>3</v>
      </c>
      <c r="E153" s="8" t="s">
        <v>3880</v>
      </c>
      <c r="F153" s="12">
        <v>10396.0</v>
      </c>
      <c r="G153" s="37">
        <f t="shared" si="1"/>
        <v>76.79123888</v>
      </c>
      <c r="H153" s="27" t="s">
        <v>3881</v>
      </c>
      <c r="I153" s="33">
        <v>34664.0</v>
      </c>
      <c r="J153" s="16" t="s">
        <v>138</v>
      </c>
      <c r="K153" s="8" t="s">
        <v>3882</v>
      </c>
      <c r="L153" s="1">
        <v>0.0</v>
      </c>
      <c r="M153" s="1">
        <v>0.0</v>
      </c>
      <c r="N153" s="1" t="s">
        <v>140</v>
      </c>
      <c r="O153" s="16" t="s">
        <v>626</v>
      </c>
      <c r="R153" s="1">
        <v>0.0</v>
      </c>
    </row>
    <row r="154">
      <c r="A154" s="3">
        <v>38444.0</v>
      </c>
      <c r="B154" s="5">
        <v>38.0</v>
      </c>
      <c r="C154" s="17" t="s">
        <v>3883</v>
      </c>
      <c r="D154" s="1">
        <f>IFERROR(__xludf.DUMMYFUNCTION("IF(C154="""", 0, COUNTA(SPLIT(C154, "" "")))"),2.0)</f>
        <v>2</v>
      </c>
      <c r="E154" s="8" t="s">
        <v>3884</v>
      </c>
      <c r="F154" s="12">
        <v>12773.0</v>
      </c>
      <c r="G154" s="37">
        <f t="shared" si="1"/>
        <v>70.28336756</v>
      </c>
      <c r="H154" s="27" t="s">
        <v>3885</v>
      </c>
      <c r="I154" s="33">
        <v>34664.0</v>
      </c>
      <c r="J154" s="16" t="s">
        <v>138</v>
      </c>
      <c r="K154" s="8" t="s">
        <v>3886</v>
      </c>
      <c r="L154" s="1">
        <v>0.0</v>
      </c>
      <c r="M154" s="1">
        <v>0.0</v>
      </c>
      <c r="N154" s="1" t="s">
        <v>140</v>
      </c>
      <c r="O154" s="16" t="s">
        <v>630</v>
      </c>
      <c r="R154" s="1">
        <v>0.0</v>
      </c>
    </row>
    <row r="155">
      <c r="A155" s="3">
        <v>38444.0</v>
      </c>
      <c r="B155" s="5">
        <v>39.0</v>
      </c>
      <c r="C155" s="8" t="s">
        <v>3887</v>
      </c>
      <c r="D155" s="1">
        <f>IFERROR(__xludf.DUMMYFUNCTION("IF(C155="""", 0, COUNTA(SPLIT(C155, "" "")))"),5.0)</f>
        <v>5</v>
      </c>
      <c r="E155" s="8" t="s">
        <v>3888</v>
      </c>
      <c r="F155" s="12">
        <v>13441.0</v>
      </c>
      <c r="G155" s="37">
        <f t="shared" si="1"/>
        <v>68.45448323</v>
      </c>
      <c r="H155" s="27" t="s">
        <v>3889</v>
      </c>
      <c r="I155" s="33">
        <v>34664.0</v>
      </c>
      <c r="J155" s="16" t="s">
        <v>138</v>
      </c>
      <c r="K155" s="8" t="s">
        <v>3890</v>
      </c>
      <c r="L155" s="1">
        <v>0.0</v>
      </c>
      <c r="M155" s="1">
        <v>0.0</v>
      </c>
      <c r="N155" s="1" t="s">
        <v>140</v>
      </c>
      <c r="O155" s="16" t="s">
        <v>163</v>
      </c>
      <c r="R155" s="1">
        <v>0.0</v>
      </c>
    </row>
    <row r="156">
      <c r="A156" s="3">
        <v>38444.0</v>
      </c>
      <c r="B156" s="5">
        <v>40.0</v>
      </c>
      <c r="C156" s="8" t="s">
        <v>3891</v>
      </c>
      <c r="D156" s="1">
        <f>IFERROR(__xludf.DUMMYFUNCTION("IF(C156="""", 0, COUNTA(SPLIT(C156, "" "")))"),2.0)</f>
        <v>2</v>
      </c>
      <c r="E156" s="8" t="s">
        <v>3892</v>
      </c>
      <c r="F156" s="12">
        <v>9846.0</v>
      </c>
      <c r="G156" s="37">
        <f t="shared" si="1"/>
        <v>78.29705681</v>
      </c>
      <c r="H156" s="27" t="s">
        <v>3893</v>
      </c>
      <c r="I156" s="33">
        <v>34664.0</v>
      </c>
      <c r="J156" s="16" t="s">
        <v>138</v>
      </c>
      <c r="K156" s="8" t="s">
        <v>3894</v>
      </c>
      <c r="L156" s="1">
        <v>0.0</v>
      </c>
      <c r="M156" s="1">
        <v>0.0</v>
      </c>
      <c r="N156" s="1" t="s">
        <v>140</v>
      </c>
      <c r="O156" s="16" t="s">
        <v>637</v>
      </c>
      <c r="R156" s="1">
        <v>0.0</v>
      </c>
    </row>
    <row r="157">
      <c r="A157" s="3">
        <v>38444.0</v>
      </c>
      <c r="B157" s="5">
        <v>41.0</v>
      </c>
      <c r="C157" s="8" t="s">
        <v>3895</v>
      </c>
      <c r="D157" s="1">
        <f>IFERROR(__xludf.DUMMYFUNCTION("IF(C157="""", 0, COUNTA(SPLIT(C157, "" "")))"),3.0)</f>
        <v>3</v>
      </c>
      <c r="E157" s="8" t="s">
        <v>3896</v>
      </c>
      <c r="F157" s="12">
        <v>11386.0</v>
      </c>
      <c r="G157" s="37">
        <f t="shared" si="1"/>
        <v>74.0807666</v>
      </c>
      <c r="H157" s="27" t="s">
        <v>3897</v>
      </c>
      <c r="I157" s="33">
        <v>34664.0</v>
      </c>
      <c r="J157" s="16" t="s">
        <v>138</v>
      </c>
      <c r="K157" s="8" t="s">
        <v>3898</v>
      </c>
      <c r="L157" s="1">
        <v>0.0</v>
      </c>
      <c r="M157" s="1">
        <v>0.0</v>
      </c>
      <c r="N157" s="1" t="s">
        <v>140</v>
      </c>
      <c r="O157" s="16" t="s">
        <v>167</v>
      </c>
      <c r="R157" s="1">
        <v>0.0</v>
      </c>
    </row>
    <row r="158">
      <c r="A158" s="3">
        <v>38444.0</v>
      </c>
      <c r="B158" s="5">
        <v>42.0</v>
      </c>
      <c r="C158" s="8" t="s">
        <v>3899</v>
      </c>
      <c r="D158" s="1">
        <f>IFERROR(__xludf.DUMMYFUNCTION("IF(C158="""", 0, COUNTA(SPLIT(C158, "" "")))"),2.0)</f>
        <v>2</v>
      </c>
      <c r="E158" s="8" t="s">
        <v>3900</v>
      </c>
      <c r="F158" s="12">
        <v>13327.0</v>
      </c>
      <c r="G158" s="37">
        <f t="shared" si="1"/>
        <v>68.76659822</v>
      </c>
      <c r="H158" s="27" t="s">
        <v>3901</v>
      </c>
      <c r="I158" s="33">
        <v>34664.0</v>
      </c>
      <c r="J158" s="16" t="s">
        <v>138</v>
      </c>
      <c r="K158" s="8" t="s">
        <v>3902</v>
      </c>
      <c r="L158" s="1">
        <v>0.0</v>
      </c>
      <c r="M158" s="1">
        <v>0.0</v>
      </c>
      <c r="N158" s="1" t="s">
        <v>140</v>
      </c>
      <c r="O158" s="16" t="s">
        <v>174</v>
      </c>
      <c r="R158" s="1">
        <v>0.0</v>
      </c>
    </row>
    <row r="159">
      <c r="A159" s="3">
        <v>38444.0</v>
      </c>
      <c r="B159" s="5">
        <v>43.0</v>
      </c>
      <c r="C159" s="8" t="s">
        <v>3903</v>
      </c>
      <c r="D159" s="1">
        <f>IFERROR(__xludf.DUMMYFUNCTION("IF(C159="""", 0, COUNTA(SPLIT(C159, "" "")))"),4.0)</f>
        <v>4</v>
      </c>
      <c r="E159" s="8" t="s">
        <v>3904</v>
      </c>
      <c r="F159" s="12">
        <v>9764.0</v>
      </c>
      <c r="G159" s="37">
        <f t="shared" si="1"/>
        <v>78.52156057</v>
      </c>
      <c r="H159" s="27" t="s">
        <v>3905</v>
      </c>
      <c r="I159" s="33">
        <v>34664.0</v>
      </c>
      <c r="J159" s="16" t="s">
        <v>138</v>
      </c>
      <c r="K159" s="8" t="s">
        <v>3906</v>
      </c>
      <c r="L159" s="1">
        <v>0.0</v>
      </c>
      <c r="M159" s="1">
        <v>0.0</v>
      </c>
      <c r="N159" s="1" t="s">
        <v>140</v>
      </c>
      <c r="O159" s="16" t="s">
        <v>163</v>
      </c>
      <c r="R159" s="1">
        <v>0.0</v>
      </c>
    </row>
    <row r="160">
      <c r="A160" s="3">
        <v>38444.0</v>
      </c>
      <c r="B160" s="5">
        <v>44.0</v>
      </c>
      <c r="C160" s="8" t="s">
        <v>3907</v>
      </c>
      <c r="D160" s="1">
        <f>IFERROR(__xludf.DUMMYFUNCTION("IF(C160="""", 0, COUNTA(SPLIT(C160, "" "")))"),3.0)</f>
        <v>3</v>
      </c>
      <c r="E160" s="8" t="s">
        <v>3908</v>
      </c>
      <c r="F160" s="12">
        <v>11035.0</v>
      </c>
      <c r="G160" s="37">
        <f t="shared" si="1"/>
        <v>75.04175222</v>
      </c>
      <c r="H160" s="27" t="s">
        <v>3909</v>
      </c>
      <c r="I160" s="33">
        <v>34664.0</v>
      </c>
      <c r="J160" s="16" t="s">
        <v>138</v>
      </c>
      <c r="K160" s="8" t="s">
        <v>3910</v>
      </c>
      <c r="L160" s="1">
        <v>0.0</v>
      </c>
      <c r="M160" s="1">
        <v>0.0</v>
      </c>
      <c r="N160" s="1" t="s">
        <v>140</v>
      </c>
      <c r="O160" s="16" t="s">
        <v>167</v>
      </c>
      <c r="R160" s="1">
        <v>0.0</v>
      </c>
    </row>
    <row r="161">
      <c r="A161" s="3">
        <v>38444.0</v>
      </c>
      <c r="B161" s="5">
        <v>45.0</v>
      </c>
      <c r="C161" s="8" t="s">
        <v>3911</v>
      </c>
      <c r="D161" s="1">
        <f>IFERROR(__xludf.DUMMYFUNCTION("IF(C161="""", 0, COUNTA(SPLIT(C161, "" "")))"),2.0)</f>
        <v>2</v>
      </c>
      <c r="E161" s="8" t="s">
        <v>3912</v>
      </c>
      <c r="F161" s="12">
        <v>16688.0</v>
      </c>
      <c r="G161" s="37">
        <f t="shared" si="1"/>
        <v>59.56468172</v>
      </c>
      <c r="H161" s="27" t="s">
        <v>3913</v>
      </c>
      <c r="I161" s="33">
        <v>34664.0</v>
      </c>
      <c r="J161" s="16" t="s">
        <v>138</v>
      </c>
      <c r="K161" s="8" t="s">
        <v>3914</v>
      </c>
      <c r="L161" s="1">
        <v>0.0</v>
      </c>
      <c r="M161" s="1">
        <v>0.0</v>
      </c>
      <c r="N161" s="1" t="s">
        <v>140</v>
      </c>
      <c r="O161" s="16" t="s">
        <v>178</v>
      </c>
      <c r="R161" s="1">
        <v>0.0</v>
      </c>
    </row>
    <row r="162">
      <c r="A162" s="3">
        <v>38444.0</v>
      </c>
      <c r="B162" s="5">
        <v>46.0</v>
      </c>
      <c r="C162" s="8" t="s">
        <v>3915</v>
      </c>
      <c r="D162" s="1">
        <f>IFERROR(__xludf.DUMMYFUNCTION("IF(C162="""", 0, COUNTA(SPLIT(C162, "" "")))"),3.0)</f>
        <v>3</v>
      </c>
      <c r="E162" s="8" t="s">
        <v>3916</v>
      </c>
      <c r="F162" s="12">
        <v>9351.0</v>
      </c>
      <c r="G162" s="37">
        <f t="shared" si="1"/>
        <v>79.65229295</v>
      </c>
      <c r="H162" s="27" t="s">
        <v>3917</v>
      </c>
      <c r="I162" s="33">
        <v>34664.0</v>
      </c>
      <c r="J162" s="16" t="s">
        <v>138</v>
      </c>
      <c r="K162" s="8" t="s">
        <v>3918</v>
      </c>
      <c r="L162" s="1">
        <v>0.0</v>
      </c>
      <c r="M162" s="1">
        <v>0.0</v>
      </c>
      <c r="N162" s="1" t="s">
        <v>140</v>
      </c>
      <c r="O162" s="16" t="s">
        <v>656</v>
      </c>
      <c r="R162" s="1">
        <v>0.0</v>
      </c>
    </row>
    <row r="163">
      <c r="A163" s="3">
        <v>38444.0</v>
      </c>
      <c r="B163" s="5">
        <v>47.0</v>
      </c>
      <c r="C163" s="8" t="s">
        <v>3919</v>
      </c>
      <c r="D163" s="1">
        <f>IFERROR(__xludf.DUMMYFUNCTION("IF(C163="""", 0, COUNTA(SPLIT(C163, "" "")))"),3.0)</f>
        <v>3</v>
      </c>
      <c r="E163" s="8" t="s">
        <v>3920</v>
      </c>
      <c r="F163" s="12">
        <v>12141.0</v>
      </c>
      <c r="G163" s="37">
        <f t="shared" si="1"/>
        <v>72.01368925</v>
      </c>
      <c r="H163" s="27" t="s">
        <v>3921</v>
      </c>
      <c r="I163" s="33">
        <v>34664.0</v>
      </c>
      <c r="J163" s="16" t="s">
        <v>138</v>
      </c>
      <c r="K163" s="8" t="s">
        <v>3922</v>
      </c>
      <c r="L163" s="1">
        <v>0.0</v>
      </c>
      <c r="M163" s="1">
        <v>0.0</v>
      </c>
      <c r="N163" s="1" t="s">
        <v>140</v>
      </c>
      <c r="O163" s="16" t="s">
        <v>163</v>
      </c>
      <c r="R163" s="1">
        <v>0.0</v>
      </c>
    </row>
    <row r="164">
      <c r="A164" s="3">
        <v>38444.0</v>
      </c>
      <c r="B164" s="5">
        <v>48.0</v>
      </c>
      <c r="C164" s="8" t="s">
        <v>3923</v>
      </c>
      <c r="D164" s="1">
        <f>IFERROR(__xludf.DUMMYFUNCTION("IF(C164="""", 0, COUNTA(SPLIT(C164, "" "")))"),3.0)</f>
        <v>3</v>
      </c>
      <c r="E164" s="8" t="s">
        <v>3924</v>
      </c>
      <c r="F164" s="12">
        <v>11207.0</v>
      </c>
      <c r="G164" s="37">
        <f t="shared" si="1"/>
        <v>74.57084189</v>
      </c>
      <c r="H164" s="27" t="s">
        <v>3925</v>
      </c>
      <c r="I164" s="33">
        <v>35847.0</v>
      </c>
      <c r="J164" s="16" t="s">
        <v>138</v>
      </c>
      <c r="K164" s="8" t="s">
        <v>3926</v>
      </c>
      <c r="L164" s="1">
        <v>0.0</v>
      </c>
      <c r="M164" s="1">
        <v>0.0</v>
      </c>
      <c r="N164" s="1" t="s">
        <v>140</v>
      </c>
      <c r="O164" s="16" t="s">
        <v>27</v>
      </c>
      <c r="R164" s="1">
        <v>0.0</v>
      </c>
    </row>
    <row r="165">
      <c r="A165" s="3">
        <v>38444.0</v>
      </c>
      <c r="B165" s="5">
        <v>49.0</v>
      </c>
      <c r="C165" s="8" t="s">
        <v>3927</v>
      </c>
      <c r="D165" s="1">
        <f>IFERROR(__xludf.DUMMYFUNCTION("IF(C165="""", 0, COUNTA(SPLIT(C165, "" "")))"),4.0)</f>
        <v>4</v>
      </c>
      <c r="E165" s="8" t="s">
        <v>3928</v>
      </c>
      <c r="F165" s="12">
        <v>13382.0</v>
      </c>
      <c r="G165" s="37">
        <f t="shared" si="1"/>
        <v>68.61601643</v>
      </c>
      <c r="H165" s="27" t="s">
        <v>3929</v>
      </c>
      <c r="I165" s="33">
        <v>35847.0</v>
      </c>
      <c r="J165" s="16" t="s">
        <v>138</v>
      </c>
      <c r="K165" s="8" t="s">
        <v>3930</v>
      </c>
      <c r="L165" s="1">
        <v>0.0</v>
      </c>
      <c r="M165" s="1">
        <v>0.0</v>
      </c>
      <c r="N165" s="1" t="s">
        <v>140</v>
      </c>
      <c r="O165" s="16" t="s">
        <v>163</v>
      </c>
      <c r="R165" s="1">
        <v>0.0</v>
      </c>
    </row>
    <row r="166">
      <c r="A166" s="3">
        <v>38444.0</v>
      </c>
      <c r="B166" s="5">
        <v>50.0</v>
      </c>
      <c r="C166" s="8" t="s">
        <v>3931</v>
      </c>
      <c r="D166" s="1">
        <f>IFERROR(__xludf.DUMMYFUNCTION("IF(C166="""", 0, COUNTA(SPLIT(C166, "" "")))"),3.0)</f>
        <v>3</v>
      </c>
      <c r="E166" s="8" t="s">
        <v>3932</v>
      </c>
      <c r="F166" s="12">
        <v>10985.0</v>
      </c>
      <c r="G166" s="37">
        <f t="shared" si="1"/>
        <v>75.17864476</v>
      </c>
      <c r="H166" s="27" t="s">
        <v>3933</v>
      </c>
      <c r="I166" s="33">
        <v>35847.0</v>
      </c>
      <c r="J166" s="16" t="s">
        <v>138</v>
      </c>
      <c r="K166" s="8" t="s">
        <v>3934</v>
      </c>
      <c r="L166" s="1">
        <v>0.0</v>
      </c>
      <c r="M166" s="1">
        <v>0.0</v>
      </c>
      <c r="N166" s="1" t="s">
        <v>140</v>
      </c>
      <c r="O166" s="16" t="s">
        <v>669</v>
      </c>
      <c r="R166" s="1">
        <v>0.0</v>
      </c>
    </row>
    <row r="167">
      <c r="A167" s="3">
        <v>38444.0</v>
      </c>
      <c r="B167" s="5">
        <v>51.0</v>
      </c>
      <c r="C167" s="8" t="s">
        <v>3935</v>
      </c>
      <c r="D167" s="1">
        <f>IFERROR(__xludf.DUMMYFUNCTION("IF(C167="""", 0, COUNTA(SPLIT(C167, "" "")))"),2.0)</f>
        <v>2</v>
      </c>
      <c r="E167" s="8" t="s">
        <v>3936</v>
      </c>
      <c r="F167" s="12">
        <v>12492.0</v>
      </c>
      <c r="G167" s="37">
        <f t="shared" si="1"/>
        <v>71.05270363</v>
      </c>
      <c r="H167" s="27" t="s">
        <v>3937</v>
      </c>
      <c r="I167" s="33">
        <v>35847.0</v>
      </c>
      <c r="J167" s="16" t="s">
        <v>138</v>
      </c>
      <c r="K167" s="8" t="s">
        <v>3938</v>
      </c>
      <c r="L167" s="1">
        <v>0.0</v>
      </c>
      <c r="M167" s="1">
        <v>0.0</v>
      </c>
      <c r="N167" s="1" t="s">
        <v>140</v>
      </c>
      <c r="O167" s="16" t="s">
        <v>27</v>
      </c>
      <c r="R167" s="1">
        <v>2.0</v>
      </c>
    </row>
    <row r="168">
      <c r="A168" s="3">
        <v>38444.0</v>
      </c>
      <c r="B168" s="5">
        <v>52.0</v>
      </c>
      <c r="C168" s="8" t="s">
        <v>3939</v>
      </c>
      <c r="D168" s="1">
        <f>IFERROR(__xludf.DUMMYFUNCTION("IF(C168="""", 0, COUNTA(SPLIT(C168, "" "")))"),2.0)</f>
        <v>2</v>
      </c>
      <c r="E168" s="8" t="s">
        <v>3940</v>
      </c>
      <c r="F168" s="12">
        <v>16289.0</v>
      </c>
      <c r="G168" s="37">
        <f t="shared" si="1"/>
        <v>60.65708419</v>
      </c>
      <c r="H168" s="27" t="s">
        <v>3941</v>
      </c>
      <c r="I168" s="33">
        <v>35847.0</v>
      </c>
      <c r="J168" s="16" t="s">
        <v>138</v>
      </c>
      <c r="K168" s="8" t="s">
        <v>3942</v>
      </c>
      <c r="L168" s="1">
        <v>0.0</v>
      </c>
      <c r="M168" s="1">
        <v>0.0</v>
      </c>
      <c r="N168" s="1" t="s">
        <v>140</v>
      </c>
      <c r="O168" s="16" t="s">
        <v>191</v>
      </c>
      <c r="R168" s="1">
        <v>0.0</v>
      </c>
    </row>
    <row r="169">
      <c r="A169" s="3">
        <v>38444.0</v>
      </c>
      <c r="B169" s="5">
        <v>53.0</v>
      </c>
      <c r="C169" s="17" t="s">
        <v>3943</v>
      </c>
      <c r="D169" s="1">
        <f>IFERROR(__xludf.DUMMYFUNCTION("IF(C169="""", 0, COUNTA(SPLIT(C169, "" "")))"),2.0)</f>
        <v>2</v>
      </c>
      <c r="E169" s="8" t="s">
        <v>3944</v>
      </c>
      <c r="F169" s="12">
        <v>16459.0</v>
      </c>
      <c r="G169" s="37">
        <f t="shared" si="1"/>
        <v>60.19164956</v>
      </c>
      <c r="H169" s="27" t="s">
        <v>3945</v>
      </c>
      <c r="I169" s="33">
        <v>35847.0</v>
      </c>
      <c r="J169" s="16" t="s">
        <v>138</v>
      </c>
      <c r="K169" s="8" t="s">
        <v>3946</v>
      </c>
      <c r="L169" s="1">
        <v>0.0</v>
      </c>
      <c r="M169" s="1">
        <v>0.0</v>
      </c>
      <c r="N169" s="1" t="s">
        <v>140</v>
      </c>
      <c r="O169" s="16" t="s">
        <v>159</v>
      </c>
      <c r="R169" s="1">
        <v>0.0</v>
      </c>
    </row>
    <row r="170">
      <c r="A170" s="3">
        <v>38444.0</v>
      </c>
      <c r="B170" s="5">
        <v>54.0</v>
      </c>
      <c r="C170" s="8" t="s">
        <v>3947</v>
      </c>
      <c r="D170" s="1">
        <f>IFERROR(__xludf.DUMMYFUNCTION("IF(C170="""", 0, COUNTA(SPLIT(C170, "" "")))"),3.0)</f>
        <v>3</v>
      </c>
      <c r="E170" s="8" t="s">
        <v>3948</v>
      </c>
      <c r="F170" s="12">
        <v>15498.0</v>
      </c>
      <c r="G170" s="37">
        <f t="shared" si="1"/>
        <v>62.82272416</v>
      </c>
      <c r="H170" s="27" t="s">
        <v>3949</v>
      </c>
      <c r="I170" s="33">
        <v>35847.0</v>
      </c>
      <c r="J170" s="16" t="s">
        <v>138</v>
      </c>
      <c r="K170" s="8" t="s">
        <v>3950</v>
      </c>
      <c r="L170" s="1">
        <v>0.0</v>
      </c>
      <c r="M170" s="1">
        <v>0.0</v>
      </c>
      <c r="N170" s="1" t="s">
        <v>140</v>
      </c>
      <c r="O170" s="16" t="s">
        <v>163</v>
      </c>
      <c r="R170" s="1">
        <v>0.0</v>
      </c>
    </row>
    <row r="171">
      <c r="A171" s="3">
        <v>38444.0</v>
      </c>
      <c r="B171" s="5">
        <v>55.0</v>
      </c>
      <c r="C171" s="17" t="s">
        <v>3951</v>
      </c>
      <c r="D171" s="1">
        <f>IFERROR(__xludf.DUMMYFUNCTION("IF(C171="""", 0, COUNTA(SPLIT(C171, "" "")))"),3.0)</f>
        <v>3</v>
      </c>
      <c r="E171" s="8" t="s">
        <v>3952</v>
      </c>
      <c r="F171" s="12">
        <v>13531.0</v>
      </c>
      <c r="G171" s="37">
        <f t="shared" si="1"/>
        <v>68.20807666</v>
      </c>
      <c r="H171" s="27" t="s">
        <v>3953</v>
      </c>
      <c r="I171" s="33">
        <v>35847.0</v>
      </c>
      <c r="J171" s="16" t="s">
        <v>138</v>
      </c>
      <c r="K171" s="8" t="s">
        <v>3954</v>
      </c>
      <c r="L171" s="1">
        <v>0.0</v>
      </c>
      <c r="M171" s="1">
        <v>0.0</v>
      </c>
      <c r="N171" s="1" t="s">
        <v>140</v>
      </c>
      <c r="O171" s="16" t="s">
        <v>167</v>
      </c>
      <c r="R171" s="1">
        <v>0.0</v>
      </c>
    </row>
    <row r="172">
      <c r="A172" s="3">
        <v>38444.0</v>
      </c>
      <c r="B172" s="5">
        <v>56.0</v>
      </c>
      <c r="C172" s="8" t="s">
        <v>3955</v>
      </c>
      <c r="D172" s="1">
        <f>IFERROR(__xludf.DUMMYFUNCTION("IF(C172="""", 0, COUNTA(SPLIT(C172, "" "")))"),2.0)</f>
        <v>2</v>
      </c>
      <c r="E172" s="8" t="s">
        <v>3956</v>
      </c>
      <c r="F172" s="12">
        <v>9730.0</v>
      </c>
      <c r="G172" s="37">
        <f t="shared" si="1"/>
        <v>78.6146475</v>
      </c>
      <c r="H172" s="27" t="s">
        <v>3957</v>
      </c>
      <c r="I172" s="33">
        <v>35847.0</v>
      </c>
      <c r="J172" s="16" t="s">
        <v>138</v>
      </c>
      <c r="K172" s="8" t="s">
        <v>3958</v>
      </c>
      <c r="L172" s="1">
        <v>0.0</v>
      </c>
      <c r="M172" s="1">
        <v>0.0</v>
      </c>
      <c r="N172" s="1" t="s">
        <v>140</v>
      </c>
      <c r="O172" s="16" t="s">
        <v>204</v>
      </c>
      <c r="R172" s="1">
        <v>0.0</v>
      </c>
    </row>
    <row r="173">
      <c r="A173" s="3">
        <v>38444.0</v>
      </c>
      <c r="B173" s="5">
        <v>57.0</v>
      </c>
      <c r="C173" s="8" t="s">
        <v>3959</v>
      </c>
      <c r="D173" s="1">
        <f>IFERROR(__xludf.DUMMYFUNCTION("IF(C173="""", 0, COUNTA(SPLIT(C173, "" "")))"),2.0)</f>
        <v>2</v>
      </c>
      <c r="E173" s="8" t="s">
        <v>3960</v>
      </c>
      <c r="F173" s="12">
        <v>11276.0</v>
      </c>
      <c r="G173" s="37">
        <f t="shared" si="1"/>
        <v>74.38193018</v>
      </c>
      <c r="H173" s="27" t="s">
        <v>3961</v>
      </c>
      <c r="I173" s="33">
        <v>35847.0</v>
      </c>
      <c r="J173" s="16" t="s">
        <v>138</v>
      </c>
      <c r="K173" s="8" t="s">
        <v>3962</v>
      </c>
      <c r="L173" s="1">
        <v>0.0</v>
      </c>
      <c r="M173" s="1">
        <v>0.0</v>
      </c>
      <c r="N173" s="1" t="s">
        <v>140</v>
      </c>
      <c r="O173" s="16" t="s">
        <v>691</v>
      </c>
      <c r="R173" s="1">
        <v>0.0</v>
      </c>
    </row>
    <row r="174">
      <c r="A174" s="3">
        <v>38444.0</v>
      </c>
      <c r="B174" s="5">
        <v>58.0</v>
      </c>
      <c r="C174" s="8" t="s">
        <v>3963</v>
      </c>
      <c r="D174" s="1">
        <f>IFERROR(__xludf.DUMMYFUNCTION("IF(C174="""", 0, COUNTA(SPLIT(C174, "" "")))"),2.0)</f>
        <v>2</v>
      </c>
      <c r="E174" s="8" t="s">
        <v>3964</v>
      </c>
      <c r="F174" s="12">
        <v>13254.0</v>
      </c>
      <c r="G174" s="37">
        <f t="shared" si="1"/>
        <v>68.96646133</v>
      </c>
      <c r="H174" s="27" t="s">
        <v>3965</v>
      </c>
      <c r="I174" s="33">
        <v>36943.0</v>
      </c>
      <c r="J174" s="16" t="s">
        <v>138</v>
      </c>
      <c r="K174" s="8" t="s">
        <v>3966</v>
      </c>
      <c r="L174" s="1">
        <v>0.0</v>
      </c>
      <c r="M174" s="1">
        <v>0.0</v>
      </c>
      <c r="N174" s="1" t="s">
        <v>140</v>
      </c>
      <c r="O174" s="16" t="s">
        <v>214</v>
      </c>
      <c r="R174" s="1">
        <v>0.0</v>
      </c>
    </row>
    <row r="175">
      <c r="A175" s="3">
        <v>38444.0</v>
      </c>
      <c r="B175" s="5">
        <v>59.0</v>
      </c>
      <c r="C175" s="8" t="s">
        <v>3967</v>
      </c>
      <c r="D175" s="1">
        <f>IFERROR(__xludf.DUMMYFUNCTION("IF(C175="""", 0, COUNTA(SPLIT(C175, "" "")))"),3.0)</f>
        <v>3</v>
      </c>
      <c r="E175" s="8" t="s">
        <v>3968</v>
      </c>
      <c r="F175" s="12">
        <v>12346.0</v>
      </c>
      <c r="G175" s="37">
        <f t="shared" si="1"/>
        <v>71.45242984</v>
      </c>
      <c r="H175" s="27" t="s">
        <v>3969</v>
      </c>
      <c r="I175" s="33">
        <v>36943.0</v>
      </c>
      <c r="J175" s="16" t="s">
        <v>138</v>
      </c>
      <c r="K175" s="8" t="s">
        <v>3970</v>
      </c>
      <c r="L175" s="1">
        <v>0.0</v>
      </c>
      <c r="M175" s="1">
        <v>0.0</v>
      </c>
      <c r="N175" s="1" t="s">
        <v>140</v>
      </c>
      <c r="O175" s="16" t="s">
        <v>218</v>
      </c>
      <c r="R175" s="1">
        <v>0.0</v>
      </c>
    </row>
    <row r="176">
      <c r="A176" s="3">
        <v>38444.0</v>
      </c>
      <c r="B176" s="5">
        <v>60.0</v>
      </c>
      <c r="C176" s="8" t="s">
        <v>3971</v>
      </c>
      <c r="D176" s="1">
        <f>IFERROR(__xludf.DUMMYFUNCTION("IF(C176="""", 0, COUNTA(SPLIT(C176, "" "")))"),3.0)</f>
        <v>3</v>
      </c>
      <c r="E176" s="8" t="s">
        <v>3972</v>
      </c>
      <c r="F176" s="12">
        <v>11945.0</v>
      </c>
      <c r="G176" s="37">
        <f t="shared" si="1"/>
        <v>72.55030801</v>
      </c>
      <c r="H176" s="27" t="s">
        <v>3973</v>
      </c>
      <c r="I176" s="33">
        <v>36943.0</v>
      </c>
      <c r="J176" s="16" t="s">
        <v>138</v>
      </c>
      <c r="K176" s="8" t="s">
        <v>3974</v>
      </c>
      <c r="L176" s="1">
        <v>0.0</v>
      </c>
      <c r="M176" s="1">
        <v>0.0</v>
      </c>
      <c r="N176" s="1" t="s">
        <v>140</v>
      </c>
      <c r="O176" s="16" t="s">
        <v>163</v>
      </c>
      <c r="R176" s="1">
        <v>0.0</v>
      </c>
    </row>
    <row r="177">
      <c r="A177" s="3">
        <v>38444.0</v>
      </c>
      <c r="B177" s="5">
        <v>61.0</v>
      </c>
      <c r="C177" s="8" t="s">
        <v>3975</v>
      </c>
      <c r="D177" s="1">
        <f>IFERROR(__xludf.DUMMYFUNCTION("IF(C177="""", 0, COUNTA(SPLIT(C177, "" "")))"),3.0)</f>
        <v>3</v>
      </c>
      <c r="E177" s="8" t="s">
        <v>3976</v>
      </c>
      <c r="F177" s="12">
        <v>11146.0</v>
      </c>
      <c r="G177" s="37">
        <f t="shared" si="1"/>
        <v>74.73785079</v>
      </c>
      <c r="H177" s="27" t="s">
        <v>3977</v>
      </c>
      <c r="I177" s="33">
        <v>36943.0</v>
      </c>
      <c r="J177" s="16" t="s">
        <v>138</v>
      </c>
      <c r="K177" s="8" t="s">
        <v>3978</v>
      </c>
      <c r="L177" s="1">
        <v>0.0</v>
      </c>
      <c r="M177" s="1">
        <v>0.0</v>
      </c>
      <c r="N177" s="1" t="s">
        <v>140</v>
      </c>
      <c r="O177" s="16" t="s">
        <v>167</v>
      </c>
      <c r="R177" s="1">
        <v>0.0</v>
      </c>
    </row>
    <row r="178">
      <c r="A178" s="3">
        <v>38444.0</v>
      </c>
      <c r="B178" s="5">
        <v>62.0</v>
      </c>
      <c r="C178" s="8" t="s">
        <v>3979</v>
      </c>
      <c r="D178" s="1">
        <f>IFERROR(__xludf.DUMMYFUNCTION("IF(C178="""", 0, COUNTA(SPLIT(C178, "" "")))"),2.0)</f>
        <v>2</v>
      </c>
      <c r="E178" s="8" t="s">
        <v>3980</v>
      </c>
      <c r="F178" s="12">
        <v>9580.0</v>
      </c>
      <c r="G178" s="37">
        <f t="shared" si="1"/>
        <v>79.02532512</v>
      </c>
      <c r="H178" s="27" t="s">
        <v>3981</v>
      </c>
      <c r="I178" s="33">
        <v>36943.0</v>
      </c>
      <c r="J178" s="16" t="s">
        <v>138</v>
      </c>
      <c r="K178" s="8" t="s">
        <v>3982</v>
      </c>
      <c r="L178" s="1">
        <v>0.0</v>
      </c>
      <c r="M178" s="1">
        <v>0.0</v>
      </c>
      <c r="N178" s="1" t="s">
        <v>140</v>
      </c>
      <c r="O178" s="16" t="s">
        <v>167</v>
      </c>
      <c r="R178" s="1">
        <v>0.0</v>
      </c>
    </row>
    <row r="179">
      <c r="A179" s="3">
        <v>38444.0</v>
      </c>
      <c r="B179" s="5">
        <v>63.0</v>
      </c>
      <c r="C179" s="8" t="s">
        <v>3983</v>
      </c>
      <c r="D179" s="1">
        <f>IFERROR(__xludf.DUMMYFUNCTION("IF(C179="""", 0, COUNTA(SPLIT(C179, "" "")))"),3.0)</f>
        <v>3</v>
      </c>
      <c r="E179" s="8" t="s">
        <v>3984</v>
      </c>
      <c r="F179" s="12">
        <v>13547.0</v>
      </c>
      <c r="G179" s="37">
        <f t="shared" si="1"/>
        <v>68.16427105</v>
      </c>
      <c r="H179" s="27" t="s">
        <v>3985</v>
      </c>
      <c r="I179" s="33">
        <v>36943.0</v>
      </c>
      <c r="J179" s="16" t="s">
        <v>138</v>
      </c>
      <c r="K179" s="8" t="s">
        <v>3986</v>
      </c>
      <c r="L179" s="1">
        <v>0.0</v>
      </c>
      <c r="M179" s="1">
        <v>0.0</v>
      </c>
      <c r="N179" s="1" t="s">
        <v>140</v>
      </c>
      <c r="O179" s="16" t="s">
        <v>222</v>
      </c>
      <c r="R179" s="1">
        <v>0.0</v>
      </c>
    </row>
    <row r="180">
      <c r="A180" s="3">
        <v>38444.0</v>
      </c>
      <c r="B180" s="5">
        <v>64.0</v>
      </c>
      <c r="C180" s="17" t="s">
        <v>3987</v>
      </c>
      <c r="D180" s="1">
        <f>IFERROR(__xludf.DUMMYFUNCTION("IF(C180="""", 0, COUNTA(SPLIT(C180, "" "")))"),4.0)</f>
        <v>4</v>
      </c>
      <c r="E180" s="8" t="s">
        <v>3988</v>
      </c>
      <c r="F180" s="12">
        <v>12302.0</v>
      </c>
      <c r="G180" s="37">
        <f t="shared" si="1"/>
        <v>71.57289528</v>
      </c>
      <c r="H180" s="27" t="s">
        <v>3989</v>
      </c>
      <c r="I180" s="33">
        <v>36943.0</v>
      </c>
      <c r="J180" s="16" t="s">
        <v>138</v>
      </c>
      <c r="K180" s="8" t="s">
        <v>3990</v>
      </c>
      <c r="L180" s="1">
        <v>0.0</v>
      </c>
      <c r="M180" s="1">
        <v>0.0</v>
      </c>
      <c r="N180" s="1" t="s">
        <v>140</v>
      </c>
      <c r="O180" s="16" t="s">
        <v>163</v>
      </c>
      <c r="R180" s="1">
        <v>0.0</v>
      </c>
    </row>
    <row r="181">
      <c r="A181" s="3">
        <v>38444.0</v>
      </c>
      <c r="B181" s="5">
        <v>65.0</v>
      </c>
      <c r="C181" s="17" t="s">
        <v>3991</v>
      </c>
      <c r="D181" s="1">
        <f>IFERROR(__xludf.DUMMYFUNCTION("IF(C181="""", 0, COUNTA(SPLIT(C181, "" "")))"),3.0)</f>
        <v>3</v>
      </c>
      <c r="E181" s="8" t="s">
        <v>3992</v>
      </c>
      <c r="F181" s="12">
        <v>13216.0</v>
      </c>
      <c r="G181" s="37">
        <f t="shared" si="1"/>
        <v>69.07049966</v>
      </c>
      <c r="H181" s="27" t="s">
        <v>3993</v>
      </c>
      <c r="I181" s="33">
        <v>36943.0</v>
      </c>
      <c r="J181" s="16" t="s">
        <v>138</v>
      </c>
      <c r="K181" s="8" t="s">
        <v>3994</v>
      </c>
      <c r="L181" s="1">
        <v>0.0</v>
      </c>
      <c r="M181" s="1">
        <v>0.0</v>
      </c>
      <c r="N181" s="1" t="s">
        <v>140</v>
      </c>
      <c r="O181" s="16" t="s">
        <v>163</v>
      </c>
      <c r="R181" s="1">
        <v>0.0</v>
      </c>
    </row>
    <row r="182">
      <c r="A182" s="3">
        <v>38444.0</v>
      </c>
      <c r="B182" s="5">
        <v>66.0</v>
      </c>
      <c r="C182" s="17" t="s">
        <v>3995</v>
      </c>
      <c r="D182" s="1">
        <f>IFERROR(__xludf.DUMMYFUNCTION("IF(C182="""", 0, COUNTA(SPLIT(C182, "" "")))"),3.0)</f>
        <v>3</v>
      </c>
      <c r="E182" s="8" t="s">
        <v>3996</v>
      </c>
      <c r="F182" s="12">
        <v>15043.0</v>
      </c>
      <c r="G182" s="37">
        <f t="shared" si="1"/>
        <v>64.06844627</v>
      </c>
      <c r="H182" s="27" t="s">
        <v>3997</v>
      </c>
      <c r="I182" s="33">
        <v>36943.0</v>
      </c>
      <c r="J182" s="16" t="s">
        <v>138</v>
      </c>
      <c r="K182" s="8" t="s">
        <v>3998</v>
      </c>
      <c r="L182" s="1">
        <v>0.0</v>
      </c>
      <c r="M182" s="1">
        <v>0.0</v>
      </c>
      <c r="N182" s="1" t="s">
        <v>140</v>
      </c>
      <c r="O182" s="16" t="s">
        <v>167</v>
      </c>
      <c r="R182" s="1">
        <v>0.0</v>
      </c>
    </row>
    <row r="183">
      <c r="A183" s="3">
        <v>38444.0</v>
      </c>
      <c r="B183" s="5">
        <v>67.0</v>
      </c>
      <c r="C183" s="17" t="s">
        <v>3999</v>
      </c>
      <c r="D183" s="1">
        <f>IFERROR(__xludf.DUMMYFUNCTION("IF(C183="""", 0, COUNTA(SPLIT(C183, "" "")))"),4.0)</f>
        <v>4</v>
      </c>
      <c r="E183" s="8" t="s">
        <v>4000</v>
      </c>
      <c r="F183" s="12">
        <v>15704.0</v>
      </c>
      <c r="G183" s="37">
        <f t="shared" si="1"/>
        <v>62.2587269</v>
      </c>
      <c r="H183" s="27" t="s">
        <v>4001</v>
      </c>
      <c r="I183" s="33">
        <v>36943.0</v>
      </c>
      <c r="J183" s="16" t="s">
        <v>138</v>
      </c>
      <c r="K183" s="8" t="s">
        <v>4002</v>
      </c>
      <c r="L183" s="1">
        <v>0.0</v>
      </c>
      <c r="M183" s="1">
        <v>0.0</v>
      </c>
      <c r="N183" s="1" t="s">
        <v>140</v>
      </c>
      <c r="O183" s="16" t="s">
        <v>163</v>
      </c>
      <c r="R183" s="1">
        <v>3.0</v>
      </c>
    </row>
    <row r="184">
      <c r="A184" s="3">
        <v>38444.0</v>
      </c>
      <c r="B184" s="5">
        <v>68.0</v>
      </c>
      <c r="C184" s="8" t="s">
        <v>4003</v>
      </c>
      <c r="D184" s="1">
        <f>IFERROR(__xludf.DUMMYFUNCTION("IF(C184="""", 0, COUNTA(SPLIT(C184, "" "")))"),2.0)</f>
        <v>2</v>
      </c>
      <c r="E184" s="8" t="s">
        <v>4004</v>
      </c>
      <c r="F184" s="12">
        <v>9558.0</v>
      </c>
      <c r="G184" s="37">
        <f t="shared" si="1"/>
        <v>79.08555784</v>
      </c>
      <c r="H184" s="27" t="s">
        <v>4005</v>
      </c>
      <c r="I184" s="33">
        <v>36943.0</v>
      </c>
      <c r="J184" s="16" t="s">
        <v>138</v>
      </c>
      <c r="K184" s="8" t="s">
        <v>4006</v>
      </c>
      <c r="L184" s="1">
        <v>0.0</v>
      </c>
      <c r="M184" s="1">
        <v>0.0</v>
      </c>
      <c r="N184" s="1" t="s">
        <v>140</v>
      </c>
      <c r="O184" s="16" t="s">
        <v>174</v>
      </c>
      <c r="R184" s="1">
        <v>0.0</v>
      </c>
    </row>
    <row r="185">
      <c r="A185" s="3">
        <v>38444.0</v>
      </c>
      <c r="B185" s="5">
        <v>69.0</v>
      </c>
      <c r="C185" s="8" t="s">
        <v>4007</v>
      </c>
      <c r="D185" s="1">
        <f>IFERROR(__xludf.DUMMYFUNCTION("IF(C185="""", 0, COUNTA(SPLIT(C185, "" "")))"),4.0)</f>
        <v>4</v>
      </c>
      <c r="E185" s="8" t="s">
        <v>4008</v>
      </c>
      <c r="F185" s="12">
        <v>16068.0</v>
      </c>
      <c r="G185" s="37">
        <f t="shared" si="1"/>
        <v>61.26214921</v>
      </c>
      <c r="H185" s="27" t="s">
        <v>4009</v>
      </c>
      <c r="I185" s="33">
        <v>36943.0</v>
      </c>
      <c r="J185" s="16" t="s">
        <v>138</v>
      </c>
      <c r="K185" s="8" t="s">
        <v>4010</v>
      </c>
      <c r="L185" s="1">
        <v>0.0</v>
      </c>
      <c r="M185" s="1">
        <v>0.0</v>
      </c>
      <c r="N185" s="1" t="s">
        <v>140</v>
      </c>
      <c r="O185" s="16" t="s">
        <v>163</v>
      </c>
      <c r="R185" s="1">
        <v>0.0</v>
      </c>
    </row>
    <row r="186">
      <c r="A186" s="3">
        <v>38444.0</v>
      </c>
      <c r="B186" s="5">
        <v>70.0</v>
      </c>
      <c r="C186" s="8" t="s">
        <v>4011</v>
      </c>
      <c r="D186" s="1">
        <f>IFERROR(__xludf.DUMMYFUNCTION("IF(C186="""", 0, COUNTA(SPLIT(C186, "" "")))"),3.0)</f>
        <v>3</v>
      </c>
      <c r="E186" s="8" t="s">
        <v>4012</v>
      </c>
      <c r="F186" s="12">
        <v>9327.0</v>
      </c>
      <c r="G186" s="37">
        <f t="shared" si="1"/>
        <v>79.71800137</v>
      </c>
      <c r="H186" s="27" t="s">
        <v>4013</v>
      </c>
      <c r="I186" s="33">
        <v>36943.0</v>
      </c>
      <c r="J186" s="16" t="s">
        <v>138</v>
      </c>
      <c r="K186" s="8" t="s">
        <v>4014</v>
      </c>
      <c r="L186" s="1">
        <v>0.0</v>
      </c>
      <c r="M186" s="1">
        <v>0.0</v>
      </c>
      <c r="N186" s="1" t="s">
        <v>140</v>
      </c>
      <c r="O186" s="16" t="s">
        <v>163</v>
      </c>
      <c r="R186" s="1">
        <v>0.0</v>
      </c>
    </row>
    <row r="187">
      <c r="A187" s="3">
        <v>38444.0</v>
      </c>
      <c r="B187" s="5">
        <v>71.0</v>
      </c>
      <c r="C187" s="17" t="s">
        <v>4015</v>
      </c>
      <c r="D187" s="1">
        <f>IFERROR(__xludf.DUMMYFUNCTION("IF(C187="""", 0, COUNTA(SPLIT(C187, "" "")))"),2.0)</f>
        <v>2</v>
      </c>
      <c r="E187" s="8" t="s">
        <v>4016</v>
      </c>
      <c r="F187" s="12">
        <v>12639.0</v>
      </c>
      <c r="G187" s="37">
        <f t="shared" si="1"/>
        <v>70.65023956</v>
      </c>
      <c r="H187" s="27" t="s">
        <v>4017</v>
      </c>
      <c r="I187" s="33">
        <v>36943.0</v>
      </c>
      <c r="J187" s="16" t="s">
        <v>138</v>
      </c>
      <c r="K187" s="8" t="s">
        <v>4018</v>
      </c>
      <c r="L187" s="1">
        <v>0.0</v>
      </c>
      <c r="M187" s="1">
        <v>0.0</v>
      </c>
      <c r="N187" s="1" t="s">
        <v>140</v>
      </c>
      <c r="O187" s="16" t="s">
        <v>218</v>
      </c>
      <c r="R187" s="1">
        <v>0.0</v>
      </c>
    </row>
    <row r="188">
      <c r="A188" s="3">
        <v>38444.0</v>
      </c>
      <c r="B188" s="5">
        <v>72.0</v>
      </c>
      <c r="C188" s="17" t="s">
        <v>4019</v>
      </c>
      <c r="D188" s="1">
        <f>IFERROR(__xludf.DUMMYFUNCTION("IF(C188="""", 0, COUNTA(SPLIT(C188, "" "")))"),2.0)</f>
        <v>2</v>
      </c>
      <c r="E188" s="8" t="s">
        <v>4020</v>
      </c>
      <c r="F188" s="12">
        <v>10011.0</v>
      </c>
      <c r="G188" s="37">
        <f t="shared" si="1"/>
        <v>77.84531143</v>
      </c>
      <c r="H188" s="27" t="s">
        <v>4021</v>
      </c>
      <c r="I188" s="33">
        <v>36943.0</v>
      </c>
      <c r="J188" s="16" t="s">
        <v>138</v>
      </c>
      <c r="K188" s="8" t="s">
        <v>4022</v>
      </c>
      <c r="L188" s="1">
        <v>0.0</v>
      </c>
      <c r="M188" s="1">
        <v>0.0</v>
      </c>
      <c r="N188" s="1" t="s">
        <v>140</v>
      </c>
      <c r="O188" s="16" t="s">
        <v>383</v>
      </c>
      <c r="R188" s="1">
        <v>0.0</v>
      </c>
    </row>
    <row r="189">
      <c r="A189" s="3">
        <v>38444.0</v>
      </c>
      <c r="B189" s="5">
        <v>73.0</v>
      </c>
      <c r="C189" s="17" t="s">
        <v>4023</v>
      </c>
      <c r="D189" s="1">
        <f>IFERROR(__xludf.DUMMYFUNCTION("IF(C189="""", 0, COUNTA(SPLIT(C189, "" "")))"),3.0)</f>
        <v>3</v>
      </c>
      <c r="E189" s="8" t="s">
        <v>4024</v>
      </c>
      <c r="F189" s="12">
        <v>13501.0</v>
      </c>
      <c r="G189" s="37">
        <f t="shared" si="1"/>
        <v>68.29021218</v>
      </c>
      <c r="H189" s="27" t="s">
        <v>4025</v>
      </c>
      <c r="I189" s="33">
        <v>36943.0</v>
      </c>
      <c r="J189" s="16" t="s">
        <v>138</v>
      </c>
      <c r="K189" s="8" t="s">
        <v>4026</v>
      </c>
      <c r="L189" s="1">
        <v>0.0</v>
      </c>
      <c r="M189" s="1">
        <v>0.0</v>
      </c>
      <c r="N189" s="1" t="s">
        <v>140</v>
      </c>
      <c r="O189" s="16" t="s">
        <v>163</v>
      </c>
      <c r="R189" s="1">
        <v>10.0</v>
      </c>
    </row>
    <row r="190">
      <c r="A190" s="3">
        <v>38444.0</v>
      </c>
      <c r="B190" s="5">
        <v>74.0</v>
      </c>
      <c r="C190" s="8" t="s">
        <v>4027</v>
      </c>
      <c r="D190" s="1">
        <f>IFERROR(__xludf.DUMMYFUNCTION("IF(C190="""", 0, COUNTA(SPLIT(C190, "" "")))"),4.0)</f>
        <v>4</v>
      </c>
      <c r="E190" s="8" t="s">
        <v>4028</v>
      </c>
      <c r="F190" s="12">
        <v>13206.0</v>
      </c>
      <c r="G190" s="37">
        <f t="shared" si="1"/>
        <v>69.09787817</v>
      </c>
      <c r="H190" s="27" t="s">
        <v>4029</v>
      </c>
      <c r="I190" s="33">
        <v>36943.0</v>
      </c>
      <c r="J190" s="16" t="s">
        <v>138</v>
      </c>
      <c r="K190" s="8" t="s">
        <v>4030</v>
      </c>
      <c r="L190" s="1">
        <v>0.0</v>
      </c>
      <c r="M190" s="1">
        <v>0.0</v>
      </c>
      <c r="N190" s="1" t="s">
        <v>140</v>
      </c>
      <c r="O190" s="16" t="s">
        <v>218</v>
      </c>
      <c r="R190" s="1">
        <v>0.0</v>
      </c>
    </row>
    <row r="191">
      <c r="A191" s="3">
        <v>38444.0</v>
      </c>
      <c r="B191" s="5">
        <v>75.0</v>
      </c>
      <c r="C191" s="8" t="s">
        <v>4031</v>
      </c>
      <c r="D191" s="1">
        <f>IFERROR(__xludf.DUMMYFUNCTION("IF(C191="""", 0, COUNTA(SPLIT(C191, "" "")))"),2.0)</f>
        <v>2</v>
      </c>
      <c r="E191" s="8" t="s">
        <v>4032</v>
      </c>
      <c r="F191" s="12">
        <v>12131.0</v>
      </c>
      <c r="G191" s="37">
        <f t="shared" si="1"/>
        <v>72.04106776</v>
      </c>
      <c r="H191" s="27" t="s">
        <v>4033</v>
      </c>
      <c r="I191" s="33">
        <v>36943.0</v>
      </c>
      <c r="J191" s="16" t="s">
        <v>138</v>
      </c>
      <c r="K191" s="8" t="s">
        <v>4034</v>
      </c>
      <c r="L191" s="1">
        <v>0.0</v>
      </c>
      <c r="M191" s="1">
        <v>0.0</v>
      </c>
      <c r="N191" s="1" t="s">
        <v>140</v>
      </c>
      <c r="O191" s="16" t="s">
        <v>27</v>
      </c>
      <c r="R191" s="1">
        <v>0.0</v>
      </c>
    </row>
    <row r="192">
      <c r="A192" s="3">
        <v>38444.0</v>
      </c>
      <c r="B192" s="5">
        <v>76.0</v>
      </c>
      <c r="C192" s="8" t="s">
        <v>4035</v>
      </c>
      <c r="D192" s="1">
        <f>IFERROR(__xludf.DUMMYFUNCTION("IF(C192="""", 0, COUNTA(SPLIT(C192, "" "")))"),2.0)</f>
        <v>2</v>
      </c>
      <c r="E192" s="8" t="s">
        <v>4036</v>
      </c>
      <c r="F192" s="12">
        <v>11925.0</v>
      </c>
      <c r="G192" s="37">
        <f t="shared" si="1"/>
        <v>72.60506502</v>
      </c>
      <c r="H192" s="27" t="s">
        <v>4037</v>
      </c>
      <c r="I192" s="33">
        <v>36943.0</v>
      </c>
      <c r="J192" s="16" t="s">
        <v>138</v>
      </c>
      <c r="K192" s="8" t="s">
        <v>4038</v>
      </c>
      <c r="L192" s="1">
        <v>0.0</v>
      </c>
      <c r="M192" s="1">
        <v>0.0</v>
      </c>
      <c r="N192" s="1" t="s">
        <v>140</v>
      </c>
      <c r="O192" s="16" t="s">
        <v>167</v>
      </c>
      <c r="R192" s="1">
        <v>0.0</v>
      </c>
    </row>
    <row r="193">
      <c r="A193" s="3">
        <v>38444.0</v>
      </c>
      <c r="B193" s="5">
        <v>77.0</v>
      </c>
      <c r="C193" s="8" t="s">
        <v>4039</v>
      </c>
      <c r="D193" s="1">
        <f>IFERROR(__xludf.DUMMYFUNCTION("IF(C193="""", 0, COUNTA(SPLIT(C193, "" "")))"),3.0)</f>
        <v>3</v>
      </c>
      <c r="E193" s="8" t="s">
        <v>4040</v>
      </c>
      <c r="F193" s="12">
        <v>11781.0</v>
      </c>
      <c r="G193" s="37">
        <f t="shared" si="1"/>
        <v>72.99931554</v>
      </c>
      <c r="H193" s="27" t="s">
        <v>4041</v>
      </c>
      <c r="I193" s="33">
        <v>36943.0</v>
      </c>
      <c r="J193" s="16" t="s">
        <v>138</v>
      </c>
      <c r="K193" s="8" t="s">
        <v>4042</v>
      </c>
      <c r="L193" s="1">
        <v>0.0</v>
      </c>
      <c r="M193" s="1">
        <v>0.0</v>
      </c>
      <c r="N193" s="1" t="s">
        <v>140</v>
      </c>
      <c r="O193" s="16" t="s">
        <v>167</v>
      </c>
      <c r="R193" s="1">
        <v>0.0</v>
      </c>
    </row>
    <row r="194">
      <c r="A194" s="3">
        <v>38444.0</v>
      </c>
      <c r="B194" s="5">
        <v>78.0</v>
      </c>
      <c r="C194" s="17" t="s">
        <v>4043</v>
      </c>
      <c r="D194" s="1">
        <f>IFERROR(__xludf.DUMMYFUNCTION("IF(C194="""", 0, COUNTA(SPLIT(C194, "" "")))"),2.0)</f>
        <v>2</v>
      </c>
      <c r="E194" s="8" t="s">
        <v>4044</v>
      </c>
      <c r="F194" s="12">
        <v>12111.0</v>
      </c>
      <c r="G194" s="37">
        <f t="shared" si="1"/>
        <v>72.09582478</v>
      </c>
      <c r="H194" s="27" t="s">
        <v>4045</v>
      </c>
      <c r="I194" s="33">
        <v>36943.0</v>
      </c>
      <c r="J194" s="16" t="s">
        <v>138</v>
      </c>
      <c r="K194" s="8" t="s">
        <v>4046</v>
      </c>
      <c r="L194" s="1">
        <v>0.0</v>
      </c>
      <c r="M194" s="1">
        <v>0.0</v>
      </c>
      <c r="N194" s="1" t="s">
        <v>140</v>
      </c>
      <c r="O194" s="16" t="s">
        <v>755</v>
      </c>
      <c r="R194" s="1">
        <v>0.0</v>
      </c>
    </row>
    <row r="195">
      <c r="A195" s="3">
        <v>38444.0</v>
      </c>
      <c r="B195" s="5">
        <v>79.0</v>
      </c>
      <c r="C195" s="8" t="s">
        <v>4047</v>
      </c>
      <c r="D195" s="1">
        <f>IFERROR(__xludf.DUMMYFUNCTION("IF(C195="""", 0, COUNTA(SPLIT(C195, "" "")))"),2.0)</f>
        <v>2</v>
      </c>
      <c r="E195" s="8" t="s">
        <v>4048</v>
      </c>
      <c r="F195" s="12">
        <v>13286.0</v>
      </c>
      <c r="G195" s="37">
        <f t="shared" si="1"/>
        <v>68.8788501</v>
      </c>
      <c r="H195" s="27" t="s">
        <v>4049</v>
      </c>
      <c r="I195" s="33">
        <v>37915.0</v>
      </c>
      <c r="J195" s="16" t="s">
        <v>138</v>
      </c>
      <c r="K195" s="8" t="s">
        <v>4050</v>
      </c>
      <c r="L195" s="1">
        <v>0.0</v>
      </c>
      <c r="M195" s="1">
        <v>0.0</v>
      </c>
      <c r="N195" s="1" t="s">
        <v>140</v>
      </c>
      <c r="O195" s="16" t="s">
        <v>159</v>
      </c>
      <c r="R195" s="1">
        <v>0.0</v>
      </c>
    </row>
    <row r="196">
      <c r="A196" s="3">
        <v>38444.0</v>
      </c>
      <c r="B196" s="5">
        <v>80.0</v>
      </c>
      <c r="C196" s="8" t="s">
        <v>4051</v>
      </c>
      <c r="D196" s="1">
        <f>IFERROR(__xludf.DUMMYFUNCTION("IF(C196="""", 0, COUNTA(SPLIT(C196, "" "")))"),2.0)</f>
        <v>2</v>
      </c>
      <c r="E196" s="8" t="s">
        <v>4052</v>
      </c>
      <c r="F196" s="12">
        <v>15287.0</v>
      </c>
      <c r="G196" s="37">
        <f t="shared" si="1"/>
        <v>63.40041068</v>
      </c>
      <c r="H196" s="27" t="s">
        <v>4053</v>
      </c>
      <c r="I196" s="33">
        <v>37915.0</v>
      </c>
      <c r="J196" s="16" t="s">
        <v>138</v>
      </c>
      <c r="K196" s="8" t="s">
        <v>4054</v>
      </c>
      <c r="L196" s="1">
        <v>0.0</v>
      </c>
      <c r="M196" s="1">
        <v>0.0</v>
      </c>
      <c r="N196" s="1" t="s">
        <v>140</v>
      </c>
      <c r="O196" s="16" t="s">
        <v>27</v>
      </c>
      <c r="R196" s="1">
        <v>0.0</v>
      </c>
    </row>
    <row r="197">
      <c r="A197" s="3">
        <v>38444.0</v>
      </c>
      <c r="B197" s="5">
        <v>81.0</v>
      </c>
      <c r="C197" s="8" t="s">
        <v>4055</v>
      </c>
      <c r="D197" s="1">
        <f>IFERROR(__xludf.DUMMYFUNCTION("IF(C197="""", 0, COUNTA(SPLIT(C197, "" "")))"),3.0)</f>
        <v>3</v>
      </c>
      <c r="E197" s="8" t="s">
        <v>4056</v>
      </c>
      <c r="F197" s="12">
        <v>13317.0</v>
      </c>
      <c r="G197" s="37">
        <f t="shared" si="1"/>
        <v>68.79397673</v>
      </c>
      <c r="H197" s="27" t="s">
        <v>4057</v>
      </c>
      <c r="I197" s="33">
        <v>37915.0</v>
      </c>
      <c r="J197" s="16" t="s">
        <v>138</v>
      </c>
      <c r="K197" s="8" t="s">
        <v>4058</v>
      </c>
      <c r="L197" s="1">
        <v>0.0</v>
      </c>
      <c r="M197" s="1">
        <v>0.0</v>
      </c>
      <c r="N197" s="1" t="s">
        <v>140</v>
      </c>
      <c r="O197" s="16" t="s">
        <v>260</v>
      </c>
      <c r="R197" s="1">
        <v>0.0</v>
      </c>
    </row>
    <row r="198">
      <c r="A198" s="3">
        <v>38444.0</v>
      </c>
      <c r="B198" s="5">
        <v>82.0</v>
      </c>
      <c r="C198" s="8" t="s">
        <v>4059</v>
      </c>
      <c r="D198" s="1">
        <f>IFERROR(__xludf.DUMMYFUNCTION("IF(C198="""", 0, COUNTA(SPLIT(C198, "" "")))"),2.0)</f>
        <v>2</v>
      </c>
      <c r="E198" s="8" t="s">
        <v>4060</v>
      </c>
      <c r="F198" s="12">
        <v>11349.0</v>
      </c>
      <c r="G198" s="37">
        <f t="shared" si="1"/>
        <v>74.18206708</v>
      </c>
      <c r="H198" s="27" t="s">
        <v>4061</v>
      </c>
      <c r="I198" s="33">
        <v>37915.0</v>
      </c>
      <c r="J198" s="16" t="s">
        <v>138</v>
      </c>
      <c r="K198" s="8" t="s">
        <v>4062</v>
      </c>
      <c r="L198" s="1">
        <v>0.0</v>
      </c>
      <c r="M198" s="1">
        <v>0.0</v>
      </c>
      <c r="N198" s="1" t="s">
        <v>140</v>
      </c>
      <c r="O198" s="16" t="s">
        <v>174</v>
      </c>
      <c r="R198" s="1">
        <v>0.0</v>
      </c>
    </row>
    <row r="199">
      <c r="A199" s="3">
        <v>38444.0</v>
      </c>
      <c r="B199" s="5">
        <v>83.0</v>
      </c>
      <c r="C199" s="8" t="s">
        <v>4063</v>
      </c>
      <c r="D199" s="1">
        <f>IFERROR(__xludf.DUMMYFUNCTION("IF(C199="""", 0, COUNTA(SPLIT(C199, "" "")))"),3.0)</f>
        <v>3</v>
      </c>
      <c r="E199" s="8" t="s">
        <v>4064</v>
      </c>
      <c r="F199" s="12">
        <v>15034.0</v>
      </c>
      <c r="G199" s="37">
        <f t="shared" si="1"/>
        <v>64.09308693</v>
      </c>
      <c r="H199" s="27" t="s">
        <v>4065</v>
      </c>
      <c r="I199" s="33">
        <v>37915.0</v>
      </c>
      <c r="J199" s="16" t="s">
        <v>138</v>
      </c>
      <c r="K199" s="8" t="s">
        <v>4066</v>
      </c>
      <c r="L199" s="1">
        <v>0.0</v>
      </c>
      <c r="M199" s="1">
        <v>0.0</v>
      </c>
      <c r="N199" s="1" t="s">
        <v>140</v>
      </c>
      <c r="O199" s="16" t="s">
        <v>148</v>
      </c>
      <c r="R199" s="1">
        <v>0.0</v>
      </c>
    </row>
    <row r="200">
      <c r="A200" s="3">
        <v>38444.0</v>
      </c>
      <c r="B200" s="5">
        <v>84.0</v>
      </c>
      <c r="C200" s="17" t="s">
        <v>4067</v>
      </c>
      <c r="D200" s="1">
        <f>IFERROR(__xludf.DUMMYFUNCTION("IF(C200="""", 0, COUNTA(SPLIT(C200, "" "")))"),3.0)</f>
        <v>3</v>
      </c>
      <c r="E200" s="8" t="s">
        <v>4068</v>
      </c>
      <c r="F200" s="12">
        <v>12654.0</v>
      </c>
      <c r="G200" s="37">
        <f t="shared" si="1"/>
        <v>70.6091718</v>
      </c>
      <c r="H200" s="27" t="s">
        <v>4069</v>
      </c>
      <c r="I200" s="33">
        <v>37915.0</v>
      </c>
      <c r="J200" s="16" t="s">
        <v>138</v>
      </c>
      <c r="K200" s="8" t="s">
        <v>4070</v>
      </c>
      <c r="L200" s="1">
        <v>0.0</v>
      </c>
      <c r="M200" s="1">
        <v>0.0</v>
      </c>
      <c r="N200" s="1" t="s">
        <v>140</v>
      </c>
      <c r="O200" s="16" t="s">
        <v>163</v>
      </c>
      <c r="R200" s="1">
        <v>0.0</v>
      </c>
    </row>
    <row r="201">
      <c r="A201" s="3">
        <v>38444.0</v>
      </c>
      <c r="B201" s="5">
        <v>85.0</v>
      </c>
      <c r="C201" s="8" t="s">
        <v>4071</v>
      </c>
      <c r="D201" s="1">
        <f>IFERROR(__xludf.DUMMYFUNCTION("IF(C201="""", 0, COUNTA(SPLIT(C201, "" "")))"),3.0)</f>
        <v>3</v>
      </c>
      <c r="E201" s="8" t="s">
        <v>4072</v>
      </c>
      <c r="F201" s="12">
        <v>12893.0</v>
      </c>
      <c r="G201" s="37">
        <f t="shared" si="1"/>
        <v>69.95482546</v>
      </c>
      <c r="H201" s="27" t="s">
        <v>4073</v>
      </c>
      <c r="I201" s="33">
        <v>37915.0</v>
      </c>
      <c r="J201" s="16" t="s">
        <v>138</v>
      </c>
      <c r="K201" s="8" t="s">
        <v>4074</v>
      </c>
      <c r="L201" s="1">
        <v>0.0</v>
      </c>
      <c r="M201" s="1">
        <v>0.0</v>
      </c>
      <c r="N201" s="1" t="s">
        <v>140</v>
      </c>
      <c r="O201" s="16" t="s">
        <v>167</v>
      </c>
      <c r="R201" s="1">
        <v>0.0</v>
      </c>
    </row>
    <row r="202">
      <c r="A202" s="3">
        <v>38444.0</v>
      </c>
      <c r="B202" s="5">
        <v>86.0</v>
      </c>
      <c r="C202" s="8" t="s">
        <v>4075</v>
      </c>
      <c r="D202" s="1">
        <f>IFERROR(__xludf.DUMMYFUNCTION("IF(C202="""", 0, COUNTA(SPLIT(C202, "" "")))"),4.0)</f>
        <v>4</v>
      </c>
      <c r="E202" s="8" t="s">
        <v>4076</v>
      </c>
      <c r="F202" s="12">
        <v>13956.0</v>
      </c>
      <c r="G202" s="37">
        <f t="shared" si="1"/>
        <v>67.04449008</v>
      </c>
      <c r="H202" s="27" t="s">
        <v>4077</v>
      </c>
      <c r="I202" s="33">
        <v>37915.0</v>
      </c>
      <c r="J202" s="16" t="s">
        <v>138</v>
      </c>
      <c r="K202" s="8" t="s">
        <v>4078</v>
      </c>
      <c r="L202" s="1">
        <v>0.0</v>
      </c>
      <c r="M202" s="1">
        <v>0.0</v>
      </c>
      <c r="N202" s="1" t="s">
        <v>140</v>
      </c>
      <c r="O202" s="16" t="s">
        <v>167</v>
      </c>
      <c r="R202" s="1">
        <v>0.0</v>
      </c>
    </row>
    <row r="203">
      <c r="A203" s="3">
        <v>38444.0</v>
      </c>
      <c r="B203" s="5">
        <v>87.0</v>
      </c>
      <c r="C203" s="17" t="s">
        <v>4079</v>
      </c>
      <c r="D203" s="1">
        <f>IFERROR(__xludf.DUMMYFUNCTION("IF(C203="""", 0, COUNTA(SPLIT(C203, "" "")))"),3.0)</f>
        <v>3</v>
      </c>
      <c r="E203" s="8" t="s">
        <v>4080</v>
      </c>
      <c r="F203" s="12">
        <v>12031.0</v>
      </c>
      <c r="G203" s="37">
        <f t="shared" si="1"/>
        <v>72.31485284</v>
      </c>
      <c r="H203" s="27" t="s">
        <v>4081</v>
      </c>
      <c r="I203" s="33">
        <v>37915.0</v>
      </c>
      <c r="J203" s="16" t="s">
        <v>138</v>
      </c>
      <c r="K203" s="8" t="s">
        <v>4082</v>
      </c>
      <c r="L203" s="1">
        <v>0.0</v>
      </c>
      <c r="M203" s="1">
        <v>0.0</v>
      </c>
      <c r="N203" s="1" t="s">
        <v>140</v>
      </c>
      <c r="O203" s="16" t="s">
        <v>218</v>
      </c>
      <c r="R203" s="1">
        <v>0.0</v>
      </c>
    </row>
    <row r="204">
      <c r="A204" s="3">
        <v>38444.0</v>
      </c>
      <c r="B204" s="5">
        <v>88.0</v>
      </c>
      <c r="C204" s="8" t="s">
        <v>4083</v>
      </c>
      <c r="D204" s="1">
        <f>IFERROR(__xludf.DUMMYFUNCTION("IF(C204="""", 0, COUNTA(SPLIT(C204, "" "")))"),2.0)</f>
        <v>2</v>
      </c>
      <c r="E204" s="8" t="s">
        <v>4084</v>
      </c>
      <c r="F204" s="12">
        <v>13472.0</v>
      </c>
      <c r="G204" s="37">
        <f t="shared" si="1"/>
        <v>68.36960986</v>
      </c>
      <c r="H204" s="27" t="s">
        <v>4085</v>
      </c>
      <c r="I204" s="33">
        <v>37915.0</v>
      </c>
      <c r="J204" s="16" t="s">
        <v>138</v>
      </c>
      <c r="K204" s="8" t="s">
        <v>4086</v>
      </c>
      <c r="L204" s="1">
        <v>0.0</v>
      </c>
      <c r="M204" s="1">
        <v>0.0</v>
      </c>
      <c r="N204" s="1" t="s">
        <v>140</v>
      </c>
      <c r="O204" s="16" t="s">
        <v>27</v>
      </c>
      <c r="R204" s="1">
        <v>0.0</v>
      </c>
    </row>
    <row r="205">
      <c r="A205" s="3">
        <v>38444.0</v>
      </c>
      <c r="B205" s="5">
        <v>89.0</v>
      </c>
      <c r="C205" s="17" t="s">
        <v>4087</v>
      </c>
      <c r="D205" s="1">
        <f>IFERROR(__xludf.DUMMYFUNCTION("IF(C205="""", 0, COUNTA(SPLIT(C205, "" "")))"),2.0)</f>
        <v>2</v>
      </c>
      <c r="E205" s="8" t="s">
        <v>4088</v>
      </c>
      <c r="F205" s="12">
        <v>12755.0</v>
      </c>
      <c r="G205" s="37">
        <f t="shared" si="1"/>
        <v>70.33264887</v>
      </c>
      <c r="H205" s="27" t="s">
        <v>4089</v>
      </c>
      <c r="I205" s="33">
        <v>37915.0</v>
      </c>
      <c r="J205" s="16" t="s">
        <v>138</v>
      </c>
      <c r="K205" s="8" t="s">
        <v>4090</v>
      </c>
      <c r="L205" s="1">
        <v>0.0</v>
      </c>
      <c r="M205" s="1">
        <v>0.0</v>
      </c>
      <c r="N205" s="1" t="s">
        <v>140</v>
      </c>
      <c r="O205" s="16" t="s">
        <v>27</v>
      </c>
      <c r="R205" s="1">
        <v>0.0</v>
      </c>
    </row>
    <row r="206">
      <c r="A206" s="3">
        <v>38444.0</v>
      </c>
      <c r="B206" s="5">
        <v>90.0</v>
      </c>
      <c r="C206" s="8" t="s">
        <v>4091</v>
      </c>
      <c r="D206" s="1">
        <f>IFERROR(__xludf.DUMMYFUNCTION("IF(C206="""", 0, COUNTA(SPLIT(C206, "" "")))"),4.0)</f>
        <v>4</v>
      </c>
      <c r="E206" s="8" t="s">
        <v>4092</v>
      </c>
      <c r="F206" s="12">
        <v>17817.0</v>
      </c>
      <c r="G206" s="37">
        <f t="shared" si="1"/>
        <v>56.47364819</v>
      </c>
      <c r="H206" s="27" t="s">
        <v>4093</v>
      </c>
      <c r="I206" s="33">
        <v>37915.0</v>
      </c>
      <c r="J206" s="16" t="s">
        <v>138</v>
      </c>
      <c r="K206" s="8" t="s">
        <v>4094</v>
      </c>
      <c r="L206" s="1">
        <v>0.0</v>
      </c>
      <c r="M206" s="1">
        <v>0.0</v>
      </c>
      <c r="N206" s="1" t="s">
        <v>140</v>
      </c>
      <c r="O206" s="16" t="s">
        <v>276</v>
      </c>
      <c r="R206" s="1">
        <v>0.0</v>
      </c>
    </row>
    <row r="207">
      <c r="A207" s="3">
        <v>38444.0</v>
      </c>
      <c r="B207" s="5">
        <v>91.0</v>
      </c>
      <c r="C207" s="8" t="s">
        <v>4095</v>
      </c>
      <c r="D207" s="1">
        <f>IFERROR(__xludf.DUMMYFUNCTION("IF(C207="""", 0, COUNTA(SPLIT(C207, "" "")))"),3.0)</f>
        <v>3</v>
      </c>
      <c r="E207" s="8" t="s">
        <v>4096</v>
      </c>
      <c r="F207" s="12">
        <v>14533.0</v>
      </c>
      <c r="G207" s="37">
        <f t="shared" si="1"/>
        <v>65.46475017</v>
      </c>
      <c r="H207" s="27" t="s">
        <v>4097</v>
      </c>
      <c r="I207" s="33">
        <v>37915.0</v>
      </c>
      <c r="J207" s="16" t="s">
        <v>138</v>
      </c>
      <c r="K207" s="8" t="s">
        <v>4098</v>
      </c>
      <c r="L207" s="1">
        <v>0.0</v>
      </c>
      <c r="M207" s="1">
        <v>0.0</v>
      </c>
      <c r="N207" s="1" t="s">
        <v>140</v>
      </c>
      <c r="O207" s="16" t="s">
        <v>280</v>
      </c>
      <c r="R207" s="1">
        <v>0.0</v>
      </c>
    </row>
    <row r="208">
      <c r="A208" s="3">
        <v>38444.0</v>
      </c>
      <c r="B208" s="5">
        <v>92.0</v>
      </c>
      <c r="C208" s="8" t="s">
        <v>4099</v>
      </c>
      <c r="D208" s="1">
        <f>IFERROR(__xludf.DUMMYFUNCTION("IF(C208="""", 0, COUNTA(SPLIT(C208, "" "")))"),2.0)</f>
        <v>2</v>
      </c>
      <c r="E208" s="8" t="s">
        <v>4100</v>
      </c>
      <c r="F208" s="12">
        <v>15135.0</v>
      </c>
      <c r="G208" s="37">
        <f t="shared" si="1"/>
        <v>63.816564</v>
      </c>
      <c r="H208" s="27" t="s">
        <v>4101</v>
      </c>
      <c r="I208" s="33">
        <v>37915.0</v>
      </c>
      <c r="J208" s="16" t="s">
        <v>138</v>
      </c>
      <c r="K208" s="8" t="s">
        <v>4102</v>
      </c>
      <c r="L208" s="1">
        <v>0.0</v>
      </c>
      <c r="M208" s="1">
        <v>0.0</v>
      </c>
      <c r="N208" s="1" t="s">
        <v>140</v>
      </c>
      <c r="O208" s="16" t="s">
        <v>167</v>
      </c>
      <c r="R208" s="1">
        <v>0.0</v>
      </c>
    </row>
    <row r="209">
      <c r="A209" s="3">
        <v>38444.0</v>
      </c>
      <c r="B209" s="5">
        <v>93.0</v>
      </c>
      <c r="C209" s="8" t="s">
        <v>4103</v>
      </c>
      <c r="D209" s="1">
        <f>IFERROR(__xludf.DUMMYFUNCTION("IF(C209="""", 0, COUNTA(SPLIT(C209, "" "")))"),2.0)</f>
        <v>2</v>
      </c>
      <c r="E209" s="8" t="s">
        <v>4104</v>
      </c>
      <c r="F209" s="12">
        <v>17977.0</v>
      </c>
      <c r="G209" s="37">
        <f t="shared" si="1"/>
        <v>56.03559206</v>
      </c>
      <c r="H209" s="27" t="s">
        <v>4105</v>
      </c>
      <c r="I209" s="33">
        <v>37915.0</v>
      </c>
      <c r="J209" s="16" t="s">
        <v>138</v>
      </c>
      <c r="K209" s="8" t="s">
        <v>4106</v>
      </c>
      <c r="L209" s="1">
        <v>0.0</v>
      </c>
      <c r="M209" s="1">
        <v>0.0</v>
      </c>
      <c r="N209" s="1" t="s">
        <v>140</v>
      </c>
      <c r="O209" s="16" t="s">
        <v>178</v>
      </c>
      <c r="R209" s="1">
        <v>0.0</v>
      </c>
    </row>
    <row r="210">
      <c r="A210" s="3">
        <v>38444.0</v>
      </c>
      <c r="B210" s="5">
        <v>94.0</v>
      </c>
      <c r="C210" s="8" t="s">
        <v>4107</v>
      </c>
      <c r="D210" s="1">
        <f>IFERROR(__xludf.DUMMYFUNCTION("IF(C210="""", 0, COUNTA(SPLIT(C210, "" "")))"),4.0)</f>
        <v>4</v>
      </c>
      <c r="E210" s="8" t="s">
        <v>4108</v>
      </c>
      <c r="F210" s="12">
        <v>12483.0</v>
      </c>
      <c r="G210" s="37">
        <f t="shared" si="1"/>
        <v>71.07734428</v>
      </c>
      <c r="H210" s="27" t="s">
        <v>4109</v>
      </c>
      <c r="I210" s="33">
        <v>37915.0</v>
      </c>
      <c r="J210" s="16" t="s">
        <v>138</v>
      </c>
      <c r="K210" s="8" t="s">
        <v>4110</v>
      </c>
      <c r="L210" s="1">
        <v>0.0</v>
      </c>
      <c r="M210" s="1">
        <v>0.0</v>
      </c>
      <c r="N210" s="1" t="s">
        <v>140</v>
      </c>
      <c r="O210" s="16" t="s">
        <v>290</v>
      </c>
      <c r="R210" s="1">
        <v>0.0</v>
      </c>
    </row>
    <row r="211">
      <c r="A211" s="3">
        <v>38444.0</v>
      </c>
      <c r="B211" s="5">
        <v>95.0</v>
      </c>
      <c r="C211" s="8" t="s">
        <v>4111</v>
      </c>
      <c r="D211" s="1">
        <f>IFERROR(__xludf.DUMMYFUNCTION("IF(C211="""", 0, COUNTA(SPLIT(C211, "" "")))"),3.0)</f>
        <v>3</v>
      </c>
      <c r="E211" s="8" t="s">
        <v>4112</v>
      </c>
      <c r="F211" s="12">
        <v>11756.0</v>
      </c>
      <c r="G211" s="37">
        <f t="shared" si="1"/>
        <v>73.06776181</v>
      </c>
      <c r="H211" s="27" t="s">
        <v>4113</v>
      </c>
      <c r="I211" s="33">
        <v>37915.0</v>
      </c>
      <c r="J211" s="16" t="s">
        <v>138</v>
      </c>
      <c r="K211" s="8" t="s">
        <v>4114</v>
      </c>
      <c r="L211" s="1">
        <v>0.0</v>
      </c>
      <c r="M211" s="1">
        <v>0.0</v>
      </c>
      <c r="N211" s="1" t="s">
        <v>140</v>
      </c>
      <c r="O211" s="16" t="s">
        <v>163</v>
      </c>
      <c r="R211" s="1">
        <v>0.0</v>
      </c>
    </row>
    <row r="212">
      <c r="A212" s="3">
        <v>38444.0</v>
      </c>
      <c r="B212" s="5">
        <v>96.0</v>
      </c>
      <c r="C212" s="8" t="s">
        <v>4115</v>
      </c>
      <c r="D212" s="1">
        <f>IFERROR(__xludf.DUMMYFUNCTION("IF(C212="""", 0, COUNTA(SPLIT(C212, "" "")))"),2.0)</f>
        <v>2</v>
      </c>
      <c r="E212" s="8" t="s">
        <v>4116</v>
      </c>
      <c r="F212" s="12">
        <v>18553.0</v>
      </c>
      <c r="G212" s="37">
        <f t="shared" si="1"/>
        <v>54.45859001</v>
      </c>
      <c r="H212" s="27" t="s">
        <v>4117</v>
      </c>
      <c r="I212" s="33">
        <v>37915.0</v>
      </c>
      <c r="J212" s="16" t="s">
        <v>138</v>
      </c>
      <c r="K212" s="8" t="s">
        <v>4118</v>
      </c>
      <c r="L212" s="1">
        <v>0.0</v>
      </c>
      <c r="M212" s="1">
        <v>0.0</v>
      </c>
      <c r="N212" s="1" t="s">
        <v>140</v>
      </c>
      <c r="O212" s="16" t="s">
        <v>174</v>
      </c>
      <c r="R212" s="1">
        <v>0.0</v>
      </c>
    </row>
    <row r="213">
      <c r="A213" s="3">
        <v>38444.0</v>
      </c>
      <c r="B213" s="5">
        <v>97.0</v>
      </c>
      <c r="C213" s="8" t="s">
        <v>4119</v>
      </c>
      <c r="D213" s="1">
        <f>IFERROR(__xludf.DUMMYFUNCTION("IF(C213="""", 0, COUNTA(SPLIT(C213, "" "")))"),2.0)</f>
        <v>2</v>
      </c>
      <c r="E213" s="8" t="s">
        <v>4120</v>
      </c>
      <c r="F213" s="12">
        <v>19170.0</v>
      </c>
      <c r="G213" s="37">
        <f t="shared" si="1"/>
        <v>52.76933607</v>
      </c>
      <c r="H213" s="27" t="s">
        <v>4121</v>
      </c>
      <c r="I213" s="33">
        <v>37915.0</v>
      </c>
      <c r="J213" s="16" t="s">
        <v>138</v>
      </c>
      <c r="K213" s="8" t="s">
        <v>4122</v>
      </c>
      <c r="L213" s="1">
        <v>0.0</v>
      </c>
      <c r="M213" s="1">
        <v>0.0</v>
      </c>
      <c r="N213" s="1" t="s">
        <v>140</v>
      </c>
      <c r="O213" s="16" t="s">
        <v>297</v>
      </c>
      <c r="R213" s="1">
        <v>0.0</v>
      </c>
    </row>
    <row r="214">
      <c r="A214" s="3">
        <v>38444.0</v>
      </c>
      <c r="B214" s="5">
        <v>98.0</v>
      </c>
      <c r="C214" s="17" t="s">
        <v>4123</v>
      </c>
      <c r="D214" s="1">
        <f>IFERROR(__xludf.DUMMYFUNCTION("IF(C214="""", 0, COUNTA(SPLIT(C214, "" "")))"),2.0)</f>
        <v>2</v>
      </c>
      <c r="E214" s="8" t="s">
        <v>4124</v>
      </c>
      <c r="F214" s="12">
        <v>16231.0</v>
      </c>
      <c r="G214" s="37">
        <f t="shared" si="1"/>
        <v>60.81587953</v>
      </c>
      <c r="H214" s="27" t="s">
        <v>4125</v>
      </c>
      <c r="I214" s="33">
        <v>37915.0</v>
      </c>
      <c r="J214" s="16" t="s">
        <v>138</v>
      </c>
      <c r="K214" s="8" t="s">
        <v>4126</v>
      </c>
      <c r="L214" s="1">
        <v>0.0</v>
      </c>
      <c r="M214" s="1">
        <v>0.0</v>
      </c>
      <c r="N214" s="1" t="s">
        <v>140</v>
      </c>
      <c r="O214" s="16" t="s">
        <v>174</v>
      </c>
      <c r="R214" s="1">
        <v>0.0</v>
      </c>
    </row>
    <row r="215">
      <c r="A215" s="3">
        <v>38444.0</v>
      </c>
      <c r="B215" s="5">
        <v>99.0</v>
      </c>
      <c r="C215" s="8" t="s">
        <v>4127</v>
      </c>
      <c r="D215" s="1">
        <f>IFERROR(__xludf.DUMMYFUNCTION("IF(C215="""", 0, COUNTA(SPLIT(C215, "" "")))"),4.0)</f>
        <v>4</v>
      </c>
      <c r="E215" s="8" t="s">
        <v>4128</v>
      </c>
      <c r="F215" s="12">
        <v>9854.0</v>
      </c>
      <c r="G215" s="37">
        <f t="shared" si="1"/>
        <v>78.275154</v>
      </c>
      <c r="H215" s="27" t="s">
        <v>4129</v>
      </c>
      <c r="I215" s="33">
        <v>35847.0</v>
      </c>
      <c r="J215" s="16" t="s">
        <v>138</v>
      </c>
      <c r="K215" s="8" t="s">
        <v>4130</v>
      </c>
      <c r="L215" s="1">
        <v>0.0</v>
      </c>
      <c r="M215" s="1">
        <v>0.0</v>
      </c>
      <c r="N215" s="1" t="s">
        <v>140</v>
      </c>
      <c r="O215" s="16" t="s">
        <v>163</v>
      </c>
      <c r="R215" s="1">
        <v>0.0</v>
      </c>
    </row>
    <row r="216">
      <c r="A216" s="3">
        <v>38444.0</v>
      </c>
      <c r="B216" s="5">
        <v>100.0</v>
      </c>
      <c r="C216" s="8" t="s">
        <v>4131</v>
      </c>
      <c r="D216" s="1">
        <f>IFERROR(__xludf.DUMMYFUNCTION("IF(C216="""", 0, COUNTA(SPLIT(C216, "" "")))"),3.0)</f>
        <v>3</v>
      </c>
      <c r="E216" s="8" t="s">
        <v>4132</v>
      </c>
      <c r="F216" s="12">
        <v>10778.0</v>
      </c>
      <c r="G216" s="37">
        <f t="shared" si="1"/>
        <v>75.74537988</v>
      </c>
      <c r="H216" s="27" t="s">
        <v>4133</v>
      </c>
      <c r="I216" s="33">
        <v>35847.0</v>
      </c>
      <c r="J216" s="16" t="s">
        <v>138</v>
      </c>
      <c r="K216" s="8" t="s">
        <v>4134</v>
      </c>
      <c r="L216" s="1">
        <v>0.0</v>
      </c>
      <c r="M216" s="1">
        <v>0.0</v>
      </c>
      <c r="N216" s="1" t="s">
        <v>140</v>
      </c>
      <c r="O216" s="16" t="s">
        <v>163</v>
      </c>
      <c r="R216" s="1">
        <v>0.0</v>
      </c>
    </row>
    <row r="217">
      <c r="A217" s="3">
        <v>38444.0</v>
      </c>
      <c r="B217" s="5">
        <v>101.0</v>
      </c>
      <c r="C217" s="8" t="s">
        <v>4135</v>
      </c>
      <c r="D217" s="1">
        <f>IFERROR(__xludf.DUMMYFUNCTION("IF(C217="""", 0, COUNTA(SPLIT(C217, "" "")))"),3.0)</f>
        <v>3</v>
      </c>
      <c r="E217" s="8" t="s">
        <v>4136</v>
      </c>
      <c r="F217" s="12">
        <v>11896.0</v>
      </c>
      <c r="G217" s="37">
        <f t="shared" si="1"/>
        <v>72.6844627</v>
      </c>
      <c r="H217" s="27" t="s">
        <v>4137</v>
      </c>
      <c r="I217" s="33">
        <v>35847.0</v>
      </c>
      <c r="J217" s="16" t="s">
        <v>138</v>
      </c>
      <c r="K217" s="8" t="s">
        <v>4138</v>
      </c>
      <c r="L217" s="1">
        <v>0.0</v>
      </c>
      <c r="M217" s="1">
        <v>0.0</v>
      </c>
      <c r="N217" s="1" t="s">
        <v>140</v>
      </c>
      <c r="O217" s="16" t="s">
        <v>167</v>
      </c>
      <c r="R217" s="1">
        <v>0.0</v>
      </c>
    </row>
    <row r="218">
      <c r="A218" s="3">
        <v>38444.0</v>
      </c>
      <c r="B218" s="5">
        <v>102.0</v>
      </c>
      <c r="C218" s="8" t="s">
        <v>4139</v>
      </c>
      <c r="D218" s="1">
        <f>IFERROR(__xludf.DUMMYFUNCTION("IF(C218="""", 0, COUNTA(SPLIT(C218, "" "")))"),2.0)</f>
        <v>2</v>
      </c>
      <c r="E218" s="8" t="s">
        <v>4140</v>
      </c>
      <c r="F218" s="12">
        <v>9723.0</v>
      </c>
      <c r="G218" s="37">
        <f t="shared" si="1"/>
        <v>78.63381246</v>
      </c>
      <c r="H218" s="27" t="s">
        <v>4141</v>
      </c>
      <c r="I218" s="33">
        <v>36943.0</v>
      </c>
      <c r="J218" s="16" t="s">
        <v>138</v>
      </c>
      <c r="K218" s="8" t="s">
        <v>4142</v>
      </c>
      <c r="L218" s="1">
        <v>0.0</v>
      </c>
      <c r="M218" s="1">
        <v>0.0</v>
      </c>
      <c r="N218" s="1" t="s">
        <v>140</v>
      </c>
      <c r="O218" s="16" t="s">
        <v>27</v>
      </c>
      <c r="R218" s="1">
        <v>0.0</v>
      </c>
    </row>
    <row r="219">
      <c r="A219" s="3">
        <v>38444.0</v>
      </c>
      <c r="B219" s="5">
        <v>103.0</v>
      </c>
      <c r="C219" s="8" t="s">
        <v>4143</v>
      </c>
      <c r="D219" s="1">
        <f>IFERROR(__xludf.DUMMYFUNCTION("IF(C219="""", 0, COUNTA(SPLIT(C219, "" "")))"),2.0)</f>
        <v>2</v>
      </c>
      <c r="E219" s="8" t="s">
        <v>4144</v>
      </c>
      <c r="F219" s="12">
        <v>11424.0</v>
      </c>
      <c r="G219" s="37">
        <f t="shared" si="1"/>
        <v>73.97672827</v>
      </c>
      <c r="H219" s="27" t="s">
        <v>4145</v>
      </c>
      <c r="I219" s="33">
        <v>36943.0</v>
      </c>
      <c r="J219" s="16" t="s">
        <v>138</v>
      </c>
      <c r="K219" s="8" t="s">
        <v>4146</v>
      </c>
      <c r="L219" s="1">
        <v>0.0</v>
      </c>
      <c r="M219" s="1">
        <v>0.0</v>
      </c>
      <c r="N219" s="1" t="s">
        <v>140</v>
      </c>
      <c r="O219" s="16" t="s">
        <v>27</v>
      </c>
      <c r="R219" s="1">
        <v>0.0</v>
      </c>
    </row>
    <row r="220">
      <c r="A220" s="3">
        <v>38444.0</v>
      </c>
      <c r="B220" s="5">
        <v>104.0</v>
      </c>
      <c r="C220" s="8" t="s">
        <v>4147</v>
      </c>
      <c r="D220" s="1">
        <f>IFERROR(__xludf.DUMMYFUNCTION("IF(C220="""", 0, COUNTA(SPLIT(C220, "" "")))"),2.0)</f>
        <v>2</v>
      </c>
      <c r="E220" s="8" t="s">
        <v>4148</v>
      </c>
      <c r="F220" s="12">
        <v>14529.0</v>
      </c>
      <c r="G220" s="37">
        <f t="shared" si="1"/>
        <v>65.47570157</v>
      </c>
      <c r="H220" s="27" t="s">
        <v>4149</v>
      </c>
      <c r="I220" s="33">
        <v>36943.0</v>
      </c>
      <c r="J220" s="16" t="s">
        <v>138</v>
      </c>
      <c r="K220" s="8" t="s">
        <v>4150</v>
      </c>
      <c r="L220" s="1">
        <v>0.0</v>
      </c>
      <c r="M220" s="1">
        <v>0.0</v>
      </c>
      <c r="N220" s="1" t="s">
        <v>140</v>
      </c>
      <c r="O220" s="16" t="s">
        <v>204</v>
      </c>
      <c r="R220" s="1">
        <v>0.0</v>
      </c>
    </row>
    <row r="221">
      <c r="A221" s="3">
        <v>38444.0</v>
      </c>
      <c r="B221" s="5">
        <v>105.0</v>
      </c>
      <c r="C221" s="17" t="s">
        <v>4151</v>
      </c>
      <c r="D221" s="1">
        <f>IFERROR(__xludf.DUMMYFUNCTION("IF(C221="""", 0, COUNTA(SPLIT(C221, "" "")))"),3.0)</f>
        <v>3</v>
      </c>
      <c r="E221" s="8" t="s">
        <v>4152</v>
      </c>
      <c r="F221" s="12">
        <v>11694.0</v>
      </c>
      <c r="G221" s="37">
        <f t="shared" si="1"/>
        <v>73.23750856</v>
      </c>
      <c r="H221" s="27" t="s">
        <v>4153</v>
      </c>
      <c r="I221" s="33">
        <v>36943.0</v>
      </c>
      <c r="J221" s="16" t="s">
        <v>138</v>
      </c>
      <c r="K221" s="8" t="s">
        <v>4154</v>
      </c>
      <c r="L221" s="1">
        <v>0.0</v>
      </c>
      <c r="M221" s="1">
        <v>0.0</v>
      </c>
      <c r="N221" s="1" t="s">
        <v>140</v>
      </c>
      <c r="O221" s="16" t="s">
        <v>218</v>
      </c>
      <c r="R221" s="1">
        <v>0.0</v>
      </c>
    </row>
    <row r="222">
      <c r="A222" s="3">
        <v>38444.0</v>
      </c>
      <c r="B222" s="5">
        <v>106.0</v>
      </c>
      <c r="C222" s="8" t="s">
        <v>4155</v>
      </c>
      <c r="D222" s="1">
        <f>IFERROR(__xludf.DUMMYFUNCTION("IF(C222="""", 0, COUNTA(SPLIT(C222, "" "")))"),2.0)</f>
        <v>2</v>
      </c>
      <c r="E222" s="8" t="s">
        <v>4156</v>
      </c>
      <c r="F222" s="12">
        <v>15859.0</v>
      </c>
      <c r="G222" s="37">
        <f t="shared" si="1"/>
        <v>61.83436003</v>
      </c>
      <c r="H222" s="27" t="s">
        <v>4157</v>
      </c>
      <c r="I222" s="33">
        <v>36943.0</v>
      </c>
      <c r="J222" s="16" t="s">
        <v>138</v>
      </c>
      <c r="K222" s="8" t="s">
        <v>4158</v>
      </c>
      <c r="L222" s="1">
        <v>0.0</v>
      </c>
      <c r="M222" s="1">
        <v>0.0</v>
      </c>
      <c r="N222" s="1" t="s">
        <v>140</v>
      </c>
      <c r="O222" s="16" t="s">
        <v>27</v>
      </c>
      <c r="R222" s="1">
        <v>0.0</v>
      </c>
    </row>
    <row r="223">
      <c r="A223" s="3">
        <v>38444.0</v>
      </c>
      <c r="B223" s="5">
        <v>107.0</v>
      </c>
      <c r="C223" s="8" t="s">
        <v>4159</v>
      </c>
      <c r="D223" s="1">
        <f>IFERROR(__xludf.DUMMYFUNCTION("IF(C223="""", 0, COUNTA(SPLIT(C223, "" "")))"),3.0)</f>
        <v>3</v>
      </c>
      <c r="E223" s="8" t="s">
        <v>4160</v>
      </c>
      <c r="F223" s="12">
        <v>10701.0</v>
      </c>
      <c r="G223" s="37">
        <f t="shared" si="1"/>
        <v>75.95619439</v>
      </c>
      <c r="H223" s="27" t="s">
        <v>4161</v>
      </c>
      <c r="I223" s="33">
        <v>36943.0</v>
      </c>
      <c r="J223" s="16" t="s">
        <v>138</v>
      </c>
      <c r="K223" s="8" t="s">
        <v>4162</v>
      </c>
      <c r="L223" s="1">
        <v>0.0</v>
      </c>
      <c r="M223" s="1">
        <v>0.0</v>
      </c>
      <c r="N223" s="1" t="s">
        <v>140</v>
      </c>
      <c r="O223" s="16" t="s">
        <v>27</v>
      </c>
      <c r="R223" s="1">
        <v>0.0</v>
      </c>
    </row>
    <row r="224">
      <c r="A224" s="3">
        <v>38444.0</v>
      </c>
      <c r="B224" s="5">
        <v>108.0</v>
      </c>
      <c r="C224" s="8" t="s">
        <v>4163</v>
      </c>
      <c r="D224" s="1">
        <f>IFERROR(__xludf.DUMMYFUNCTION("IF(C224="""", 0, COUNTA(SPLIT(C224, "" "")))"),2.0)</f>
        <v>2</v>
      </c>
      <c r="E224" s="8" t="s">
        <v>4164</v>
      </c>
      <c r="F224" s="12">
        <v>12118.0</v>
      </c>
      <c r="G224" s="37">
        <f t="shared" si="1"/>
        <v>72.07665982</v>
      </c>
      <c r="H224" s="27" t="s">
        <v>4165</v>
      </c>
      <c r="I224" s="33">
        <v>36943.0</v>
      </c>
      <c r="J224" s="16" t="s">
        <v>138</v>
      </c>
      <c r="K224" s="8" t="s">
        <v>4166</v>
      </c>
      <c r="L224" s="1">
        <v>0.0</v>
      </c>
      <c r="M224" s="1">
        <v>0.0</v>
      </c>
      <c r="N224" s="1" t="s">
        <v>140</v>
      </c>
      <c r="O224" s="16" t="s">
        <v>159</v>
      </c>
      <c r="R224" s="1">
        <v>0.0</v>
      </c>
    </row>
    <row r="225">
      <c r="A225" s="3">
        <v>38444.0</v>
      </c>
      <c r="B225" s="5">
        <v>109.0</v>
      </c>
      <c r="C225" s="8" t="s">
        <v>4167</v>
      </c>
      <c r="D225" s="1">
        <f>IFERROR(__xludf.DUMMYFUNCTION("IF(C225="""", 0, COUNTA(SPLIT(C225, "" "")))"),2.0)</f>
        <v>2</v>
      </c>
      <c r="E225" s="8" t="s">
        <v>4168</v>
      </c>
      <c r="F225" s="12">
        <v>15801.0</v>
      </c>
      <c r="G225" s="37">
        <f t="shared" si="1"/>
        <v>61.99315537</v>
      </c>
      <c r="H225" s="27" t="s">
        <v>4169</v>
      </c>
      <c r="I225" s="33">
        <v>37915.0</v>
      </c>
      <c r="J225" s="16" t="s">
        <v>138</v>
      </c>
      <c r="K225" s="8" t="s">
        <v>4170</v>
      </c>
      <c r="L225" s="1">
        <v>0.0</v>
      </c>
      <c r="M225" s="1">
        <v>0.0</v>
      </c>
      <c r="N225" s="1" t="s">
        <v>140</v>
      </c>
      <c r="O225" s="16" t="s">
        <v>174</v>
      </c>
      <c r="R225" s="1">
        <v>0.0</v>
      </c>
    </row>
    <row r="226">
      <c r="A226" s="3">
        <v>38444.0</v>
      </c>
      <c r="B226" s="5">
        <v>110.0</v>
      </c>
      <c r="C226" s="8" t="s">
        <v>4171</v>
      </c>
      <c r="D226" s="1">
        <f>IFERROR(__xludf.DUMMYFUNCTION("IF(C226="""", 0, COUNTA(SPLIT(C226, "" "")))"),3.0)</f>
        <v>3</v>
      </c>
      <c r="E226" s="8" t="s">
        <v>4172</v>
      </c>
      <c r="F226" s="12">
        <v>12016.0</v>
      </c>
      <c r="G226" s="37">
        <f t="shared" si="1"/>
        <v>72.3559206</v>
      </c>
      <c r="H226" s="27" t="s">
        <v>4173</v>
      </c>
      <c r="I226" s="33">
        <v>37915.0</v>
      </c>
      <c r="J226" s="16" t="s">
        <v>138</v>
      </c>
      <c r="K226" s="8" t="s">
        <v>4174</v>
      </c>
      <c r="L226" s="1">
        <v>0.0</v>
      </c>
      <c r="M226" s="1">
        <v>0.0</v>
      </c>
      <c r="N226" s="1" t="s">
        <v>140</v>
      </c>
      <c r="O226" s="16" t="s">
        <v>27</v>
      </c>
      <c r="R226" s="1">
        <v>0.0</v>
      </c>
    </row>
    <row r="227">
      <c r="A227" s="3">
        <v>38444.0</v>
      </c>
      <c r="B227" s="5">
        <v>111.0</v>
      </c>
      <c r="C227" s="8" t="s">
        <v>4175</v>
      </c>
      <c r="D227" s="1">
        <f>IFERROR(__xludf.DUMMYFUNCTION("IF(C227="""", 0, COUNTA(SPLIT(C227, "" "")))"),2.0)</f>
        <v>2</v>
      </c>
      <c r="E227" s="8" t="s">
        <v>4176</v>
      </c>
      <c r="F227" s="12">
        <v>10769.0</v>
      </c>
      <c r="G227" s="37">
        <f t="shared" si="1"/>
        <v>75.77002053</v>
      </c>
      <c r="H227" s="27" t="s">
        <v>4177</v>
      </c>
      <c r="I227" s="33">
        <v>37915.0</v>
      </c>
      <c r="J227" s="16" t="s">
        <v>138</v>
      </c>
      <c r="K227" s="8" t="s">
        <v>4178</v>
      </c>
      <c r="L227" s="1">
        <v>0.0</v>
      </c>
      <c r="M227" s="1">
        <v>0.0</v>
      </c>
      <c r="N227" s="1" t="s">
        <v>140</v>
      </c>
      <c r="O227" s="16" t="s">
        <v>27</v>
      </c>
      <c r="R227" s="1">
        <v>0.0</v>
      </c>
    </row>
    <row r="228">
      <c r="A228" s="3">
        <v>38444.0</v>
      </c>
      <c r="B228" s="5">
        <v>112.0</v>
      </c>
      <c r="C228" s="8" t="s">
        <v>4179</v>
      </c>
      <c r="D228" s="1">
        <f>IFERROR(__xludf.DUMMYFUNCTION("IF(C228="""", 0, COUNTA(SPLIT(C228, "" "")))"),3.0)</f>
        <v>3</v>
      </c>
      <c r="E228" s="8" t="s">
        <v>4180</v>
      </c>
      <c r="F228" s="12">
        <v>11048.0</v>
      </c>
      <c r="G228" s="37">
        <f t="shared" si="1"/>
        <v>75.00616016</v>
      </c>
      <c r="H228" s="27" t="s">
        <v>4181</v>
      </c>
      <c r="I228" s="33">
        <v>37915.0</v>
      </c>
      <c r="J228" s="16" t="s">
        <v>138</v>
      </c>
      <c r="K228" s="8" t="s">
        <v>4182</v>
      </c>
      <c r="L228" s="1">
        <v>0.0</v>
      </c>
      <c r="M228" s="1">
        <v>0.0</v>
      </c>
      <c r="N228" s="1" t="s">
        <v>140</v>
      </c>
      <c r="O228" s="16" t="s">
        <v>163</v>
      </c>
      <c r="R228" s="1">
        <v>0.0</v>
      </c>
    </row>
    <row r="229">
      <c r="A229" s="3">
        <v>38444.0</v>
      </c>
      <c r="B229" s="5">
        <v>113.0</v>
      </c>
      <c r="C229" s="8" t="s">
        <v>4183</v>
      </c>
      <c r="D229" s="1">
        <f>IFERROR(__xludf.DUMMYFUNCTION("IF(C229="""", 0, COUNTA(SPLIT(C229, "" "")))"),3.0)</f>
        <v>3</v>
      </c>
      <c r="E229" s="8" t="s">
        <v>4184</v>
      </c>
      <c r="F229" s="12">
        <v>12080.0</v>
      </c>
      <c r="G229" s="37">
        <f t="shared" si="1"/>
        <v>72.18069815</v>
      </c>
      <c r="H229" s="27" t="s">
        <v>4185</v>
      </c>
      <c r="I229" s="33">
        <v>37915.0</v>
      </c>
      <c r="J229" s="16" t="s">
        <v>138</v>
      </c>
      <c r="K229" s="8" t="s">
        <v>4186</v>
      </c>
      <c r="L229" s="1">
        <v>0.0</v>
      </c>
      <c r="M229" s="1">
        <v>0.0</v>
      </c>
      <c r="N229" s="1" t="s">
        <v>140</v>
      </c>
      <c r="O229" s="16" t="s">
        <v>163</v>
      </c>
      <c r="R229" s="1">
        <v>0.0</v>
      </c>
    </row>
    <row r="230">
      <c r="A230" s="3">
        <v>38444.0</v>
      </c>
      <c r="B230" s="5">
        <v>114.0</v>
      </c>
      <c r="C230" s="8" t="s">
        <v>4187</v>
      </c>
      <c r="D230" s="1">
        <f>IFERROR(__xludf.DUMMYFUNCTION("IF(C230="""", 0, COUNTA(SPLIT(C230, "" "")))"),3.0)</f>
        <v>3</v>
      </c>
      <c r="E230" s="8" t="s">
        <v>4188</v>
      </c>
      <c r="F230" s="12">
        <v>11026.0</v>
      </c>
      <c r="G230" s="37">
        <f t="shared" si="1"/>
        <v>75.06639288</v>
      </c>
      <c r="H230" s="27" t="s">
        <v>4189</v>
      </c>
      <c r="I230" s="33">
        <v>37915.0</v>
      </c>
      <c r="J230" s="16" t="s">
        <v>138</v>
      </c>
      <c r="K230" s="8" t="s">
        <v>4190</v>
      </c>
      <c r="L230" s="1">
        <v>0.0</v>
      </c>
      <c r="M230" s="1">
        <v>0.0</v>
      </c>
      <c r="N230" s="1" t="s">
        <v>140</v>
      </c>
      <c r="O230" s="16" t="s">
        <v>626</v>
      </c>
      <c r="R230" s="1">
        <v>0.0</v>
      </c>
    </row>
    <row r="231">
      <c r="A231" s="3">
        <v>38444.0</v>
      </c>
      <c r="B231" s="5">
        <v>115.0</v>
      </c>
      <c r="C231" s="8" t="s">
        <v>4191</v>
      </c>
      <c r="D231" s="1">
        <f>IFERROR(__xludf.DUMMYFUNCTION("IF(C231="""", 0, COUNTA(SPLIT(C231, "" "")))"),2.0)</f>
        <v>2</v>
      </c>
      <c r="E231" s="8" t="s">
        <v>4192</v>
      </c>
      <c r="F231" s="12">
        <v>13590.0</v>
      </c>
      <c r="G231" s="37">
        <f t="shared" si="1"/>
        <v>68.04654346</v>
      </c>
      <c r="H231" s="27" t="s">
        <v>4193</v>
      </c>
      <c r="I231" s="33">
        <v>37915.0</v>
      </c>
      <c r="J231" s="16" t="s">
        <v>138</v>
      </c>
      <c r="K231" s="8" t="s">
        <v>4194</v>
      </c>
      <c r="L231" s="1">
        <v>0.0</v>
      </c>
      <c r="M231" s="1">
        <v>0.0</v>
      </c>
      <c r="N231" s="1" t="s">
        <v>140</v>
      </c>
      <c r="O231" s="16" t="s">
        <v>27</v>
      </c>
      <c r="R231" s="1">
        <v>0.0</v>
      </c>
    </row>
    <row r="232">
      <c r="A232" s="3">
        <v>28764.0</v>
      </c>
      <c r="B232" s="5">
        <v>1.0</v>
      </c>
      <c r="C232" s="8" t="s">
        <v>4195</v>
      </c>
      <c r="D232" s="1">
        <f>IFERROR(__xludf.DUMMYFUNCTION("IF(C232="""", 0, COUNTA(SPLIT(C232, "" "")))"),2.0)</f>
        <v>2</v>
      </c>
      <c r="E232" s="8" t="s">
        <v>4196</v>
      </c>
      <c r="F232" s="12">
        <v>2111.0</v>
      </c>
      <c r="G232" s="37">
        <f t="shared" si="1"/>
        <v>72.97193703</v>
      </c>
      <c r="H232" s="27" t="s">
        <v>4197</v>
      </c>
      <c r="I232" s="33">
        <v>23795.0</v>
      </c>
      <c r="J232" s="16" t="s">
        <v>132</v>
      </c>
      <c r="K232" s="8" t="s">
        <v>4198</v>
      </c>
      <c r="L232" s="1" t="s">
        <v>58</v>
      </c>
      <c r="M232" s="1">
        <v>0.0</v>
      </c>
      <c r="N232" s="1" t="s">
        <v>140</v>
      </c>
      <c r="O232" s="16" t="s">
        <v>174</v>
      </c>
      <c r="R232" s="1">
        <v>0.0</v>
      </c>
    </row>
    <row r="233">
      <c r="A233" s="3">
        <v>28764.0</v>
      </c>
      <c r="B233" s="5">
        <v>2.0</v>
      </c>
      <c r="C233" s="8" t="s">
        <v>4199</v>
      </c>
      <c r="D233" s="1">
        <f>IFERROR(__xludf.DUMMYFUNCTION("IF(C233="""", 0, COUNTA(SPLIT(C233, "" "")))"),2.0)</f>
        <v>2</v>
      </c>
      <c r="E233" s="8" t="s">
        <v>4200</v>
      </c>
      <c r="F233" s="12">
        <v>2165.0</v>
      </c>
      <c r="G233" s="37">
        <f t="shared" si="1"/>
        <v>72.82409309</v>
      </c>
      <c r="H233" s="27" t="s">
        <v>4201</v>
      </c>
      <c r="I233" s="33">
        <v>23795.0</v>
      </c>
      <c r="J233" s="16" t="s">
        <v>132</v>
      </c>
      <c r="K233" s="8" t="s">
        <v>4202</v>
      </c>
      <c r="L233" s="1" t="s">
        <v>58</v>
      </c>
      <c r="M233" s="1">
        <v>0.0</v>
      </c>
      <c r="N233" s="1" t="s">
        <v>140</v>
      </c>
      <c r="O233" s="16" t="s">
        <v>27</v>
      </c>
      <c r="R233" s="1">
        <v>0.0</v>
      </c>
    </row>
    <row r="234">
      <c r="A234" s="3">
        <v>28764.0</v>
      </c>
      <c r="B234" s="5">
        <v>3.0</v>
      </c>
      <c r="C234" s="8" t="s">
        <v>4203</v>
      </c>
      <c r="D234" s="1">
        <f>IFERROR(__xludf.DUMMYFUNCTION("IF(C234="""", 0, COUNTA(SPLIT(C234, "" "")))"),2.0)</f>
        <v>2</v>
      </c>
      <c r="E234" s="8" t="s">
        <v>4204</v>
      </c>
      <c r="F234" s="12">
        <v>1965.0</v>
      </c>
      <c r="G234" s="37">
        <f t="shared" si="1"/>
        <v>73.37166324</v>
      </c>
      <c r="H234" s="27" t="s">
        <v>4205</v>
      </c>
      <c r="I234" s="33">
        <v>24649.0</v>
      </c>
      <c r="J234" s="16" t="s">
        <v>132</v>
      </c>
      <c r="K234" s="8" t="s">
        <v>4206</v>
      </c>
      <c r="L234" s="1" t="s">
        <v>58</v>
      </c>
      <c r="M234" s="1">
        <v>0.0</v>
      </c>
      <c r="N234" s="1" t="s">
        <v>140</v>
      </c>
      <c r="O234" s="16" t="s">
        <v>27</v>
      </c>
      <c r="R234" s="1">
        <v>0.0</v>
      </c>
    </row>
    <row r="235">
      <c r="A235" s="3">
        <v>28764.0</v>
      </c>
      <c r="B235" s="5">
        <v>4.0</v>
      </c>
      <c r="C235" s="8" t="s">
        <v>4207</v>
      </c>
      <c r="D235" s="1">
        <f>IFERROR(__xludf.DUMMYFUNCTION("IF(C235="""", 0, COUNTA(SPLIT(C235, "" "")))"),2.0)</f>
        <v>2</v>
      </c>
      <c r="E235" s="8" t="s">
        <v>4208</v>
      </c>
      <c r="F235" s="12">
        <v>4885.0</v>
      </c>
      <c r="G235" s="37">
        <f t="shared" si="1"/>
        <v>65.37713895</v>
      </c>
      <c r="H235" s="27" t="s">
        <v>4209</v>
      </c>
      <c r="I235" s="33">
        <v>24649.0</v>
      </c>
      <c r="J235" s="16" t="s">
        <v>132</v>
      </c>
      <c r="K235" s="8" t="s">
        <v>4210</v>
      </c>
      <c r="L235" s="1" t="s">
        <v>58</v>
      </c>
      <c r="M235" s="1">
        <v>0.0</v>
      </c>
      <c r="N235" s="1" t="s">
        <v>140</v>
      </c>
      <c r="O235" s="16" t="s">
        <v>27</v>
      </c>
      <c r="R235" s="1">
        <v>9.0</v>
      </c>
    </row>
    <row r="236">
      <c r="A236" s="3">
        <v>28764.0</v>
      </c>
      <c r="B236" s="5">
        <v>5.0</v>
      </c>
      <c r="C236" s="17" t="s">
        <v>879</v>
      </c>
      <c r="D236" s="1">
        <f>IFERROR(__xludf.DUMMYFUNCTION("IF(C236="""", 0, COUNTA(SPLIT(C236, "" "")))"),3.0)</f>
        <v>3</v>
      </c>
      <c r="E236" s="8" t="s">
        <v>4211</v>
      </c>
      <c r="F236" s="12">
        <v>1514.0</v>
      </c>
      <c r="G236" s="37">
        <f t="shared" si="1"/>
        <v>74.60643395</v>
      </c>
      <c r="H236" s="27" t="s">
        <v>4212</v>
      </c>
      <c r="I236" s="33">
        <v>25321.0</v>
      </c>
      <c r="J236" s="16" t="s">
        <v>132</v>
      </c>
      <c r="K236" s="8" t="s">
        <v>4213</v>
      </c>
      <c r="L236" s="1" t="s">
        <v>58</v>
      </c>
      <c r="M236" s="1">
        <v>0.0</v>
      </c>
      <c r="N236" s="1" t="s">
        <v>140</v>
      </c>
      <c r="O236" s="16" t="s">
        <v>148</v>
      </c>
      <c r="R236" s="1">
        <v>0.0</v>
      </c>
    </row>
    <row r="237">
      <c r="A237" s="3">
        <v>28764.0</v>
      </c>
      <c r="B237" s="5">
        <v>6.0</v>
      </c>
      <c r="C237" s="8" t="s">
        <v>4214</v>
      </c>
      <c r="D237" s="1">
        <f>IFERROR(__xludf.DUMMYFUNCTION("IF(C237="""", 0, COUNTA(SPLIT(C237, "" "")))"),2.0)</f>
        <v>2</v>
      </c>
      <c r="E237" s="8" t="s">
        <v>4215</v>
      </c>
      <c r="F237" s="12">
        <v>2332.0</v>
      </c>
      <c r="G237" s="37">
        <f t="shared" si="1"/>
        <v>72.36687201</v>
      </c>
      <c r="H237" s="27" t="s">
        <v>4216</v>
      </c>
      <c r="I237" s="33">
        <v>23795.0</v>
      </c>
      <c r="J237" s="16" t="s">
        <v>132</v>
      </c>
      <c r="K237" s="8" t="s">
        <v>4217</v>
      </c>
      <c r="L237" s="1" t="s">
        <v>58</v>
      </c>
      <c r="M237" s="1">
        <v>0.0</v>
      </c>
      <c r="N237" s="1" t="s">
        <v>140</v>
      </c>
      <c r="O237" s="16" t="s">
        <v>27</v>
      </c>
      <c r="R237" s="1">
        <v>25.0</v>
      </c>
    </row>
    <row r="238">
      <c r="A238" s="3">
        <v>28764.0</v>
      </c>
      <c r="B238" s="5">
        <v>7.0</v>
      </c>
      <c r="C238" s="8" t="s">
        <v>4218</v>
      </c>
      <c r="D238" s="1">
        <f>IFERROR(__xludf.DUMMYFUNCTION("IF(C238="""", 0, COUNTA(SPLIT(C238, "" "")))"),2.0)</f>
        <v>2</v>
      </c>
      <c r="E238" s="8" t="s">
        <v>4219</v>
      </c>
      <c r="F238" s="12">
        <v>581.0</v>
      </c>
      <c r="G238" s="37">
        <f t="shared" si="1"/>
        <v>77.16084873</v>
      </c>
      <c r="H238" s="27" t="s">
        <v>4220</v>
      </c>
      <c r="I238" s="33">
        <v>19371.0</v>
      </c>
      <c r="J238" s="16" t="s">
        <v>123</v>
      </c>
      <c r="K238" s="8" t="s">
        <v>4221</v>
      </c>
      <c r="L238" s="1" t="s">
        <v>58</v>
      </c>
      <c r="M238" s="1">
        <v>0.0</v>
      </c>
      <c r="N238" s="1" t="s">
        <v>140</v>
      </c>
      <c r="O238" s="16" t="s">
        <v>204</v>
      </c>
      <c r="R238" s="1">
        <v>0.0</v>
      </c>
    </row>
    <row r="239">
      <c r="A239" s="3">
        <v>28764.0</v>
      </c>
      <c r="B239" s="5">
        <v>8.0</v>
      </c>
      <c r="C239" s="17" t="s">
        <v>4222</v>
      </c>
      <c r="D239" s="1">
        <f>IFERROR(__xludf.DUMMYFUNCTION("IF(C239="""", 0, COUNTA(SPLIT(C239, "" "")))"),3.0)</f>
        <v>3</v>
      </c>
      <c r="E239" s="8" t="s">
        <v>4223</v>
      </c>
      <c r="F239" s="12">
        <v>1578.0</v>
      </c>
      <c r="G239" s="37">
        <f t="shared" si="1"/>
        <v>74.4312115</v>
      </c>
      <c r="H239" s="27" t="s">
        <v>4224</v>
      </c>
      <c r="I239" s="33">
        <v>19371.0</v>
      </c>
      <c r="J239" s="16" t="s">
        <v>123</v>
      </c>
      <c r="K239" s="8" t="s">
        <v>4225</v>
      </c>
      <c r="L239" s="1" t="s">
        <v>58</v>
      </c>
      <c r="M239" s="1">
        <v>0.0</v>
      </c>
      <c r="N239" s="1" t="s">
        <v>140</v>
      </c>
      <c r="O239" s="16" t="s">
        <v>174</v>
      </c>
      <c r="R239" s="1">
        <v>0.0</v>
      </c>
    </row>
    <row r="240">
      <c r="A240" s="3">
        <v>28764.0</v>
      </c>
      <c r="B240" s="5">
        <v>9.0</v>
      </c>
      <c r="C240" s="8" t="s">
        <v>4226</v>
      </c>
      <c r="D240" s="1">
        <f>IFERROR(__xludf.DUMMYFUNCTION("IF(C240="""", 0, COUNTA(SPLIT(C240, "" "")))"),5.0)</f>
        <v>5</v>
      </c>
      <c r="E240" s="8" t="s">
        <v>4227</v>
      </c>
      <c r="F240" s="12">
        <v>1716.0</v>
      </c>
      <c r="G240" s="37">
        <f t="shared" si="1"/>
        <v>74.05338809</v>
      </c>
      <c r="H240" s="27" t="s">
        <v>4228</v>
      </c>
      <c r="I240" s="33">
        <v>19371.0</v>
      </c>
      <c r="J240" s="16" t="s">
        <v>123</v>
      </c>
      <c r="K240" s="8" t="s">
        <v>4229</v>
      </c>
      <c r="L240" s="1" t="s">
        <v>58</v>
      </c>
      <c r="M240" s="1">
        <v>0.0</v>
      </c>
      <c r="N240" s="1" t="s">
        <v>140</v>
      </c>
      <c r="O240" s="16" t="s">
        <v>163</v>
      </c>
      <c r="R240" s="1">
        <v>0.0</v>
      </c>
    </row>
    <row r="241">
      <c r="A241" s="3">
        <v>28764.0</v>
      </c>
      <c r="B241" s="5">
        <v>10.0</v>
      </c>
      <c r="C241" s="8" t="s">
        <v>4230</v>
      </c>
      <c r="D241" s="1">
        <f>IFERROR(__xludf.DUMMYFUNCTION("IF(C241="""", 0, COUNTA(SPLIT(C241, "" "")))"),2.0)</f>
        <v>2</v>
      </c>
      <c r="E241" s="8" t="s">
        <v>4231</v>
      </c>
      <c r="F241" s="12">
        <v>2042.0</v>
      </c>
      <c r="G241" s="37">
        <f t="shared" si="1"/>
        <v>73.16084873</v>
      </c>
      <c r="H241" s="27" t="s">
        <v>4232</v>
      </c>
      <c r="I241" s="33">
        <v>21534.0</v>
      </c>
      <c r="J241" s="16" t="s">
        <v>128</v>
      </c>
      <c r="K241" s="8" t="s">
        <v>4233</v>
      </c>
      <c r="L241" s="1" t="s">
        <v>58</v>
      </c>
      <c r="M241" s="1">
        <v>0.0</v>
      </c>
      <c r="N241" s="1" t="s">
        <v>140</v>
      </c>
      <c r="O241" s="16" t="s">
        <v>159</v>
      </c>
      <c r="R241" s="1">
        <v>8.0</v>
      </c>
    </row>
    <row r="242">
      <c r="A242" s="3">
        <v>28764.0</v>
      </c>
      <c r="B242" s="5">
        <v>11.0</v>
      </c>
      <c r="C242" s="8" t="s">
        <v>4234</v>
      </c>
      <c r="D242" s="1">
        <f>IFERROR(__xludf.DUMMYFUNCTION("IF(C242="""", 0, COUNTA(SPLIT(C242, "" "")))"),3.0)</f>
        <v>3</v>
      </c>
      <c r="E242" s="8" t="s">
        <v>4235</v>
      </c>
      <c r="F242" s="12">
        <v>187.0</v>
      </c>
      <c r="G242" s="37">
        <f t="shared" si="1"/>
        <v>78.23956194</v>
      </c>
      <c r="H242" s="27" t="s">
        <v>4236</v>
      </c>
      <c r="I242" s="33">
        <v>21534.0</v>
      </c>
      <c r="J242" s="16" t="s">
        <v>128</v>
      </c>
      <c r="K242" s="8" t="s">
        <v>4237</v>
      </c>
      <c r="L242" s="1" t="s">
        <v>58</v>
      </c>
      <c r="M242" s="1">
        <v>0.0</v>
      </c>
      <c r="N242" s="1" t="s">
        <v>140</v>
      </c>
      <c r="O242" s="16" t="s">
        <v>155</v>
      </c>
      <c r="R242" s="1">
        <v>0.0</v>
      </c>
    </row>
    <row r="243">
      <c r="A243" s="3">
        <v>28764.0</v>
      </c>
      <c r="B243" s="5">
        <v>12.0</v>
      </c>
      <c r="C243" s="8" t="s">
        <v>4238</v>
      </c>
      <c r="D243" s="1">
        <f>IFERROR(__xludf.DUMMYFUNCTION("IF(C243="""", 0, COUNTA(SPLIT(C243, "" "")))"),2.0)</f>
        <v>2</v>
      </c>
      <c r="E243" s="8" t="s">
        <v>4239</v>
      </c>
      <c r="F243" s="12">
        <v>4577.0</v>
      </c>
      <c r="G243" s="37">
        <f t="shared" si="1"/>
        <v>66.22039699</v>
      </c>
      <c r="H243" s="27" t="s">
        <v>4240</v>
      </c>
      <c r="I243" s="33">
        <v>22003.0</v>
      </c>
      <c r="J243" s="16" t="s">
        <v>128</v>
      </c>
      <c r="K243" s="8" t="s">
        <v>4241</v>
      </c>
      <c r="L243" s="1" t="s">
        <v>58</v>
      </c>
      <c r="M243" s="1">
        <v>0.0</v>
      </c>
      <c r="N243" s="1" t="s">
        <v>140</v>
      </c>
      <c r="O243" s="16" t="s">
        <v>191</v>
      </c>
      <c r="R243" s="1">
        <v>0.0</v>
      </c>
    </row>
    <row r="244">
      <c r="A244" s="3">
        <v>28764.0</v>
      </c>
      <c r="B244" s="5">
        <v>13.0</v>
      </c>
      <c r="C244" s="8" t="s">
        <v>4242</v>
      </c>
      <c r="D244" s="1">
        <f>IFERROR(__xludf.DUMMYFUNCTION("IF(C244="""", 0, COUNTA(SPLIT(C244, "" "")))"),4.0)</f>
        <v>4</v>
      </c>
      <c r="E244" s="8" t="s">
        <v>4243</v>
      </c>
      <c r="F244" s="12">
        <v>996.0</v>
      </c>
      <c r="G244" s="37">
        <f t="shared" si="1"/>
        <v>76.02464066</v>
      </c>
      <c r="H244" s="27" t="s">
        <v>4244</v>
      </c>
      <c r="I244" s="33">
        <v>22003.0</v>
      </c>
      <c r="J244" s="16" t="s">
        <v>128</v>
      </c>
      <c r="K244" s="8" t="s">
        <v>4245</v>
      </c>
      <c r="L244" s="1" t="s">
        <v>58</v>
      </c>
      <c r="M244" s="1">
        <v>0.0</v>
      </c>
      <c r="N244" s="1" t="s">
        <v>140</v>
      </c>
      <c r="O244" s="16" t="s">
        <v>163</v>
      </c>
      <c r="R244" s="1">
        <v>0.0</v>
      </c>
    </row>
    <row r="245">
      <c r="A245" s="3">
        <v>28764.0</v>
      </c>
      <c r="B245" s="5">
        <v>14.0</v>
      </c>
      <c r="C245" s="17" t="s">
        <v>4246</v>
      </c>
      <c r="D245" s="1">
        <f>IFERROR(__xludf.DUMMYFUNCTION("IF(C245="""", 0, COUNTA(SPLIT(C245, "" "")))"),3.0)</f>
        <v>3</v>
      </c>
      <c r="E245" s="8" t="s">
        <v>4247</v>
      </c>
      <c r="F245" s="12">
        <v>5072.0</v>
      </c>
      <c r="G245" s="37">
        <f t="shared" si="1"/>
        <v>64.86516085</v>
      </c>
      <c r="H245" s="27" t="s">
        <v>4248</v>
      </c>
      <c r="I245" s="33">
        <v>22297.0</v>
      </c>
      <c r="J245" s="16" t="s">
        <v>128</v>
      </c>
      <c r="K245" s="8" t="s">
        <v>4249</v>
      </c>
      <c r="L245" s="1" t="s">
        <v>58</v>
      </c>
      <c r="M245" s="1">
        <v>0.0</v>
      </c>
      <c r="N245" s="1" t="s">
        <v>140</v>
      </c>
      <c r="O245" s="16" t="s">
        <v>163</v>
      </c>
      <c r="R245" s="1">
        <v>0.0</v>
      </c>
    </row>
    <row r="246">
      <c r="A246" s="3">
        <v>28764.0</v>
      </c>
      <c r="B246" s="5">
        <v>15.0</v>
      </c>
      <c r="C246" s="17" t="s">
        <v>4250</v>
      </c>
      <c r="D246" s="1">
        <f>IFERROR(__xludf.DUMMYFUNCTION("IF(C246="""", 0, COUNTA(SPLIT(C246, "" "")))"),3.0)</f>
        <v>3</v>
      </c>
      <c r="E246" s="8" t="s">
        <v>4251</v>
      </c>
      <c r="F246" s="12">
        <v>2827.0</v>
      </c>
      <c r="G246" s="37">
        <f t="shared" si="1"/>
        <v>71.01163587</v>
      </c>
      <c r="H246" s="27" t="s">
        <v>4252</v>
      </c>
      <c r="I246" s="33">
        <v>22724.0</v>
      </c>
      <c r="J246" s="16" t="s">
        <v>128</v>
      </c>
      <c r="K246" s="8" t="s">
        <v>4253</v>
      </c>
      <c r="L246" s="1" t="s">
        <v>58</v>
      </c>
      <c r="M246" s="1">
        <v>0.0</v>
      </c>
      <c r="N246" s="1" t="s">
        <v>140</v>
      </c>
      <c r="O246" s="16" t="s">
        <v>163</v>
      </c>
      <c r="R246" s="1">
        <v>0.0</v>
      </c>
    </row>
    <row r="247">
      <c r="A247" s="3">
        <v>28764.0</v>
      </c>
      <c r="B247" s="5">
        <v>16.0</v>
      </c>
      <c r="C247" s="8" t="s">
        <v>4254</v>
      </c>
      <c r="D247" s="1">
        <f>IFERROR(__xludf.DUMMYFUNCTION("IF(C247="""", 0, COUNTA(SPLIT(C247, "" "")))"),2.0)</f>
        <v>2</v>
      </c>
      <c r="E247" s="8" t="s">
        <v>4255</v>
      </c>
      <c r="F247" s="12">
        <v>1659.0</v>
      </c>
      <c r="G247" s="37">
        <f t="shared" si="1"/>
        <v>74.20944559</v>
      </c>
      <c r="H247" s="27" t="s">
        <v>4256</v>
      </c>
      <c r="I247" s="33">
        <v>22724.0</v>
      </c>
      <c r="J247" s="16" t="s">
        <v>128</v>
      </c>
      <c r="K247" s="8" t="s">
        <v>4257</v>
      </c>
      <c r="L247" s="1" t="s">
        <v>58</v>
      </c>
      <c r="M247" s="1">
        <v>0.0</v>
      </c>
      <c r="N247" s="1" t="s">
        <v>140</v>
      </c>
      <c r="O247" s="16" t="s">
        <v>155</v>
      </c>
      <c r="R247" s="1">
        <v>0.0</v>
      </c>
    </row>
    <row r="248">
      <c r="A248" s="3">
        <v>28764.0</v>
      </c>
      <c r="B248" s="5">
        <v>17.0</v>
      </c>
      <c r="C248" s="17" t="s">
        <v>4258</v>
      </c>
      <c r="D248" s="1">
        <f>IFERROR(__xludf.DUMMYFUNCTION("IF(C248="""", 0, COUNTA(SPLIT(C248, "" "")))"),3.0)</f>
        <v>3</v>
      </c>
      <c r="E248" s="8" t="s">
        <v>4259</v>
      </c>
      <c r="F248" s="12">
        <v>728.0</v>
      </c>
      <c r="G248" s="37">
        <f t="shared" si="1"/>
        <v>76.75838467</v>
      </c>
      <c r="H248" s="27" t="s">
        <v>4260</v>
      </c>
      <c r="I248" s="33">
        <v>22724.0</v>
      </c>
      <c r="J248" s="16" t="s">
        <v>128</v>
      </c>
      <c r="K248" s="8" t="s">
        <v>4261</v>
      </c>
      <c r="L248" s="1" t="s">
        <v>58</v>
      </c>
      <c r="M248" s="1">
        <v>0.0</v>
      </c>
      <c r="N248" s="1" t="s">
        <v>140</v>
      </c>
      <c r="O248" s="16" t="s">
        <v>376</v>
      </c>
      <c r="R248" s="1">
        <v>0.0</v>
      </c>
    </row>
    <row r="249">
      <c r="A249" s="3">
        <v>28764.0</v>
      </c>
      <c r="B249" s="5">
        <v>18.0</v>
      </c>
      <c r="C249" s="8" t="s">
        <v>4262</v>
      </c>
      <c r="D249" s="1">
        <f>IFERROR(__xludf.DUMMYFUNCTION("IF(C249="""", 0, COUNTA(SPLIT(C249, "" "")))"),2.0)</f>
        <v>2</v>
      </c>
      <c r="E249" s="8" t="s">
        <v>4263</v>
      </c>
      <c r="F249" s="12">
        <v>1852.0</v>
      </c>
      <c r="G249" s="37">
        <f t="shared" si="1"/>
        <v>73.68104038</v>
      </c>
      <c r="H249" s="27" t="s">
        <v>4264</v>
      </c>
      <c r="I249" s="33">
        <v>23795.0</v>
      </c>
      <c r="J249" s="16" t="s">
        <v>132</v>
      </c>
      <c r="K249" s="8" t="s">
        <v>4265</v>
      </c>
      <c r="L249" s="1" t="s">
        <v>58</v>
      </c>
      <c r="M249" s="1">
        <v>0.0</v>
      </c>
      <c r="N249" s="1" t="s">
        <v>140</v>
      </c>
      <c r="O249" s="16" t="s">
        <v>174</v>
      </c>
      <c r="R249" s="1">
        <v>0.0</v>
      </c>
    </row>
    <row r="250">
      <c r="A250" s="3">
        <v>28764.0</v>
      </c>
      <c r="B250" s="5">
        <v>19.0</v>
      </c>
      <c r="C250" s="8" t="s">
        <v>4266</v>
      </c>
      <c r="D250" s="1">
        <f>IFERROR(__xludf.DUMMYFUNCTION("IF(C250="""", 0, COUNTA(SPLIT(C250, "" "")))"),2.0)</f>
        <v>2</v>
      </c>
      <c r="E250" s="8" t="s">
        <v>4267</v>
      </c>
      <c r="F250" s="12">
        <v>2737.0</v>
      </c>
      <c r="G250" s="37">
        <f t="shared" si="1"/>
        <v>71.25804244</v>
      </c>
      <c r="H250" s="27" t="s">
        <v>4268</v>
      </c>
      <c r="I250" s="33">
        <v>23795.0</v>
      </c>
      <c r="J250" s="16" t="s">
        <v>132</v>
      </c>
      <c r="K250" s="8" t="s">
        <v>4269</v>
      </c>
      <c r="L250" s="1" t="s">
        <v>58</v>
      </c>
      <c r="M250" s="1">
        <v>0.0</v>
      </c>
      <c r="N250" s="1" t="s">
        <v>140</v>
      </c>
      <c r="O250" s="16" t="s">
        <v>167</v>
      </c>
      <c r="R250" s="1">
        <v>0.0</v>
      </c>
    </row>
    <row r="251">
      <c r="A251" s="3">
        <v>28764.0</v>
      </c>
      <c r="B251" s="5">
        <v>20.0</v>
      </c>
      <c r="C251" s="8" t="s">
        <v>4270</v>
      </c>
      <c r="D251" s="1">
        <f>IFERROR(__xludf.DUMMYFUNCTION("IF(C251="""", 0, COUNTA(SPLIT(C251, "" "")))"),2.0)</f>
        <v>2</v>
      </c>
      <c r="E251" s="8" t="s">
        <v>4271</v>
      </c>
      <c r="F251" s="12">
        <v>1409.0</v>
      </c>
      <c r="G251" s="37">
        <f t="shared" si="1"/>
        <v>74.89390828</v>
      </c>
      <c r="H251" s="27" t="s">
        <v>4272</v>
      </c>
      <c r="I251" s="33">
        <v>23795.0</v>
      </c>
      <c r="J251" s="16" t="s">
        <v>132</v>
      </c>
      <c r="K251" s="8" t="s">
        <v>4273</v>
      </c>
      <c r="L251" s="1" t="s">
        <v>58</v>
      </c>
      <c r="M251" s="1">
        <v>0.0</v>
      </c>
      <c r="N251" s="1" t="s">
        <v>140</v>
      </c>
      <c r="O251" s="16" t="s">
        <v>174</v>
      </c>
      <c r="R251" s="1">
        <v>0.0</v>
      </c>
    </row>
    <row r="252">
      <c r="A252" s="3">
        <v>28764.0</v>
      </c>
      <c r="B252" s="5">
        <v>21.0</v>
      </c>
      <c r="C252" s="8" t="s">
        <v>4274</v>
      </c>
      <c r="D252" s="1">
        <f>IFERROR(__xludf.DUMMYFUNCTION("IF(C252="""", 0, COUNTA(SPLIT(C252, "" "")))"),2.0)</f>
        <v>2</v>
      </c>
      <c r="E252" s="8" t="s">
        <v>4275</v>
      </c>
      <c r="F252" s="12">
        <v>552.0</v>
      </c>
      <c r="G252" s="37">
        <f t="shared" si="1"/>
        <v>77.24024641</v>
      </c>
      <c r="H252" s="27" t="s">
        <v>4276</v>
      </c>
      <c r="I252" s="33">
        <v>23795.0</v>
      </c>
      <c r="J252" s="16" t="s">
        <v>132</v>
      </c>
      <c r="K252" s="8" t="s">
        <v>4277</v>
      </c>
      <c r="L252" s="1" t="s">
        <v>58</v>
      </c>
      <c r="M252" s="1">
        <v>0.0</v>
      </c>
      <c r="N252" s="1" t="s">
        <v>140</v>
      </c>
      <c r="O252" s="16" t="s">
        <v>27</v>
      </c>
      <c r="R252" s="1">
        <v>0.0</v>
      </c>
    </row>
    <row r="253">
      <c r="A253" s="3">
        <v>28764.0</v>
      </c>
      <c r="B253" s="5">
        <v>22.0</v>
      </c>
      <c r="C253" s="8" t="s">
        <v>4278</v>
      </c>
      <c r="D253" s="1">
        <f>IFERROR(__xludf.DUMMYFUNCTION("IF(C253="""", 0, COUNTA(SPLIT(C253, "" "")))"),2.0)</f>
        <v>2</v>
      </c>
      <c r="E253" s="8" t="s">
        <v>4279</v>
      </c>
      <c r="F253" s="12">
        <v>2102.0</v>
      </c>
      <c r="G253" s="37">
        <f t="shared" si="1"/>
        <v>72.99657769</v>
      </c>
      <c r="H253" s="27" t="s">
        <v>4280</v>
      </c>
      <c r="I253" s="33">
        <v>23795.0</v>
      </c>
      <c r="J253" s="16" t="s">
        <v>132</v>
      </c>
      <c r="K253" s="8" t="s">
        <v>4281</v>
      </c>
      <c r="L253" s="1" t="s">
        <v>58</v>
      </c>
      <c r="M253" s="1">
        <v>0.0</v>
      </c>
      <c r="N253" s="1" t="s">
        <v>140</v>
      </c>
      <c r="O253" s="16" t="s">
        <v>178</v>
      </c>
      <c r="R253" s="1">
        <v>0.0</v>
      </c>
    </row>
    <row r="254">
      <c r="A254" s="3">
        <v>28764.0</v>
      </c>
      <c r="B254" s="5">
        <v>23.0</v>
      </c>
      <c r="C254" s="17" t="s">
        <v>933</v>
      </c>
      <c r="D254" s="1">
        <f>IFERROR(__xludf.DUMMYFUNCTION("IF(C254="""", 0, COUNTA(SPLIT(C254, "" "")))"),2.0)</f>
        <v>2</v>
      </c>
      <c r="E254" s="8" t="s">
        <v>4282</v>
      </c>
      <c r="F254" s="12">
        <v>6456.0</v>
      </c>
      <c r="G254" s="37">
        <f t="shared" si="1"/>
        <v>61.07597536</v>
      </c>
      <c r="H254" s="27" t="s">
        <v>4283</v>
      </c>
      <c r="I254" s="33">
        <v>23795.0</v>
      </c>
      <c r="J254" s="16" t="s">
        <v>132</v>
      </c>
      <c r="K254" s="8" t="s">
        <v>4284</v>
      </c>
      <c r="L254" s="1" t="s">
        <v>58</v>
      </c>
      <c r="M254" s="1">
        <v>0.0</v>
      </c>
      <c r="N254" s="1" t="s">
        <v>140</v>
      </c>
      <c r="O254" s="16" t="s">
        <v>936</v>
      </c>
      <c r="R254" s="1">
        <v>0.0</v>
      </c>
    </row>
    <row r="255">
      <c r="A255" s="3">
        <v>28764.0</v>
      </c>
      <c r="B255" s="5">
        <v>24.0</v>
      </c>
      <c r="C255" s="8" t="s">
        <v>4285</v>
      </c>
      <c r="D255" s="1">
        <f>IFERROR(__xludf.DUMMYFUNCTION("IF(C255="""", 0, COUNTA(SPLIT(C255, "" "")))"),2.0)</f>
        <v>2</v>
      </c>
      <c r="E255" s="8" t="s">
        <v>4286</v>
      </c>
      <c r="F255" s="12">
        <v>3787.0</v>
      </c>
      <c r="G255" s="37">
        <f t="shared" si="1"/>
        <v>68.38329911</v>
      </c>
      <c r="H255" s="27" t="s">
        <v>4287</v>
      </c>
      <c r="I255" s="33">
        <v>23795.0</v>
      </c>
      <c r="J255" s="16" t="s">
        <v>132</v>
      </c>
      <c r="K255" s="8" t="s">
        <v>4288</v>
      </c>
      <c r="L255" s="1" t="s">
        <v>58</v>
      </c>
      <c r="M255" s="1">
        <v>0.0</v>
      </c>
      <c r="N255" s="1" t="s">
        <v>140</v>
      </c>
      <c r="O255" s="16" t="s">
        <v>218</v>
      </c>
      <c r="R255" s="1">
        <v>0.0</v>
      </c>
    </row>
    <row r="256">
      <c r="A256" s="3">
        <v>28764.0</v>
      </c>
      <c r="B256" s="5">
        <v>25.0</v>
      </c>
      <c r="C256" s="8" t="s">
        <v>4289</v>
      </c>
      <c r="D256" s="1">
        <f>IFERROR(__xludf.DUMMYFUNCTION("IF(C256="""", 0, COUNTA(SPLIT(C256, "" "")))"),2.0)</f>
        <v>2</v>
      </c>
      <c r="E256" s="8" t="s">
        <v>4290</v>
      </c>
      <c r="F256" s="12">
        <v>1071.0</v>
      </c>
      <c r="G256" s="37">
        <f t="shared" si="1"/>
        <v>75.81930185</v>
      </c>
      <c r="H256" s="27" t="s">
        <v>4291</v>
      </c>
      <c r="I256" s="33">
        <v>23795.0</v>
      </c>
      <c r="J256" s="16" t="s">
        <v>132</v>
      </c>
      <c r="K256" s="8" t="s">
        <v>4292</v>
      </c>
      <c r="L256" s="1" t="s">
        <v>58</v>
      </c>
      <c r="M256" s="1">
        <v>0.0</v>
      </c>
      <c r="N256" s="1" t="s">
        <v>140</v>
      </c>
      <c r="O256" s="16" t="s">
        <v>27</v>
      </c>
      <c r="R256" s="1">
        <v>0.0</v>
      </c>
    </row>
    <row r="257">
      <c r="A257" s="3">
        <v>28764.0</v>
      </c>
      <c r="B257" s="5">
        <v>26.0</v>
      </c>
      <c r="C257" s="8" t="s">
        <v>4293</v>
      </c>
      <c r="D257" s="1">
        <f>IFERROR(__xludf.DUMMYFUNCTION("IF(C257="""", 0, COUNTA(SPLIT(C257, "" "")))"),2.0)</f>
        <v>2</v>
      </c>
      <c r="E257" s="8" t="s">
        <v>4294</v>
      </c>
      <c r="F257" s="12">
        <v>651.0</v>
      </c>
      <c r="G257" s="37">
        <f t="shared" si="1"/>
        <v>76.96919918</v>
      </c>
      <c r="H257" s="27" t="s">
        <v>4295</v>
      </c>
      <c r="I257" s="33">
        <v>23795.0</v>
      </c>
      <c r="J257" s="16" t="s">
        <v>132</v>
      </c>
      <c r="K257" s="8" t="s">
        <v>4296</v>
      </c>
      <c r="L257" s="1" t="s">
        <v>58</v>
      </c>
      <c r="M257" s="1">
        <v>0.0</v>
      </c>
      <c r="N257" s="1" t="s">
        <v>140</v>
      </c>
      <c r="O257" s="16" t="s">
        <v>174</v>
      </c>
      <c r="R257" s="1">
        <v>0.0</v>
      </c>
    </row>
    <row r="258">
      <c r="A258" s="3">
        <v>28764.0</v>
      </c>
      <c r="B258" s="5">
        <v>27.0</v>
      </c>
      <c r="C258" s="8" t="s">
        <v>4297</v>
      </c>
      <c r="D258" s="1">
        <f>IFERROR(__xludf.DUMMYFUNCTION("IF(C258="""", 0, COUNTA(SPLIT(C258, "" "")))"),2.0)</f>
        <v>2</v>
      </c>
      <c r="E258" s="8" t="s">
        <v>4298</v>
      </c>
      <c r="F258" s="12">
        <v>2249.0</v>
      </c>
      <c r="G258" s="37">
        <f t="shared" si="1"/>
        <v>72.59411362</v>
      </c>
      <c r="H258" s="27" t="s">
        <v>4299</v>
      </c>
      <c r="I258" s="33">
        <v>24649.0</v>
      </c>
      <c r="J258" s="16" t="s">
        <v>132</v>
      </c>
      <c r="K258" s="8" t="s">
        <v>4300</v>
      </c>
      <c r="L258" s="1" t="s">
        <v>58</v>
      </c>
      <c r="M258" s="1">
        <v>0.0</v>
      </c>
      <c r="N258" s="1" t="s">
        <v>140</v>
      </c>
      <c r="O258" s="16" t="s">
        <v>27</v>
      </c>
      <c r="R258" s="1">
        <v>0.0</v>
      </c>
    </row>
    <row r="259">
      <c r="A259" s="3">
        <v>28764.0</v>
      </c>
      <c r="B259" s="5">
        <v>28.0</v>
      </c>
      <c r="C259" s="8" t="s">
        <v>4301</v>
      </c>
      <c r="D259" s="1">
        <f>IFERROR(__xludf.DUMMYFUNCTION("IF(C259="""", 0, COUNTA(SPLIT(C259, "" "")))"),3.0)</f>
        <v>3</v>
      </c>
      <c r="E259" s="8" t="s">
        <v>4302</v>
      </c>
      <c r="F259" s="12">
        <v>1758.0</v>
      </c>
      <c r="G259" s="37">
        <f t="shared" si="1"/>
        <v>73.93839836</v>
      </c>
      <c r="H259" s="27" t="s">
        <v>4303</v>
      </c>
      <c r="I259" s="33">
        <v>24649.0</v>
      </c>
      <c r="J259" s="16" t="s">
        <v>132</v>
      </c>
      <c r="K259" s="8" t="s">
        <v>4304</v>
      </c>
      <c r="L259" s="1" t="s">
        <v>58</v>
      </c>
      <c r="M259" s="1">
        <v>0.0</v>
      </c>
      <c r="N259" s="1" t="s">
        <v>140</v>
      </c>
      <c r="O259" s="16" t="s">
        <v>174</v>
      </c>
      <c r="R259" s="1">
        <v>0.0</v>
      </c>
    </row>
    <row r="260">
      <c r="A260" s="3">
        <v>28764.0</v>
      </c>
      <c r="B260" s="5">
        <v>29.0</v>
      </c>
      <c r="C260" s="17" t="s">
        <v>4305</v>
      </c>
      <c r="D260" s="1">
        <f>IFERROR(__xludf.DUMMYFUNCTION("IF(C260="""", 0, COUNTA(SPLIT(C260, "" "")))"),3.0)</f>
        <v>3</v>
      </c>
      <c r="E260" s="8" t="s">
        <v>4306</v>
      </c>
      <c r="F260" s="12">
        <v>73.0</v>
      </c>
      <c r="G260" s="37">
        <f t="shared" si="1"/>
        <v>78.55167693</v>
      </c>
      <c r="H260" s="27" t="s">
        <v>4307</v>
      </c>
      <c r="I260" s="33">
        <v>24649.0</v>
      </c>
      <c r="J260" s="16" t="s">
        <v>132</v>
      </c>
      <c r="K260" s="8" t="s">
        <v>4308</v>
      </c>
      <c r="L260" s="1" t="s">
        <v>58</v>
      </c>
      <c r="M260" s="1">
        <v>0.0</v>
      </c>
      <c r="N260" s="1" t="s">
        <v>140</v>
      </c>
      <c r="O260" s="16" t="s">
        <v>159</v>
      </c>
      <c r="R260" s="1">
        <v>0.0</v>
      </c>
    </row>
    <row r="261">
      <c r="A261" s="3">
        <v>28764.0</v>
      </c>
      <c r="B261" s="5">
        <v>30.0</v>
      </c>
      <c r="C261" s="8" t="s">
        <v>4309</v>
      </c>
      <c r="D261" s="1">
        <f>IFERROR(__xludf.DUMMYFUNCTION("IF(C261="""", 0, COUNTA(SPLIT(C261, "" "")))"),3.0)</f>
        <v>3</v>
      </c>
      <c r="E261" s="8" t="s">
        <v>4310</v>
      </c>
      <c r="F261" s="12">
        <v>3952.0</v>
      </c>
      <c r="G261" s="37">
        <f t="shared" si="1"/>
        <v>67.93155373</v>
      </c>
      <c r="H261" s="27" t="s">
        <v>4311</v>
      </c>
      <c r="I261" s="33">
        <v>24649.0</v>
      </c>
      <c r="J261" s="16" t="s">
        <v>132</v>
      </c>
      <c r="K261" s="8" t="s">
        <v>4312</v>
      </c>
      <c r="L261" s="1" t="s">
        <v>58</v>
      </c>
      <c r="M261" s="1">
        <v>0.0</v>
      </c>
      <c r="N261" s="1" t="s">
        <v>140</v>
      </c>
      <c r="O261" s="16" t="s">
        <v>167</v>
      </c>
      <c r="R261" s="1">
        <v>0.0</v>
      </c>
    </row>
    <row r="262">
      <c r="A262" s="3">
        <v>28764.0</v>
      </c>
      <c r="B262" s="5">
        <v>31.0</v>
      </c>
      <c r="C262" s="8" t="s">
        <v>4313</v>
      </c>
      <c r="D262" s="1">
        <f>IFERROR(__xludf.DUMMYFUNCTION("IF(C262="""", 0, COUNTA(SPLIT(C262, "" "")))"),3.0)</f>
        <v>3</v>
      </c>
      <c r="E262" s="8" t="s">
        <v>4314</v>
      </c>
      <c r="F262" s="12">
        <v>2915.0</v>
      </c>
      <c r="G262" s="37">
        <f t="shared" si="1"/>
        <v>70.770705</v>
      </c>
      <c r="H262" s="27" t="s">
        <v>4315</v>
      </c>
      <c r="I262" s="33">
        <v>24649.0</v>
      </c>
      <c r="J262" s="16" t="s">
        <v>132</v>
      </c>
      <c r="K262" s="8" t="s">
        <v>4316</v>
      </c>
      <c r="L262" s="1" t="s">
        <v>58</v>
      </c>
      <c r="M262" s="1">
        <v>0.0</v>
      </c>
      <c r="N262" s="1" t="s">
        <v>140</v>
      </c>
      <c r="O262" s="16" t="s">
        <v>167</v>
      </c>
      <c r="R262" s="1">
        <v>0.0</v>
      </c>
    </row>
    <row r="263">
      <c r="A263" s="3">
        <v>28764.0</v>
      </c>
      <c r="B263" s="5">
        <v>32.0</v>
      </c>
      <c r="C263" s="8" t="s">
        <v>4317</v>
      </c>
      <c r="D263" s="1">
        <f>IFERROR(__xludf.DUMMYFUNCTION("IF(C263="""", 0, COUNTA(SPLIT(C263, "" "")))"),2.0)</f>
        <v>2</v>
      </c>
      <c r="E263" s="8" t="s">
        <v>4318</v>
      </c>
      <c r="F263" s="12">
        <v>3130.0</v>
      </c>
      <c r="G263" s="37">
        <f t="shared" si="1"/>
        <v>70.18206708</v>
      </c>
      <c r="H263" s="27" t="s">
        <v>4319</v>
      </c>
      <c r="I263" s="33">
        <v>24649.0</v>
      </c>
      <c r="J263" s="16" t="s">
        <v>132</v>
      </c>
      <c r="K263" s="8" t="s">
        <v>4320</v>
      </c>
      <c r="L263" s="1" t="s">
        <v>58</v>
      </c>
      <c r="M263" s="1">
        <v>0.0</v>
      </c>
      <c r="N263" s="1" t="s">
        <v>140</v>
      </c>
      <c r="O263" s="16" t="s">
        <v>27</v>
      </c>
      <c r="R263" s="1">
        <v>0.0</v>
      </c>
    </row>
    <row r="264">
      <c r="A264" s="3">
        <v>28764.0</v>
      </c>
      <c r="B264" s="5">
        <v>33.0</v>
      </c>
      <c r="C264" s="8" t="s">
        <v>4321</v>
      </c>
      <c r="D264" s="1">
        <f>IFERROR(__xludf.DUMMYFUNCTION("IF(C264="""", 0, COUNTA(SPLIT(C264, "" "")))"),2.0)</f>
        <v>2</v>
      </c>
      <c r="E264" s="8" t="s">
        <v>4322</v>
      </c>
      <c r="F264" s="12">
        <v>7924.0</v>
      </c>
      <c r="G264" s="37">
        <f t="shared" si="1"/>
        <v>57.0568104</v>
      </c>
      <c r="H264" s="27" t="s">
        <v>4323</v>
      </c>
      <c r="I264" s="33">
        <v>24649.0</v>
      </c>
      <c r="J264" s="16" t="s">
        <v>132</v>
      </c>
      <c r="K264" s="8" t="s">
        <v>4324</v>
      </c>
      <c r="L264" s="1" t="s">
        <v>58</v>
      </c>
      <c r="M264" s="1">
        <v>0.0</v>
      </c>
      <c r="N264" s="1" t="s">
        <v>140</v>
      </c>
      <c r="O264" s="16" t="s">
        <v>159</v>
      </c>
      <c r="R264" s="1">
        <v>0.0</v>
      </c>
    </row>
    <row r="265">
      <c r="A265" s="3">
        <v>28764.0</v>
      </c>
      <c r="B265" s="5">
        <v>34.0</v>
      </c>
      <c r="C265" s="8" t="s">
        <v>4325</v>
      </c>
      <c r="D265" s="1">
        <f>IFERROR(__xludf.DUMMYFUNCTION("IF(C265="""", 0, COUNTA(SPLIT(C265, "" "")))"),2.0)</f>
        <v>2</v>
      </c>
      <c r="E265" s="8" t="s">
        <v>4326</v>
      </c>
      <c r="F265" s="12">
        <v>5420.0</v>
      </c>
      <c r="G265" s="37">
        <f t="shared" si="1"/>
        <v>63.91238877</v>
      </c>
      <c r="H265" s="27" t="s">
        <v>4327</v>
      </c>
      <c r="I265" s="33">
        <v>24649.0</v>
      </c>
      <c r="J265" s="16" t="s">
        <v>132</v>
      </c>
      <c r="K265" s="8" t="s">
        <v>4328</v>
      </c>
      <c r="L265" s="1" t="s">
        <v>58</v>
      </c>
      <c r="M265" s="1">
        <v>0.0</v>
      </c>
      <c r="N265" s="1" t="s">
        <v>140</v>
      </c>
      <c r="O265" s="16" t="s">
        <v>630</v>
      </c>
      <c r="R265" s="1">
        <v>0.0</v>
      </c>
    </row>
    <row r="266">
      <c r="A266" s="3">
        <v>28764.0</v>
      </c>
      <c r="B266" s="18">
        <v>35.0</v>
      </c>
      <c r="C266" s="17" t="s">
        <v>4329</v>
      </c>
      <c r="D266" s="1">
        <f>IFERROR(__xludf.DUMMYFUNCTION("IF(C266="""", 0, COUNTA(SPLIT(C266, "" "")))"),2.0)</f>
        <v>2</v>
      </c>
      <c r="E266" s="8" t="s">
        <v>4330</v>
      </c>
      <c r="F266" s="20">
        <v>7444.0</v>
      </c>
      <c r="G266" s="37">
        <f t="shared" si="1"/>
        <v>58.37097878</v>
      </c>
      <c r="H266" s="27" t="s">
        <v>4331</v>
      </c>
      <c r="I266" s="33">
        <v>24649.0</v>
      </c>
      <c r="J266" s="16" t="s">
        <v>132</v>
      </c>
      <c r="K266" s="8" t="s">
        <v>4332</v>
      </c>
      <c r="L266" s="1" t="s">
        <v>58</v>
      </c>
      <c r="M266" s="1">
        <v>0.0</v>
      </c>
      <c r="N266" s="1" t="s">
        <v>140</v>
      </c>
      <c r="O266" s="16" t="s">
        <v>204</v>
      </c>
      <c r="R266" s="1">
        <v>0.0</v>
      </c>
    </row>
    <row r="267">
      <c r="A267" s="3">
        <v>28764.0</v>
      </c>
      <c r="B267" s="5">
        <v>36.0</v>
      </c>
      <c r="C267" s="8" t="s">
        <v>4333</v>
      </c>
      <c r="D267" s="1">
        <f>IFERROR(__xludf.DUMMYFUNCTION("IF(C267="""", 0, COUNTA(SPLIT(C267, "" "")))"),2.0)</f>
        <v>2</v>
      </c>
      <c r="E267" s="8" t="s">
        <v>4334</v>
      </c>
      <c r="F267" s="12">
        <v>1211.0</v>
      </c>
      <c r="G267" s="37">
        <f t="shared" si="1"/>
        <v>75.43600274</v>
      </c>
      <c r="H267" s="27" t="s">
        <v>4335</v>
      </c>
      <c r="I267" s="33">
        <v>24649.0</v>
      </c>
      <c r="J267" s="16" t="s">
        <v>132</v>
      </c>
      <c r="K267" s="8" t="s">
        <v>4336</v>
      </c>
      <c r="L267" s="1" t="s">
        <v>58</v>
      </c>
      <c r="M267" s="1">
        <v>0.0</v>
      </c>
      <c r="N267" s="1" t="s">
        <v>140</v>
      </c>
      <c r="O267" s="16" t="s">
        <v>27</v>
      </c>
      <c r="R267" s="1">
        <v>0.0</v>
      </c>
    </row>
    <row r="268">
      <c r="A268" s="3">
        <v>28764.0</v>
      </c>
      <c r="B268" s="5">
        <v>37.0</v>
      </c>
      <c r="C268" s="8" t="s">
        <v>4337</v>
      </c>
      <c r="D268" s="1">
        <f>IFERROR(__xludf.DUMMYFUNCTION("IF(C268="""", 0, COUNTA(SPLIT(C268, "" "")))"),2.0)</f>
        <v>2</v>
      </c>
      <c r="E268" s="8" t="s">
        <v>4338</v>
      </c>
      <c r="F268" s="12">
        <v>2350.0</v>
      </c>
      <c r="G268" s="37">
        <f t="shared" si="1"/>
        <v>72.31759069</v>
      </c>
      <c r="H268" s="27" t="s">
        <v>4339</v>
      </c>
      <c r="I268" s="33">
        <v>24649.0</v>
      </c>
      <c r="J268" s="16" t="s">
        <v>132</v>
      </c>
      <c r="K268" s="8" t="s">
        <v>4340</v>
      </c>
      <c r="L268" s="1" t="s">
        <v>58</v>
      </c>
      <c r="M268" s="1">
        <v>0.0</v>
      </c>
      <c r="N268" s="1" t="s">
        <v>140</v>
      </c>
      <c r="O268" s="16" t="s">
        <v>174</v>
      </c>
      <c r="R268" s="1">
        <v>0.0</v>
      </c>
    </row>
    <row r="269">
      <c r="A269" s="3">
        <v>28764.0</v>
      </c>
      <c r="B269" s="5">
        <v>38.0</v>
      </c>
      <c r="C269" s="8" t="s">
        <v>4341</v>
      </c>
      <c r="D269" s="1">
        <f>IFERROR(__xludf.DUMMYFUNCTION("IF(C269="""", 0, COUNTA(SPLIT(C269, "" "")))"),3.0)</f>
        <v>3</v>
      </c>
      <c r="E269" s="8" t="s">
        <v>4342</v>
      </c>
      <c r="F269" s="12">
        <v>1132.0</v>
      </c>
      <c r="G269" s="37">
        <f t="shared" si="1"/>
        <v>75.65229295</v>
      </c>
      <c r="H269" s="27" t="s">
        <v>4343</v>
      </c>
      <c r="I269" s="33">
        <v>24649.0</v>
      </c>
      <c r="J269" s="16" t="s">
        <v>132</v>
      </c>
      <c r="K269" s="8" t="s">
        <v>4344</v>
      </c>
      <c r="L269" s="1" t="s">
        <v>58</v>
      </c>
      <c r="M269" s="1">
        <v>0.0</v>
      </c>
      <c r="N269" s="1" t="s">
        <v>140</v>
      </c>
      <c r="O269" s="16" t="s">
        <v>159</v>
      </c>
      <c r="R269" s="1">
        <v>0.0</v>
      </c>
    </row>
    <row r="270">
      <c r="A270" s="3">
        <v>28764.0</v>
      </c>
      <c r="B270" s="5">
        <v>39.0</v>
      </c>
      <c r="C270" s="8" t="s">
        <v>4345</v>
      </c>
      <c r="D270" s="1">
        <f>IFERROR(__xludf.DUMMYFUNCTION("IF(C270="""", 0, COUNTA(SPLIT(C270, "" "")))"),4.0)</f>
        <v>4</v>
      </c>
      <c r="E270" s="8" t="s">
        <v>4346</v>
      </c>
      <c r="F270" s="12">
        <v>2453.0</v>
      </c>
      <c r="G270" s="37">
        <f t="shared" si="1"/>
        <v>72.03559206</v>
      </c>
      <c r="H270" s="27" t="s">
        <v>4347</v>
      </c>
      <c r="I270" s="33">
        <v>25321.0</v>
      </c>
      <c r="J270" s="16" t="s">
        <v>132</v>
      </c>
      <c r="K270" s="8" t="s">
        <v>4348</v>
      </c>
      <c r="L270" s="1" t="s">
        <v>58</v>
      </c>
      <c r="M270" s="1">
        <v>0.0</v>
      </c>
      <c r="N270" s="1" t="s">
        <v>140</v>
      </c>
      <c r="O270" s="16" t="s">
        <v>568</v>
      </c>
      <c r="R270" s="1">
        <v>0.0</v>
      </c>
    </row>
    <row r="271">
      <c r="A271" s="3">
        <v>28764.0</v>
      </c>
      <c r="B271" s="5">
        <v>40.0</v>
      </c>
      <c r="C271" s="8" t="s">
        <v>4349</v>
      </c>
      <c r="D271" s="1">
        <f>IFERROR(__xludf.DUMMYFUNCTION("IF(C271="""", 0, COUNTA(SPLIT(C271, "" "")))"),3.0)</f>
        <v>3</v>
      </c>
      <c r="E271" s="8" t="s">
        <v>4350</v>
      </c>
      <c r="F271" s="12">
        <v>3875.0</v>
      </c>
      <c r="G271" s="37">
        <f t="shared" si="1"/>
        <v>68.14236824</v>
      </c>
      <c r="H271" s="27" t="s">
        <v>4351</v>
      </c>
      <c r="I271" s="33">
        <v>25321.0</v>
      </c>
      <c r="J271" s="16" t="s">
        <v>132</v>
      </c>
      <c r="K271" s="8" t="s">
        <v>4352</v>
      </c>
      <c r="L271" s="1" t="s">
        <v>58</v>
      </c>
      <c r="M271" s="1">
        <v>0.0</v>
      </c>
      <c r="N271" s="1" t="s">
        <v>140</v>
      </c>
      <c r="O271" s="16" t="s">
        <v>167</v>
      </c>
      <c r="R271" s="1">
        <v>0.0</v>
      </c>
    </row>
    <row r="272">
      <c r="A272" s="3">
        <v>28764.0</v>
      </c>
      <c r="B272" s="5">
        <v>41.0</v>
      </c>
      <c r="C272" s="8" t="s">
        <v>4353</v>
      </c>
      <c r="D272" s="1">
        <f>IFERROR(__xludf.DUMMYFUNCTION("IF(C272="""", 0, COUNTA(SPLIT(C272, "" "")))"),2.0)</f>
        <v>2</v>
      </c>
      <c r="E272" s="8" t="s">
        <v>4354</v>
      </c>
      <c r="F272" s="12">
        <v>2954.0</v>
      </c>
      <c r="G272" s="37">
        <f t="shared" si="1"/>
        <v>70.66392882</v>
      </c>
      <c r="H272" s="27" t="s">
        <v>4355</v>
      </c>
      <c r="I272" s="33">
        <v>25321.0</v>
      </c>
      <c r="J272" s="16" t="s">
        <v>132</v>
      </c>
      <c r="K272" s="8" t="s">
        <v>4356</v>
      </c>
      <c r="L272" s="1" t="s">
        <v>58</v>
      </c>
      <c r="M272" s="1">
        <v>0.0</v>
      </c>
      <c r="N272" s="1" t="s">
        <v>140</v>
      </c>
      <c r="O272" s="16" t="s">
        <v>27</v>
      </c>
      <c r="R272" s="1">
        <v>5.0</v>
      </c>
    </row>
    <row r="273">
      <c r="A273" s="3">
        <v>28764.0</v>
      </c>
      <c r="B273" s="5">
        <v>42.0</v>
      </c>
      <c r="C273" s="8" t="s">
        <v>4357</v>
      </c>
      <c r="D273" s="1">
        <f>IFERROR(__xludf.DUMMYFUNCTION("IF(C273="""", 0, COUNTA(SPLIT(C273, "" "")))"),2.0)</f>
        <v>2</v>
      </c>
      <c r="E273" s="8" t="s">
        <v>4358</v>
      </c>
      <c r="F273" s="12">
        <v>4475.0</v>
      </c>
      <c r="G273" s="37">
        <f t="shared" si="1"/>
        <v>66.49965777</v>
      </c>
      <c r="H273" s="27" t="s">
        <v>4359</v>
      </c>
      <c r="I273" s="33">
        <v>25321.0</v>
      </c>
      <c r="J273" s="16" t="s">
        <v>132</v>
      </c>
      <c r="K273" s="8" t="s">
        <v>4360</v>
      </c>
      <c r="L273" s="1" t="s">
        <v>58</v>
      </c>
      <c r="M273" s="1">
        <v>0.0</v>
      </c>
      <c r="N273" s="1" t="s">
        <v>140</v>
      </c>
      <c r="O273" s="16" t="s">
        <v>383</v>
      </c>
      <c r="R273" s="1">
        <v>0.0</v>
      </c>
    </row>
    <row r="274">
      <c r="A274" s="3">
        <v>28764.0</v>
      </c>
      <c r="B274" s="5">
        <v>43.0</v>
      </c>
      <c r="C274" s="8" t="s">
        <v>4361</v>
      </c>
      <c r="D274" s="1">
        <f>IFERROR(__xludf.DUMMYFUNCTION("IF(C274="""", 0, COUNTA(SPLIT(C274, "" "")))"),3.0)</f>
        <v>3</v>
      </c>
      <c r="E274" s="8" t="s">
        <v>4362</v>
      </c>
      <c r="F274" s="12">
        <v>2845.0</v>
      </c>
      <c r="G274" s="37">
        <f t="shared" si="1"/>
        <v>70.96235455</v>
      </c>
      <c r="H274" s="27" t="s">
        <v>4363</v>
      </c>
      <c r="I274" s="33">
        <v>25321.0</v>
      </c>
      <c r="J274" s="16" t="s">
        <v>132</v>
      </c>
      <c r="K274" s="8" t="s">
        <v>4364</v>
      </c>
      <c r="L274" s="1" t="s">
        <v>58</v>
      </c>
      <c r="M274" s="1">
        <v>0.0</v>
      </c>
      <c r="N274" s="1" t="s">
        <v>140</v>
      </c>
      <c r="O274" s="16" t="s">
        <v>167</v>
      </c>
      <c r="R274" s="1">
        <v>0.0</v>
      </c>
    </row>
    <row r="275">
      <c r="A275" s="3">
        <v>28764.0</v>
      </c>
      <c r="B275" s="5">
        <v>44.0</v>
      </c>
      <c r="C275" s="8" t="s">
        <v>4365</v>
      </c>
      <c r="D275" s="1">
        <f>IFERROR(__xludf.DUMMYFUNCTION("IF(C275="""", 0, COUNTA(SPLIT(C275, "" "")))"),2.0)</f>
        <v>2</v>
      </c>
      <c r="E275" s="8" t="s">
        <v>4366</v>
      </c>
      <c r="F275" s="12">
        <v>1598.0</v>
      </c>
      <c r="G275" s="37">
        <f t="shared" si="1"/>
        <v>74.37645448</v>
      </c>
      <c r="H275" s="27" t="s">
        <v>4367</v>
      </c>
      <c r="I275" s="33">
        <v>25321.0</v>
      </c>
      <c r="J275" s="16" t="s">
        <v>132</v>
      </c>
      <c r="K275" s="8" t="s">
        <v>4368</v>
      </c>
      <c r="L275" s="1" t="s">
        <v>58</v>
      </c>
      <c r="M275" s="1">
        <v>0.0</v>
      </c>
      <c r="N275" s="1" t="s">
        <v>140</v>
      </c>
      <c r="O275" s="16" t="s">
        <v>174</v>
      </c>
      <c r="R275" s="1">
        <v>0.0</v>
      </c>
    </row>
    <row r="276">
      <c r="A276" s="3">
        <v>28764.0</v>
      </c>
      <c r="B276" s="5">
        <v>45.0</v>
      </c>
      <c r="C276" s="17" t="s">
        <v>1000</v>
      </c>
      <c r="D276" s="1">
        <f>IFERROR(__xludf.DUMMYFUNCTION("IF(C276="""", 0, COUNTA(SPLIT(C276, "" "")))"),3.0)</f>
        <v>3</v>
      </c>
      <c r="E276" s="8" t="s">
        <v>4369</v>
      </c>
      <c r="F276" s="12">
        <v>2126.0</v>
      </c>
      <c r="G276" s="37">
        <f t="shared" si="1"/>
        <v>72.93086927</v>
      </c>
      <c r="H276" s="27" t="s">
        <v>4370</v>
      </c>
      <c r="I276" s="33">
        <v>25321.0</v>
      </c>
      <c r="J276" s="16" t="s">
        <v>132</v>
      </c>
      <c r="K276" s="8" t="s">
        <v>4371</v>
      </c>
      <c r="L276" s="1" t="s">
        <v>58</v>
      </c>
      <c r="M276" s="1">
        <v>0.0</v>
      </c>
      <c r="N276" s="1" t="s">
        <v>140</v>
      </c>
      <c r="O276" s="16" t="s">
        <v>167</v>
      </c>
      <c r="R276" s="1">
        <v>0.0</v>
      </c>
    </row>
    <row r="277">
      <c r="A277" s="3">
        <v>28764.0</v>
      </c>
      <c r="B277" s="5">
        <v>46.0</v>
      </c>
      <c r="C277" s="8" t="s">
        <v>4372</v>
      </c>
      <c r="D277" s="1">
        <f>IFERROR(__xludf.DUMMYFUNCTION("IF(C277="""", 0, COUNTA(SPLIT(C277, "" "")))"),2.0)</f>
        <v>2</v>
      </c>
      <c r="E277" s="8" t="s">
        <v>4373</v>
      </c>
      <c r="F277" s="12">
        <v>3950.0</v>
      </c>
      <c r="G277" s="37">
        <f t="shared" si="1"/>
        <v>67.93702943</v>
      </c>
      <c r="H277" s="27" t="s">
        <v>4374</v>
      </c>
      <c r="I277" s="33">
        <v>25321.0</v>
      </c>
      <c r="J277" s="16" t="s">
        <v>132</v>
      </c>
      <c r="K277" s="8" t="s">
        <v>4375</v>
      </c>
      <c r="L277" s="1" t="s">
        <v>58</v>
      </c>
      <c r="M277" s="1">
        <v>0.0</v>
      </c>
      <c r="N277" s="1" t="s">
        <v>140</v>
      </c>
      <c r="O277" s="16" t="s">
        <v>174</v>
      </c>
      <c r="R277" s="1">
        <v>0.0</v>
      </c>
    </row>
    <row r="278">
      <c r="A278" s="3">
        <v>28764.0</v>
      </c>
      <c r="B278" s="5">
        <v>47.0</v>
      </c>
      <c r="C278" s="17" t="s">
        <v>4376</v>
      </c>
      <c r="D278" s="1">
        <f>IFERROR(__xludf.DUMMYFUNCTION("IF(C278="""", 0, COUNTA(SPLIT(C278, "" "")))"),4.0)</f>
        <v>4</v>
      </c>
      <c r="E278" s="8" t="s">
        <v>4377</v>
      </c>
      <c r="F278" s="12">
        <v>3332.0</v>
      </c>
      <c r="G278" s="37">
        <f t="shared" si="1"/>
        <v>69.62902122</v>
      </c>
      <c r="H278" s="27" t="s">
        <v>4378</v>
      </c>
      <c r="I278" s="33">
        <v>25321.0</v>
      </c>
      <c r="J278" s="16" t="s">
        <v>132</v>
      </c>
      <c r="K278" s="8" t="s">
        <v>4379</v>
      </c>
      <c r="L278" s="1" t="s">
        <v>58</v>
      </c>
      <c r="M278" s="1">
        <v>0.0</v>
      </c>
      <c r="N278" s="1" t="s">
        <v>140</v>
      </c>
      <c r="O278" s="16" t="s">
        <v>163</v>
      </c>
      <c r="R278" s="1">
        <v>0.0</v>
      </c>
    </row>
    <row r="279">
      <c r="A279" s="3">
        <v>28764.0</v>
      </c>
      <c r="B279" s="5">
        <v>48.0</v>
      </c>
      <c r="C279" s="8" t="s">
        <v>4380</v>
      </c>
      <c r="D279" s="1">
        <f>IFERROR(__xludf.DUMMYFUNCTION("IF(C279="""", 0, COUNTA(SPLIT(C279, "" "")))"),4.0)</f>
        <v>4</v>
      </c>
      <c r="E279" s="8" t="s">
        <v>4381</v>
      </c>
      <c r="F279" s="12">
        <v>2691.0</v>
      </c>
      <c r="G279" s="37">
        <f t="shared" si="1"/>
        <v>71.38398357</v>
      </c>
      <c r="H279" s="27" t="s">
        <v>4382</v>
      </c>
      <c r="I279" s="33">
        <v>25321.0</v>
      </c>
      <c r="J279" s="16" t="s">
        <v>132</v>
      </c>
      <c r="K279" s="8" t="s">
        <v>4383</v>
      </c>
      <c r="L279" s="1" t="s">
        <v>58</v>
      </c>
      <c r="M279" s="1">
        <v>0.0</v>
      </c>
      <c r="N279" s="1" t="s">
        <v>140</v>
      </c>
      <c r="O279" s="16" t="s">
        <v>163</v>
      </c>
      <c r="R279" s="1">
        <v>0.0</v>
      </c>
    </row>
    <row r="280">
      <c r="A280" s="3">
        <v>28764.0</v>
      </c>
      <c r="B280" s="5">
        <v>49.0</v>
      </c>
      <c r="C280" s="8" t="s">
        <v>4384</v>
      </c>
      <c r="D280" s="1">
        <f>IFERROR(__xludf.DUMMYFUNCTION("IF(C280="""", 0, COUNTA(SPLIT(C280, "" "")))"),2.0)</f>
        <v>2</v>
      </c>
      <c r="E280" s="8" t="s">
        <v>4385</v>
      </c>
      <c r="F280" s="12">
        <v>6556.0</v>
      </c>
      <c r="G280" s="37">
        <f t="shared" si="1"/>
        <v>60.80219028</v>
      </c>
      <c r="H280" s="27" t="s">
        <v>4386</v>
      </c>
      <c r="I280" s="33">
        <v>25321.0</v>
      </c>
      <c r="J280" s="16" t="s">
        <v>132</v>
      </c>
      <c r="K280" s="8" t="s">
        <v>4387</v>
      </c>
      <c r="L280" s="1" t="s">
        <v>58</v>
      </c>
      <c r="M280" s="1">
        <v>0.0</v>
      </c>
      <c r="N280" s="1" t="s">
        <v>140</v>
      </c>
      <c r="O280" s="16" t="s">
        <v>360</v>
      </c>
      <c r="R280" s="1">
        <v>0.0</v>
      </c>
    </row>
    <row r="281">
      <c r="A281" s="3">
        <v>28764.0</v>
      </c>
      <c r="B281" s="5">
        <v>50.0</v>
      </c>
      <c r="C281" s="17" t="s">
        <v>4388</v>
      </c>
      <c r="D281" s="1">
        <f>IFERROR(__xludf.DUMMYFUNCTION("IF(C281="""", 0, COUNTA(SPLIT(C281, "" "")))"),3.0)</f>
        <v>3</v>
      </c>
      <c r="E281" s="8" t="s">
        <v>4389</v>
      </c>
      <c r="F281" s="12">
        <v>1239.0</v>
      </c>
      <c r="G281" s="37">
        <f t="shared" si="1"/>
        <v>75.35934292</v>
      </c>
      <c r="H281" s="27" t="s">
        <v>4390</v>
      </c>
      <c r="I281" s="33">
        <v>25321.0</v>
      </c>
      <c r="J281" s="16" t="s">
        <v>132</v>
      </c>
      <c r="K281" s="8" t="s">
        <v>4391</v>
      </c>
      <c r="L281" s="1" t="s">
        <v>58</v>
      </c>
      <c r="M281" s="1">
        <v>0.0</v>
      </c>
      <c r="N281" s="1" t="s">
        <v>140</v>
      </c>
      <c r="O281" s="16" t="s">
        <v>163</v>
      </c>
      <c r="R281" s="1">
        <v>0.0</v>
      </c>
    </row>
    <row r="282">
      <c r="A282" s="3">
        <v>28764.0</v>
      </c>
      <c r="B282" s="5">
        <v>51.0</v>
      </c>
      <c r="C282" s="8" t="s">
        <v>4392</v>
      </c>
      <c r="D282" s="1">
        <f>IFERROR(__xludf.DUMMYFUNCTION("IF(C282="""", 0, COUNTA(SPLIT(C282, "" "")))"),2.0)</f>
        <v>2</v>
      </c>
      <c r="E282" s="8" t="s">
        <v>4393</v>
      </c>
      <c r="F282" s="12">
        <v>3816.0</v>
      </c>
      <c r="G282" s="37">
        <f t="shared" si="1"/>
        <v>68.30390144</v>
      </c>
      <c r="H282" s="27" t="s">
        <v>4394</v>
      </c>
      <c r="I282" s="33">
        <v>25321.0</v>
      </c>
      <c r="J282" s="16" t="s">
        <v>132</v>
      </c>
      <c r="K282" s="8" t="s">
        <v>4395</v>
      </c>
      <c r="L282" s="1" t="s">
        <v>58</v>
      </c>
      <c r="M282" s="1">
        <v>0.0</v>
      </c>
      <c r="N282" s="1" t="s">
        <v>140</v>
      </c>
      <c r="O282" s="16" t="s">
        <v>27</v>
      </c>
      <c r="R282" s="1">
        <v>0.0</v>
      </c>
    </row>
    <row r="283">
      <c r="A283" s="3">
        <v>28764.0</v>
      </c>
      <c r="B283" s="5">
        <v>52.0</v>
      </c>
      <c r="C283" s="8" t="s">
        <v>4396</v>
      </c>
      <c r="D283" s="1">
        <f>IFERROR(__xludf.DUMMYFUNCTION("IF(C283="""", 0, COUNTA(SPLIT(C283, "" "")))"),3.0)</f>
        <v>3</v>
      </c>
      <c r="E283" s="8" t="s">
        <v>4397</v>
      </c>
      <c r="F283" s="12">
        <v>1674.0</v>
      </c>
      <c r="G283" s="37">
        <f t="shared" si="1"/>
        <v>74.16837782</v>
      </c>
      <c r="H283" s="27" t="s">
        <v>4398</v>
      </c>
      <c r="I283" s="33">
        <v>25321.0</v>
      </c>
      <c r="J283" s="16" t="s">
        <v>132</v>
      </c>
      <c r="K283" s="8" t="s">
        <v>4399</v>
      </c>
      <c r="L283" s="1" t="s">
        <v>58</v>
      </c>
      <c r="M283" s="1">
        <v>0.0</v>
      </c>
      <c r="N283" s="1" t="s">
        <v>140</v>
      </c>
      <c r="O283" s="16" t="s">
        <v>167</v>
      </c>
      <c r="R283" s="1">
        <v>0.0</v>
      </c>
    </row>
    <row r="284">
      <c r="A284" s="3">
        <v>28764.0</v>
      </c>
      <c r="B284" s="5">
        <v>53.0</v>
      </c>
      <c r="C284" s="8" t="s">
        <v>4400</v>
      </c>
      <c r="D284" s="1">
        <f>IFERROR(__xludf.DUMMYFUNCTION("IF(C284="""", 0, COUNTA(SPLIT(C284, "" "")))"),3.0)</f>
        <v>3</v>
      </c>
      <c r="E284" s="8" t="s">
        <v>4401</v>
      </c>
      <c r="F284" s="12">
        <v>7731.0</v>
      </c>
      <c r="G284" s="37">
        <f t="shared" si="1"/>
        <v>57.58521561</v>
      </c>
      <c r="H284" s="27" t="s">
        <v>4402</v>
      </c>
      <c r="I284" s="33">
        <v>25321.0</v>
      </c>
      <c r="J284" s="16" t="s">
        <v>132</v>
      </c>
      <c r="K284" s="8" t="s">
        <v>4403</v>
      </c>
      <c r="L284" s="1" t="s">
        <v>58</v>
      </c>
      <c r="M284" s="1">
        <v>0.0</v>
      </c>
      <c r="N284" s="1" t="s">
        <v>140</v>
      </c>
      <c r="O284" s="16" t="s">
        <v>167</v>
      </c>
      <c r="R284" s="1">
        <v>0.0</v>
      </c>
    </row>
    <row r="285">
      <c r="A285" s="3">
        <v>28764.0</v>
      </c>
      <c r="B285" s="5">
        <v>54.0</v>
      </c>
      <c r="C285" s="8" t="s">
        <v>4404</v>
      </c>
      <c r="D285" s="1">
        <f>IFERROR(__xludf.DUMMYFUNCTION("IF(C285="""", 0, COUNTA(SPLIT(C285, "" "")))"),3.0)</f>
        <v>3</v>
      </c>
      <c r="E285" s="8" t="s">
        <v>4405</v>
      </c>
      <c r="F285" s="12">
        <v>8164.0</v>
      </c>
      <c r="G285" s="37">
        <f t="shared" si="1"/>
        <v>56.39972621</v>
      </c>
      <c r="H285" s="27" t="s">
        <v>4406</v>
      </c>
      <c r="I285" s="33">
        <v>25321.0</v>
      </c>
      <c r="J285" s="16" t="s">
        <v>132</v>
      </c>
      <c r="K285" s="8" t="s">
        <v>4407</v>
      </c>
      <c r="L285" s="1" t="s">
        <v>58</v>
      </c>
      <c r="M285" s="1">
        <v>0.0</v>
      </c>
      <c r="N285" s="1" t="s">
        <v>140</v>
      </c>
      <c r="O285" s="16" t="s">
        <v>1030</v>
      </c>
      <c r="R285" s="1">
        <v>0.0</v>
      </c>
    </row>
    <row r="286">
      <c r="A286" s="3">
        <v>28764.0</v>
      </c>
      <c r="B286" s="5">
        <v>55.0</v>
      </c>
      <c r="C286" s="8" t="s">
        <v>4408</v>
      </c>
      <c r="D286" s="1">
        <f>IFERROR(__xludf.DUMMYFUNCTION("IF(C286="""", 0, COUNTA(SPLIT(C286, "" "")))"),4.0)</f>
        <v>4</v>
      </c>
      <c r="E286" s="8" t="s">
        <v>4409</v>
      </c>
      <c r="F286" s="12">
        <v>7618.0</v>
      </c>
      <c r="G286" s="37">
        <f t="shared" si="1"/>
        <v>57.89459274</v>
      </c>
      <c r="H286" s="27" t="s">
        <v>4410</v>
      </c>
      <c r="I286" s="33">
        <v>25321.0</v>
      </c>
      <c r="J286" s="16" t="s">
        <v>132</v>
      </c>
      <c r="K286" s="8" t="s">
        <v>4411</v>
      </c>
      <c r="L286" s="1" t="s">
        <v>58</v>
      </c>
      <c r="M286" s="1">
        <v>0.0</v>
      </c>
      <c r="N286" s="1" t="s">
        <v>140</v>
      </c>
      <c r="O286" s="16" t="s">
        <v>218</v>
      </c>
      <c r="R286" s="1">
        <v>0.0</v>
      </c>
    </row>
    <row r="287">
      <c r="A287" s="3">
        <v>28764.0</v>
      </c>
      <c r="B287" s="5">
        <v>56.0</v>
      </c>
      <c r="C287" s="8" t="s">
        <v>4412</v>
      </c>
      <c r="D287" s="1">
        <f>IFERROR(__xludf.DUMMYFUNCTION("IF(C287="""", 0, COUNTA(SPLIT(C287, "" "")))"),2.0)</f>
        <v>2</v>
      </c>
      <c r="E287" s="8" t="s">
        <v>4413</v>
      </c>
      <c r="F287" s="12">
        <v>2550.0</v>
      </c>
      <c r="G287" s="37">
        <f t="shared" si="1"/>
        <v>71.77002053</v>
      </c>
      <c r="H287" s="27" t="s">
        <v>4414</v>
      </c>
      <c r="I287" s="33">
        <v>25321.0</v>
      </c>
      <c r="J287" s="16" t="s">
        <v>132</v>
      </c>
      <c r="K287" s="8" t="s">
        <v>4415</v>
      </c>
      <c r="L287" s="1" t="s">
        <v>58</v>
      </c>
      <c r="M287" s="1">
        <v>0.0</v>
      </c>
      <c r="N287" s="1" t="s">
        <v>140</v>
      </c>
      <c r="O287" s="16" t="s">
        <v>159</v>
      </c>
      <c r="R287" s="1">
        <v>0.0</v>
      </c>
    </row>
    <row r="288">
      <c r="A288" s="3">
        <v>28764.0</v>
      </c>
      <c r="B288" s="5">
        <v>57.0</v>
      </c>
      <c r="C288" s="17" t="s">
        <v>1037</v>
      </c>
      <c r="D288" s="1">
        <f>IFERROR(__xludf.DUMMYFUNCTION("IF(C288="""", 0, COUNTA(SPLIT(C288, "" "")))"),3.0)</f>
        <v>3</v>
      </c>
      <c r="E288" s="8" t="s">
        <v>4416</v>
      </c>
      <c r="F288" s="12">
        <v>3487.0</v>
      </c>
      <c r="G288" s="37">
        <f t="shared" si="1"/>
        <v>69.20465435</v>
      </c>
      <c r="H288" s="27" t="s">
        <v>4417</v>
      </c>
      <c r="I288" s="33">
        <v>25321.0</v>
      </c>
      <c r="J288" s="16" t="s">
        <v>132</v>
      </c>
      <c r="K288" s="8" t="s">
        <v>4418</v>
      </c>
      <c r="L288" s="1" t="s">
        <v>58</v>
      </c>
      <c r="M288" s="1">
        <v>0.0</v>
      </c>
      <c r="N288" s="1" t="s">
        <v>140</v>
      </c>
      <c r="O288" s="16" t="s">
        <v>167</v>
      </c>
      <c r="R288" s="1">
        <v>0.0</v>
      </c>
    </row>
    <row r="289">
      <c r="A289" s="3">
        <v>28764.0</v>
      </c>
      <c r="B289" s="5">
        <v>58.0</v>
      </c>
      <c r="C289" s="8" t="s">
        <v>4419</v>
      </c>
      <c r="D289" s="1">
        <f>IFERROR(__xludf.DUMMYFUNCTION("IF(C289="""", 0, COUNTA(SPLIT(C289, "" "")))"),2.0)</f>
        <v>2</v>
      </c>
      <c r="E289" s="8" t="s">
        <v>4420</v>
      </c>
      <c r="F289" s="12">
        <v>3535.0</v>
      </c>
      <c r="G289" s="37">
        <f t="shared" si="1"/>
        <v>69.07323751</v>
      </c>
      <c r="H289" s="27" t="s">
        <v>4421</v>
      </c>
      <c r="I289" s="33">
        <v>25321.0</v>
      </c>
      <c r="J289" s="16" t="s">
        <v>132</v>
      </c>
      <c r="K289" s="8" t="s">
        <v>4422</v>
      </c>
      <c r="L289" s="1" t="s">
        <v>58</v>
      </c>
      <c r="M289" s="1">
        <v>0.0</v>
      </c>
      <c r="N289" s="1" t="s">
        <v>140</v>
      </c>
      <c r="O289" s="16" t="s">
        <v>155</v>
      </c>
      <c r="R289" s="1">
        <v>0.0</v>
      </c>
    </row>
    <row r="290">
      <c r="A290" s="3">
        <v>28764.0</v>
      </c>
      <c r="B290" s="18">
        <v>59.0</v>
      </c>
      <c r="C290" s="17" t="s">
        <v>4423</v>
      </c>
      <c r="D290" s="1">
        <f>IFERROR(__xludf.DUMMYFUNCTION("IF(C290="""", 0, COUNTA(SPLIT(C290, "" "")))"),2.0)</f>
        <v>2</v>
      </c>
      <c r="E290" s="8" t="s">
        <v>4424</v>
      </c>
      <c r="F290" s="20">
        <v>4674.0</v>
      </c>
      <c r="G290" s="37">
        <f t="shared" si="1"/>
        <v>65.95482546</v>
      </c>
      <c r="H290" s="27" t="s">
        <v>4425</v>
      </c>
      <c r="I290" s="33">
        <v>25321.0</v>
      </c>
      <c r="J290" s="16" t="s">
        <v>132</v>
      </c>
      <c r="K290" s="8" t="s">
        <v>4426</v>
      </c>
      <c r="L290" s="1" t="s">
        <v>58</v>
      </c>
      <c r="M290" s="1">
        <v>0.0</v>
      </c>
      <c r="N290" s="1" t="s">
        <v>28</v>
      </c>
      <c r="O290" s="16" t="s">
        <v>27</v>
      </c>
      <c r="R290" s="1">
        <v>23.0</v>
      </c>
    </row>
    <row r="291">
      <c r="A291" s="3">
        <v>28764.0</v>
      </c>
      <c r="B291" s="5">
        <v>60.0</v>
      </c>
      <c r="C291" s="8" t="s">
        <v>4427</v>
      </c>
      <c r="D291" s="1">
        <f>IFERROR(__xludf.DUMMYFUNCTION("IF(C291="""", 0, COUNTA(SPLIT(C291, "" "")))"),2.0)</f>
        <v>2</v>
      </c>
      <c r="E291" s="8" t="s">
        <v>4428</v>
      </c>
      <c r="F291" s="12">
        <v>10369.0</v>
      </c>
      <c r="G291" s="37">
        <f t="shared" si="1"/>
        <v>50.36276523</v>
      </c>
      <c r="H291" s="27" t="s">
        <v>4429</v>
      </c>
      <c r="I291" s="33">
        <v>26728.0</v>
      </c>
      <c r="J291" s="16" t="s">
        <v>132</v>
      </c>
      <c r="K291" s="8" t="s">
        <v>4430</v>
      </c>
      <c r="L291" s="1" t="s">
        <v>58</v>
      </c>
      <c r="M291" s="1">
        <v>0.0</v>
      </c>
      <c r="N291" s="1" t="s">
        <v>140</v>
      </c>
      <c r="O291" s="16" t="s">
        <v>218</v>
      </c>
      <c r="R291" s="1">
        <v>0.0</v>
      </c>
    </row>
    <row r="292">
      <c r="A292" s="3">
        <v>28764.0</v>
      </c>
      <c r="B292" s="5">
        <v>61.0</v>
      </c>
      <c r="C292" s="8" t="s">
        <v>4431</v>
      </c>
      <c r="D292" s="1">
        <f>IFERROR(__xludf.DUMMYFUNCTION("IF(C292="""", 0, COUNTA(SPLIT(C292, "" "")))"),3.0)</f>
        <v>3</v>
      </c>
      <c r="E292" s="8" t="s">
        <v>4432</v>
      </c>
      <c r="F292" s="12">
        <v>5175.0</v>
      </c>
      <c r="G292" s="37">
        <f t="shared" si="1"/>
        <v>64.58316222</v>
      </c>
      <c r="H292" s="27" t="s">
        <v>4433</v>
      </c>
      <c r="I292" s="33">
        <v>26728.0</v>
      </c>
      <c r="J292" s="16" t="s">
        <v>132</v>
      </c>
      <c r="K292" s="8" t="s">
        <v>4434</v>
      </c>
      <c r="L292" s="1" t="s">
        <v>58</v>
      </c>
      <c r="M292" s="1">
        <v>0.0</v>
      </c>
      <c r="N292" s="1" t="s">
        <v>140</v>
      </c>
      <c r="O292" s="16" t="s">
        <v>167</v>
      </c>
      <c r="R292" s="1">
        <v>0.0</v>
      </c>
    </row>
    <row r="293">
      <c r="A293" s="3">
        <v>28764.0</v>
      </c>
      <c r="B293" s="5">
        <v>62.0</v>
      </c>
      <c r="C293" s="8" t="s">
        <v>4435</v>
      </c>
      <c r="D293" s="1">
        <f>IFERROR(__xludf.DUMMYFUNCTION("IF(C293="""", 0, COUNTA(SPLIT(C293, "" "")))"),3.0)</f>
        <v>3</v>
      </c>
      <c r="E293" s="8" t="s">
        <v>4436</v>
      </c>
      <c r="F293" s="12">
        <v>4548.0</v>
      </c>
      <c r="G293" s="37">
        <f t="shared" si="1"/>
        <v>66.29979466</v>
      </c>
      <c r="H293" s="27" t="s">
        <v>4437</v>
      </c>
      <c r="I293" s="33">
        <v>26728.0</v>
      </c>
      <c r="J293" s="16" t="s">
        <v>132</v>
      </c>
      <c r="K293" s="8" t="s">
        <v>4438</v>
      </c>
      <c r="L293" s="1" t="s">
        <v>58</v>
      </c>
      <c r="M293" s="1">
        <v>0.0</v>
      </c>
      <c r="N293" s="1" t="s">
        <v>140</v>
      </c>
      <c r="O293" s="16" t="s">
        <v>218</v>
      </c>
      <c r="R293" s="1">
        <v>0.0</v>
      </c>
    </row>
    <row r="294">
      <c r="A294" s="3">
        <v>28764.0</v>
      </c>
      <c r="B294" s="5">
        <v>63.0</v>
      </c>
      <c r="C294" s="8" t="s">
        <v>4439</v>
      </c>
      <c r="D294" s="1">
        <f>IFERROR(__xludf.DUMMYFUNCTION("IF(C294="""", 0, COUNTA(SPLIT(C294, "" "")))"),2.0)</f>
        <v>2</v>
      </c>
      <c r="E294" s="8" t="s">
        <v>4440</v>
      </c>
      <c r="F294" s="12">
        <v>6594.0</v>
      </c>
      <c r="G294" s="37">
        <f t="shared" si="1"/>
        <v>60.69815195</v>
      </c>
      <c r="H294" s="27" t="s">
        <v>4441</v>
      </c>
      <c r="I294" s="33">
        <v>26728.0</v>
      </c>
      <c r="J294" s="16" t="s">
        <v>132</v>
      </c>
      <c r="K294" s="8" t="s">
        <v>4442</v>
      </c>
      <c r="L294" s="1" t="s">
        <v>58</v>
      </c>
      <c r="M294" s="1">
        <v>0.0</v>
      </c>
      <c r="N294" s="1" t="s">
        <v>140</v>
      </c>
      <c r="O294" s="16" t="s">
        <v>1059</v>
      </c>
      <c r="R294" s="1">
        <v>0.0</v>
      </c>
    </row>
    <row r="295">
      <c r="A295" s="3">
        <v>28764.0</v>
      </c>
      <c r="B295" s="5">
        <v>64.0</v>
      </c>
      <c r="C295" s="8" t="s">
        <v>4443</v>
      </c>
      <c r="D295" s="1">
        <f>IFERROR(__xludf.DUMMYFUNCTION("IF(C295="""", 0, COUNTA(SPLIT(C295, "" "")))"),3.0)</f>
        <v>3</v>
      </c>
      <c r="E295" s="8" t="s">
        <v>4444</v>
      </c>
      <c r="F295" s="12">
        <v>3199.0</v>
      </c>
      <c r="G295" s="37">
        <f t="shared" si="1"/>
        <v>69.99315537</v>
      </c>
      <c r="H295" s="27" t="s">
        <v>4445</v>
      </c>
      <c r="I295" s="33">
        <v>26728.0</v>
      </c>
      <c r="J295" s="16" t="s">
        <v>132</v>
      </c>
      <c r="K295" s="8" t="s">
        <v>4446</v>
      </c>
      <c r="L295" s="1" t="s">
        <v>58</v>
      </c>
      <c r="M295" s="1">
        <v>0.0</v>
      </c>
      <c r="N295" s="1" t="s">
        <v>140</v>
      </c>
      <c r="O295" s="16" t="s">
        <v>163</v>
      </c>
      <c r="R295" s="1">
        <v>0.0</v>
      </c>
    </row>
    <row r="296">
      <c r="A296" s="3">
        <v>28764.0</v>
      </c>
      <c r="B296" s="5">
        <v>65.0</v>
      </c>
      <c r="C296" s="8" t="s">
        <v>4447</v>
      </c>
      <c r="D296" s="1">
        <f>IFERROR(__xludf.DUMMYFUNCTION("IF(C296="""", 0, COUNTA(SPLIT(C296, "" "")))"),3.0)</f>
        <v>3</v>
      </c>
      <c r="E296" s="8" t="s">
        <v>4448</v>
      </c>
      <c r="F296" s="12">
        <v>8252.0</v>
      </c>
      <c r="G296" s="37">
        <f t="shared" si="1"/>
        <v>56.15879535</v>
      </c>
      <c r="H296" s="27" t="s">
        <v>4449</v>
      </c>
      <c r="I296" s="33">
        <v>26728.0</v>
      </c>
      <c r="J296" s="16" t="s">
        <v>132</v>
      </c>
      <c r="K296" s="8" t="s">
        <v>4450</v>
      </c>
      <c r="L296" s="1" t="s">
        <v>58</v>
      </c>
      <c r="M296" s="1">
        <v>0.0</v>
      </c>
      <c r="N296" s="1" t="s">
        <v>140</v>
      </c>
      <c r="O296" s="16" t="s">
        <v>163</v>
      </c>
      <c r="R296" s="1">
        <v>0.0</v>
      </c>
    </row>
    <row r="297">
      <c r="A297" s="3">
        <v>28764.0</v>
      </c>
      <c r="B297" s="5">
        <v>66.0</v>
      </c>
      <c r="C297" s="8" t="s">
        <v>4451</v>
      </c>
      <c r="D297" s="1">
        <f>IFERROR(__xludf.DUMMYFUNCTION("IF(C297="""", 0, COUNTA(SPLIT(C297, "" "")))"),3.0)</f>
        <v>3</v>
      </c>
      <c r="E297" s="8" t="s">
        <v>4452</v>
      </c>
      <c r="F297" s="12">
        <v>7044.0</v>
      </c>
      <c r="G297" s="37">
        <f t="shared" si="1"/>
        <v>59.4661191</v>
      </c>
      <c r="H297" s="27" t="s">
        <v>4453</v>
      </c>
      <c r="I297" s="33">
        <v>26728.0</v>
      </c>
      <c r="J297" s="16" t="s">
        <v>132</v>
      </c>
      <c r="K297" s="8" t="s">
        <v>4454</v>
      </c>
      <c r="L297" s="1" t="s">
        <v>58</v>
      </c>
      <c r="M297" s="1">
        <v>0.0</v>
      </c>
      <c r="N297" s="1" t="s">
        <v>140</v>
      </c>
      <c r="O297" s="16" t="s">
        <v>163</v>
      </c>
      <c r="R297" s="1">
        <v>0.0</v>
      </c>
    </row>
    <row r="298">
      <c r="A298" s="3">
        <v>28764.0</v>
      </c>
      <c r="B298" s="5">
        <v>67.0</v>
      </c>
      <c r="C298" s="8" t="s">
        <v>4455</v>
      </c>
      <c r="D298" s="1">
        <f>IFERROR(__xludf.DUMMYFUNCTION("IF(C298="""", 0, COUNTA(SPLIT(C298, "" "")))"),2.0)</f>
        <v>2</v>
      </c>
      <c r="E298" s="8" t="s">
        <v>4456</v>
      </c>
      <c r="F298" s="12">
        <v>6841.0</v>
      </c>
      <c r="G298" s="37">
        <f t="shared" si="1"/>
        <v>60.02190281</v>
      </c>
      <c r="H298" s="27" t="s">
        <v>4457</v>
      </c>
      <c r="I298" s="33">
        <v>26728.0</v>
      </c>
      <c r="J298" s="16" t="s">
        <v>132</v>
      </c>
      <c r="K298" s="8" t="s">
        <v>4458</v>
      </c>
      <c r="L298" s="1" t="s">
        <v>58</v>
      </c>
      <c r="M298" s="1">
        <v>0.0</v>
      </c>
      <c r="N298" s="1" t="s">
        <v>140</v>
      </c>
      <c r="O298" s="16" t="s">
        <v>27</v>
      </c>
      <c r="R298" s="1">
        <v>0.0</v>
      </c>
    </row>
    <row r="299">
      <c r="A299" s="3">
        <v>28764.0</v>
      </c>
      <c r="B299" s="5">
        <v>68.0</v>
      </c>
      <c r="C299" s="8" t="s">
        <v>4459</v>
      </c>
      <c r="D299" s="1">
        <f>IFERROR(__xludf.DUMMYFUNCTION("IF(C299="""", 0, COUNTA(SPLIT(C299, "" "")))"),3.0)</f>
        <v>3</v>
      </c>
      <c r="E299" s="8" t="s">
        <v>4460</v>
      </c>
      <c r="F299" s="12">
        <v>6591.0</v>
      </c>
      <c r="G299" s="37">
        <f t="shared" si="1"/>
        <v>60.7063655</v>
      </c>
      <c r="H299" s="27" t="s">
        <v>4461</v>
      </c>
      <c r="I299" s="33">
        <v>26728.0</v>
      </c>
      <c r="J299" s="16" t="s">
        <v>132</v>
      </c>
      <c r="K299" s="8" t="s">
        <v>4462</v>
      </c>
      <c r="L299" s="1" t="s">
        <v>58</v>
      </c>
      <c r="M299" s="1">
        <v>0.0</v>
      </c>
      <c r="N299" s="1" t="s">
        <v>140</v>
      </c>
      <c r="O299" s="16" t="s">
        <v>163</v>
      </c>
      <c r="R299" s="1">
        <v>0.0</v>
      </c>
    </row>
    <row r="300">
      <c r="A300" s="3">
        <v>28764.0</v>
      </c>
      <c r="B300" s="5">
        <v>69.0</v>
      </c>
      <c r="C300" s="8" t="s">
        <v>4463</v>
      </c>
      <c r="D300" s="1">
        <f>IFERROR(__xludf.DUMMYFUNCTION("IF(C300="""", 0, COUNTA(SPLIT(C300, "" "")))"),2.0)</f>
        <v>2</v>
      </c>
      <c r="E300" s="8" t="s">
        <v>4464</v>
      </c>
      <c r="F300" s="12">
        <v>2015.0</v>
      </c>
      <c r="G300" s="37">
        <f t="shared" si="1"/>
        <v>73.2347707</v>
      </c>
      <c r="H300" s="27" t="s">
        <v>4465</v>
      </c>
      <c r="I300" s="33">
        <v>26728.0</v>
      </c>
      <c r="J300" s="16" t="s">
        <v>132</v>
      </c>
      <c r="K300" s="8" t="s">
        <v>4466</v>
      </c>
      <c r="L300" s="1" t="s">
        <v>58</v>
      </c>
      <c r="M300" s="1">
        <v>0.0</v>
      </c>
      <c r="N300" s="1" t="s">
        <v>140</v>
      </c>
      <c r="O300" s="16" t="s">
        <v>174</v>
      </c>
      <c r="R300" s="1">
        <v>0.0</v>
      </c>
    </row>
    <row r="301">
      <c r="A301" s="3">
        <v>28764.0</v>
      </c>
      <c r="B301" s="5">
        <v>70.0</v>
      </c>
      <c r="C301" s="8" t="s">
        <v>4467</v>
      </c>
      <c r="D301" s="1">
        <f>IFERROR(__xludf.DUMMYFUNCTION("IF(C301="""", 0, COUNTA(SPLIT(C301, "" "")))"),2.0)</f>
        <v>2</v>
      </c>
      <c r="E301" s="8" t="s">
        <v>4468</v>
      </c>
      <c r="F301" s="12">
        <v>5223.0</v>
      </c>
      <c r="G301" s="37">
        <f t="shared" si="1"/>
        <v>64.45174538</v>
      </c>
      <c r="H301" s="27" t="s">
        <v>4469</v>
      </c>
      <c r="I301" s="33">
        <v>26728.0</v>
      </c>
      <c r="J301" s="16" t="s">
        <v>132</v>
      </c>
      <c r="K301" s="8" t="s">
        <v>4470</v>
      </c>
      <c r="L301" s="1" t="s">
        <v>58</v>
      </c>
      <c r="M301" s="1">
        <v>0.0</v>
      </c>
      <c r="N301" s="1" t="s">
        <v>140</v>
      </c>
      <c r="O301" s="16" t="s">
        <v>27</v>
      </c>
      <c r="R301" s="1">
        <v>0.0</v>
      </c>
    </row>
    <row r="302">
      <c r="A302" s="3">
        <v>28764.0</v>
      </c>
      <c r="B302" s="5">
        <v>71.0</v>
      </c>
      <c r="C302" s="8" t="s">
        <v>4471</v>
      </c>
      <c r="D302" s="1">
        <f>IFERROR(__xludf.DUMMYFUNCTION("IF(C302="""", 0, COUNTA(SPLIT(C302, "" "")))"),2.0)</f>
        <v>2</v>
      </c>
      <c r="E302" s="8" t="s">
        <v>4472</v>
      </c>
      <c r="F302" s="12">
        <v>3607.0</v>
      </c>
      <c r="G302" s="37">
        <f t="shared" si="1"/>
        <v>68.87611225</v>
      </c>
      <c r="H302" s="27" t="s">
        <v>4473</v>
      </c>
      <c r="I302" s="33">
        <v>26728.0</v>
      </c>
      <c r="J302" s="16" t="s">
        <v>132</v>
      </c>
      <c r="K302" s="8" t="s">
        <v>4474</v>
      </c>
      <c r="L302" s="1" t="s">
        <v>58</v>
      </c>
      <c r="M302" s="1">
        <v>0.0</v>
      </c>
      <c r="N302" s="1" t="s">
        <v>140</v>
      </c>
      <c r="O302" s="16" t="s">
        <v>167</v>
      </c>
      <c r="R302" s="1">
        <v>0.0</v>
      </c>
    </row>
    <row r="303">
      <c r="A303" s="3">
        <v>28764.0</v>
      </c>
      <c r="B303" s="5">
        <v>72.0</v>
      </c>
      <c r="C303" s="8" t="s">
        <v>4475</v>
      </c>
      <c r="D303" s="1">
        <f>IFERROR(__xludf.DUMMYFUNCTION("IF(C303="""", 0, COUNTA(SPLIT(C303, "" "")))"),3.0)</f>
        <v>3</v>
      </c>
      <c r="E303" s="8" t="s">
        <v>4476</v>
      </c>
      <c r="F303" s="12">
        <v>8402.0</v>
      </c>
      <c r="G303" s="37">
        <f t="shared" si="1"/>
        <v>55.74811773</v>
      </c>
      <c r="H303" s="27" t="s">
        <v>4477</v>
      </c>
      <c r="I303" s="33">
        <v>26728.0</v>
      </c>
      <c r="J303" s="16" t="s">
        <v>132</v>
      </c>
      <c r="K303" s="8" t="s">
        <v>4478</v>
      </c>
      <c r="L303" s="1" t="s">
        <v>58</v>
      </c>
      <c r="M303" s="1">
        <v>0.0</v>
      </c>
      <c r="N303" s="1" t="s">
        <v>140</v>
      </c>
      <c r="O303" s="16" t="s">
        <v>191</v>
      </c>
      <c r="R303" s="1">
        <v>0.0</v>
      </c>
    </row>
    <row r="304">
      <c r="A304" s="3">
        <v>28764.0</v>
      </c>
      <c r="B304" s="5">
        <v>73.0</v>
      </c>
      <c r="C304" s="8" t="s">
        <v>4479</v>
      </c>
      <c r="D304" s="1">
        <f>IFERROR(__xludf.DUMMYFUNCTION("IF(C304="""", 0, COUNTA(SPLIT(C304, "" "")))"),3.0)</f>
        <v>3</v>
      </c>
      <c r="E304" s="8" t="s">
        <v>4480</v>
      </c>
      <c r="F304" s="12">
        <v>3665.0</v>
      </c>
      <c r="G304" s="37">
        <f t="shared" si="1"/>
        <v>68.71731691</v>
      </c>
      <c r="H304" s="27" t="s">
        <v>4481</v>
      </c>
      <c r="I304" s="33">
        <v>26728.0</v>
      </c>
      <c r="J304" s="16" t="s">
        <v>132</v>
      </c>
      <c r="K304" s="8" t="s">
        <v>4482</v>
      </c>
      <c r="L304" s="1" t="s">
        <v>58</v>
      </c>
      <c r="M304" s="1">
        <v>0.0</v>
      </c>
      <c r="N304" s="1" t="s">
        <v>140</v>
      </c>
      <c r="O304" s="16" t="s">
        <v>163</v>
      </c>
      <c r="R304" s="1">
        <v>0.0</v>
      </c>
    </row>
    <row r="305">
      <c r="A305" s="3">
        <v>28764.0</v>
      </c>
      <c r="B305" s="5">
        <v>74.0</v>
      </c>
      <c r="C305" s="8" t="s">
        <v>4483</v>
      </c>
      <c r="D305" s="1">
        <f>IFERROR(__xludf.DUMMYFUNCTION("IF(C305="""", 0, COUNTA(SPLIT(C305, "" "")))"),3.0)</f>
        <v>3</v>
      </c>
      <c r="E305" s="8" t="s">
        <v>4484</v>
      </c>
      <c r="F305" s="12">
        <v>5758.0</v>
      </c>
      <c r="G305" s="37">
        <f t="shared" si="1"/>
        <v>62.98699521</v>
      </c>
      <c r="H305" s="27" t="s">
        <v>4485</v>
      </c>
      <c r="I305" s="33">
        <v>26728.0</v>
      </c>
      <c r="J305" s="16" t="s">
        <v>132</v>
      </c>
      <c r="K305" s="8" t="s">
        <v>4486</v>
      </c>
      <c r="L305" s="1" t="s">
        <v>58</v>
      </c>
      <c r="M305" s="1">
        <v>0.0</v>
      </c>
      <c r="N305" s="1" t="s">
        <v>140</v>
      </c>
      <c r="O305" s="16" t="s">
        <v>218</v>
      </c>
      <c r="R305" s="1">
        <v>0.0</v>
      </c>
    </row>
    <row r="306">
      <c r="A306" s="3">
        <v>28764.0</v>
      </c>
      <c r="B306" s="5">
        <v>75.0</v>
      </c>
      <c r="C306" s="17" t="s">
        <v>4487</v>
      </c>
      <c r="D306" s="1">
        <f>IFERROR(__xludf.DUMMYFUNCTION("IF(C306="""", 0, COUNTA(SPLIT(C306, "" "")))"),3.0)</f>
        <v>3</v>
      </c>
      <c r="E306" s="8" t="s">
        <v>4488</v>
      </c>
      <c r="F306" s="12">
        <v>7928.0</v>
      </c>
      <c r="G306" s="37">
        <f t="shared" si="1"/>
        <v>57.045859</v>
      </c>
      <c r="H306" s="27" t="s">
        <v>4489</v>
      </c>
      <c r="I306" s="33">
        <v>26728.0</v>
      </c>
      <c r="J306" s="16" t="s">
        <v>132</v>
      </c>
      <c r="K306" s="8" t="s">
        <v>4490</v>
      </c>
      <c r="L306" s="1" t="s">
        <v>58</v>
      </c>
      <c r="M306" s="1">
        <v>0.0</v>
      </c>
      <c r="N306" s="1" t="s">
        <v>140</v>
      </c>
      <c r="O306" s="16" t="s">
        <v>218</v>
      </c>
      <c r="R306" s="1">
        <v>0.0</v>
      </c>
    </row>
    <row r="307">
      <c r="A307" s="3">
        <v>28764.0</v>
      </c>
      <c r="B307" s="5">
        <v>76.0</v>
      </c>
      <c r="C307" s="8" t="s">
        <v>4491</v>
      </c>
      <c r="D307" s="1">
        <f>IFERROR(__xludf.DUMMYFUNCTION("IF(C307="""", 0, COUNTA(SPLIT(C307, "" "")))"),3.0)</f>
        <v>3</v>
      </c>
      <c r="E307" s="8" t="s">
        <v>4492</v>
      </c>
      <c r="F307" s="12">
        <v>2870.0</v>
      </c>
      <c r="G307" s="37">
        <f t="shared" si="1"/>
        <v>70.89390828</v>
      </c>
      <c r="H307" s="27" t="s">
        <v>4493</v>
      </c>
      <c r="I307" s="33">
        <v>26728.0</v>
      </c>
      <c r="J307" s="16" t="s">
        <v>132</v>
      </c>
      <c r="K307" s="8" t="s">
        <v>4494</v>
      </c>
      <c r="L307" s="1" t="s">
        <v>58</v>
      </c>
      <c r="M307" s="1">
        <v>0.0</v>
      </c>
      <c r="N307" s="1" t="s">
        <v>140</v>
      </c>
      <c r="O307" s="16" t="s">
        <v>167</v>
      </c>
      <c r="R307" s="1">
        <v>0.0</v>
      </c>
    </row>
    <row r="308">
      <c r="A308" s="3">
        <v>28764.0</v>
      </c>
      <c r="B308" s="5">
        <v>77.0</v>
      </c>
      <c r="C308" s="8" t="s">
        <v>4495</v>
      </c>
      <c r="D308" s="1">
        <f>IFERROR(__xludf.DUMMYFUNCTION("IF(C308="""", 0, COUNTA(SPLIT(C308, "" "")))"),3.0)</f>
        <v>3</v>
      </c>
      <c r="E308" s="8" t="s">
        <v>4496</v>
      </c>
      <c r="F308" s="12">
        <v>4973.0</v>
      </c>
      <c r="G308" s="37">
        <f t="shared" si="1"/>
        <v>65.13620808</v>
      </c>
      <c r="H308" s="27" t="s">
        <v>4497</v>
      </c>
      <c r="I308" s="33">
        <v>26728.0</v>
      </c>
      <c r="J308" s="16" t="s">
        <v>132</v>
      </c>
      <c r="K308" s="8" t="s">
        <v>4498</v>
      </c>
      <c r="L308" s="1" t="s">
        <v>58</v>
      </c>
      <c r="M308" s="1">
        <v>0.0</v>
      </c>
      <c r="N308" s="1" t="s">
        <v>140</v>
      </c>
      <c r="O308" s="16" t="s">
        <v>163</v>
      </c>
      <c r="R308" s="1">
        <v>0.0</v>
      </c>
    </row>
    <row r="309">
      <c r="A309" s="3">
        <v>28764.0</v>
      </c>
      <c r="B309" s="5">
        <v>78.0</v>
      </c>
      <c r="C309" s="8" t="s">
        <v>4499</v>
      </c>
      <c r="D309" s="1">
        <f>IFERROR(__xludf.DUMMYFUNCTION("IF(C309="""", 0, COUNTA(SPLIT(C309, "" "")))"),2.0)</f>
        <v>2</v>
      </c>
      <c r="E309" s="8" t="s">
        <v>4500</v>
      </c>
      <c r="F309" s="12">
        <v>1457.0</v>
      </c>
      <c r="G309" s="37">
        <f t="shared" si="1"/>
        <v>74.76249144</v>
      </c>
      <c r="H309" s="27" t="s">
        <v>4501</v>
      </c>
      <c r="I309" s="33">
        <v>26728.0</v>
      </c>
      <c r="J309" s="16" t="s">
        <v>132</v>
      </c>
      <c r="K309" s="8" t="s">
        <v>4502</v>
      </c>
      <c r="L309" s="1" t="s">
        <v>58</v>
      </c>
      <c r="M309" s="1">
        <v>0.0</v>
      </c>
      <c r="N309" s="1" t="s">
        <v>140</v>
      </c>
      <c r="O309" s="16" t="s">
        <v>159</v>
      </c>
      <c r="R309" s="1">
        <v>0.0</v>
      </c>
    </row>
    <row r="310">
      <c r="A310" s="3">
        <v>28764.0</v>
      </c>
      <c r="B310" s="5">
        <v>79.0</v>
      </c>
      <c r="C310" s="17" t="s">
        <v>4503</v>
      </c>
      <c r="D310" s="1">
        <f>IFERROR(__xludf.DUMMYFUNCTION("IF(C310="""", 0, COUNTA(SPLIT(C310, "" "")))"),2.0)</f>
        <v>2</v>
      </c>
      <c r="E310" s="8" t="s">
        <v>4504</v>
      </c>
      <c r="F310" s="12">
        <v>8743.0</v>
      </c>
      <c r="G310" s="37">
        <f t="shared" si="1"/>
        <v>54.81451061</v>
      </c>
      <c r="H310" s="27" t="s">
        <v>4505</v>
      </c>
      <c r="I310" s="33">
        <v>27904.0</v>
      </c>
      <c r="J310" s="16" t="s">
        <v>132</v>
      </c>
      <c r="K310" s="8" t="s">
        <v>4506</v>
      </c>
      <c r="L310" s="1" t="s">
        <v>58</v>
      </c>
      <c r="M310" s="1">
        <v>0.0</v>
      </c>
      <c r="N310" s="1" t="s">
        <v>140</v>
      </c>
      <c r="O310" s="16" t="s">
        <v>1108</v>
      </c>
      <c r="R310" s="1">
        <v>0.0</v>
      </c>
    </row>
    <row r="311">
      <c r="A311" s="3">
        <v>28764.0</v>
      </c>
      <c r="B311" s="5">
        <v>80.0</v>
      </c>
      <c r="C311" s="8" t="s">
        <v>4507</v>
      </c>
      <c r="D311" s="1">
        <f>IFERROR(__xludf.DUMMYFUNCTION("IF(C311="""", 0, COUNTA(SPLIT(C311, "" "")))"),4.0)</f>
        <v>4</v>
      </c>
      <c r="E311" s="8" t="s">
        <v>4508</v>
      </c>
      <c r="F311" s="12">
        <v>2512.0</v>
      </c>
      <c r="G311" s="37">
        <f t="shared" si="1"/>
        <v>71.87405886</v>
      </c>
      <c r="H311" s="27" t="s">
        <v>4509</v>
      </c>
      <c r="I311" s="33">
        <v>27904.0</v>
      </c>
      <c r="J311" s="16" t="s">
        <v>132</v>
      </c>
      <c r="K311" s="8" t="s">
        <v>4510</v>
      </c>
      <c r="L311" s="1" t="s">
        <v>58</v>
      </c>
      <c r="M311" s="1">
        <v>0.0</v>
      </c>
      <c r="N311" s="1" t="s">
        <v>140</v>
      </c>
      <c r="O311" s="16" t="s">
        <v>163</v>
      </c>
      <c r="R311" s="1">
        <v>0.0</v>
      </c>
    </row>
    <row r="312">
      <c r="A312" s="3">
        <v>28764.0</v>
      </c>
      <c r="B312" s="5">
        <v>81.0</v>
      </c>
      <c r="C312" s="8" t="s">
        <v>4511</v>
      </c>
      <c r="D312" s="1">
        <f>IFERROR(__xludf.DUMMYFUNCTION("IF(C312="""", 0, COUNTA(SPLIT(C312, "" "")))"),3.0)</f>
        <v>3</v>
      </c>
      <c r="E312" s="8" t="s">
        <v>4512</v>
      </c>
      <c r="F312" s="12">
        <v>4425.0</v>
      </c>
      <c r="G312" s="37">
        <f t="shared" si="1"/>
        <v>66.63655031</v>
      </c>
      <c r="H312" s="27" t="s">
        <v>4513</v>
      </c>
      <c r="I312" s="33">
        <v>27904.0</v>
      </c>
      <c r="J312" s="16" t="s">
        <v>132</v>
      </c>
      <c r="K312" s="8" t="s">
        <v>4514</v>
      </c>
      <c r="L312" s="1" t="s">
        <v>58</v>
      </c>
      <c r="M312" s="1">
        <v>0.0</v>
      </c>
      <c r="N312" s="1" t="s">
        <v>140</v>
      </c>
      <c r="O312" s="16" t="s">
        <v>163</v>
      </c>
      <c r="R312" s="1">
        <v>0.0</v>
      </c>
    </row>
    <row r="313">
      <c r="A313" s="3">
        <v>28764.0</v>
      </c>
      <c r="B313" s="5">
        <v>82.0</v>
      </c>
      <c r="C313" s="8" t="s">
        <v>4515</v>
      </c>
      <c r="D313" s="1">
        <f>IFERROR(__xludf.DUMMYFUNCTION("IF(C313="""", 0, COUNTA(SPLIT(C313, "" "")))"),4.0)</f>
        <v>4</v>
      </c>
      <c r="E313" s="8" t="s">
        <v>4516</v>
      </c>
      <c r="F313" s="12" t="s">
        <v>1117</v>
      </c>
      <c r="G313" s="37">
        <f t="shared" si="1"/>
        <v>79.80287474</v>
      </c>
      <c r="H313" s="27" t="s">
        <v>4517</v>
      </c>
      <c r="I313" s="33">
        <v>27904.0</v>
      </c>
      <c r="J313" s="16" t="s">
        <v>132</v>
      </c>
      <c r="K313" s="8" t="s">
        <v>4518</v>
      </c>
      <c r="L313" s="1" t="s">
        <v>58</v>
      </c>
      <c r="M313" s="1">
        <v>0.0</v>
      </c>
      <c r="N313" s="1" t="s">
        <v>140</v>
      </c>
      <c r="O313" s="16" t="s">
        <v>290</v>
      </c>
      <c r="R313" s="1">
        <v>0.0</v>
      </c>
    </row>
    <row r="314">
      <c r="A314" s="3">
        <v>28764.0</v>
      </c>
      <c r="B314" s="5">
        <v>83.0</v>
      </c>
      <c r="C314" s="8" t="s">
        <v>4519</v>
      </c>
      <c r="D314" s="1">
        <f>IFERROR(__xludf.DUMMYFUNCTION("IF(C314="""", 0, COUNTA(SPLIT(C314, "" "")))"),2.0)</f>
        <v>2</v>
      </c>
      <c r="E314" s="8" t="s">
        <v>4520</v>
      </c>
      <c r="F314" s="12">
        <v>7704.0</v>
      </c>
      <c r="G314" s="37">
        <f t="shared" si="1"/>
        <v>57.65913758</v>
      </c>
      <c r="H314" s="27" t="s">
        <v>4521</v>
      </c>
      <c r="I314" s="33">
        <v>27904.0</v>
      </c>
      <c r="J314" s="16" t="s">
        <v>132</v>
      </c>
      <c r="K314" s="8" t="s">
        <v>4522</v>
      </c>
      <c r="L314" s="1" t="s">
        <v>58</v>
      </c>
      <c r="M314" s="1">
        <v>0.0</v>
      </c>
      <c r="N314" s="1" t="s">
        <v>140</v>
      </c>
      <c r="O314" s="16" t="s">
        <v>1122</v>
      </c>
      <c r="R314" s="1">
        <v>0.0</v>
      </c>
    </row>
    <row r="315">
      <c r="A315" s="3">
        <v>28764.0</v>
      </c>
      <c r="B315" s="5">
        <v>84.0</v>
      </c>
      <c r="C315" s="8" t="s">
        <v>4523</v>
      </c>
      <c r="D315" s="1">
        <f>IFERROR(__xludf.DUMMYFUNCTION("IF(C315="""", 0, COUNTA(SPLIT(C315, "" "")))"),2.0)</f>
        <v>2</v>
      </c>
      <c r="E315" s="8" t="s">
        <v>4524</v>
      </c>
      <c r="F315" s="12">
        <v>5429.0</v>
      </c>
      <c r="G315" s="37">
        <f t="shared" si="1"/>
        <v>63.88774812</v>
      </c>
      <c r="H315" s="27" t="s">
        <v>4525</v>
      </c>
      <c r="I315" s="33">
        <v>27904.0</v>
      </c>
      <c r="J315" s="16" t="s">
        <v>132</v>
      </c>
      <c r="K315" s="8" t="s">
        <v>4526</v>
      </c>
      <c r="L315" s="1" t="s">
        <v>58</v>
      </c>
      <c r="M315" s="1">
        <v>0.0</v>
      </c>
      <c r="N315" s="1" t="s">
        <v>140</v>
      </c>
      <c r="O315" s="16" t="s">
        <v>637</v>
      </c>
      <c r="R315" s="1">
        <v>0.0</v>
      </c>
    </row>
    <row r="316">
      <c r="A316" s="3">
        <v>28764.0</v>
      </c>
      <c r="B316" s="5">
        <v>85.0</v>
      </c>
      <c r="C316" s="17" t="s">
        <v>4527</v>
      </c>
      <c r="D316" s="1">
        <f>IFERROR(__xludf.DUMMYFUNCTION("IF(C316="""", 0, COUNTA(SPLIT(C316, "" "")))"),3.0)</f>
        <v>3</v>
      </c>
      <c r="E316" s="8" t="s">
        <v>4528</v>
      </c>
      <c r="F316" s="12">
        <v>6064.0</v>
      </c>
      <c r="G316" s="37">
        <f t="shared" si="1"/>
        <v>62.14921287</v>
      </c>
      <c r="H316" s="27" t="s">
        <v>4529</v>
      </c>
      <c r="I316" s="33">
        <v>27904.0</v>
      </c>
      <c r="J316" s="16" t="s">
        <v>132</v>
      </c>
      <c r="K316" s="8" t="s">
        <v>4530</v>
      </c>
      <c r="L316" s="1" t="s">
        <v>58</v>
      </c>
      <c r="M316" s="1">
        <v>0.0</v>
      </c>
      <c r="N316" s="1" t="s">
        <v>140</v>
      </c>
      <c r="O316" s="16" t="s">
        <v>167</v>
      </c>
      <c r="R316" s="1">
        <v>0.0</v>
      </c>
    </row>
    <row r="317">
      <c r="A317" s="3">
        <v>28764.0</v>
      </c>
      <c r="B317" s="5">
        <v>86.0</v>
      </c>
      <c r="C317" s="8" t="s">
        <v>4531</v>
      </c>
      <c r="D317" s="1">
        <f>IFERROR(__xludf.DUMMYFUNCTION("IF(C317="""", 0, COUNTA(SPLIT(C317, "" "")))"),3.0)</f>
        <v>3</v>
      </c>
      <c r="E317" s="8" t="s">
        <v>4532</v>
      </c>
      <c r="F317" s="12">
        <v>10471.0</v>
      </c>
      <c r="G317" s="37">
        <f t="shared" si="1"/>
        <v>50.08350445</v>
      </c>
      <c r="H317" s="27" t="s">
        <v>4533</v>
      </c>
      <c r="I317" s="33">
        <v>27904.0</v>
      </c>
      <c r="J317" s="16" t="s">
        <v>132</v>
      </c>
      <c r="K317" s="8" t="s">
        <v>4534</v>
      </c>
      <c r="L317" s="1" t="s">
        <v>58</v>
      </c>
      <c r="M317" s="1">
        <v>0.0</v>
      </c>
      <c r="N317" s="1" t="s">
        <v>140</v>
      </c>
      <c r="O317" s="16" t="s">
        <v>419</v>
      </c>
      <c r="R317" s="1">
        <v>0.0</v>
      </c>
    </row>
    <row r="318">
      <c r="A318" s="3">
        <v>28764.0</v>
      </c>
      <c r="B318" s="5">
        <v>87.0</v>
      </c>
      <c r="C318" s="8" t="s">
        <v>4535</v>
      </c>
      <c r="D318" s="1">
        <f>IFERROR(__xludf.DUMMYFUNCTION("IF(C318="""", 0, COUNTA(SPLIT(C318, "" "")))"),3.0)</f>
        <v>3</v>
      </c>
      <c r="E318" s="8" t="s">
        <v>4536</v>
      </c>
      <c r="F318" s="12">
        <v>9822.0</v>
      </c>
      <c r="G318" s="37">
        <f t="shared" si="1"/>
        <v>51.86036961</v>
      </c>
      <c r="H318" s="27" t="s">
        <v>4537</v>
      </c>
      <c r="I318" s="33">
        <v>27904.0</v>
      </c>
      <c r="J318" s="16" t="s">
        <v>132</v>
      </c>
      <c r="K318" s="8" t="s">
        <v>4538</v>
      </c>
      <c r="L318" s="1" t="s">
        <v>58</v>
      </c>
      <c r="M318" s="1">
        <v>0.0</v>
      </c>
      <c r="N318" s="1" t="s">
        <v>140</v>
      </c>
      <c r="O318" s="16" t="s">
        <v>167</v>
      </c>
      <c r="R318" s="1">
        <v>0.0</v>
      </c>
    </row>
    <row r="319">
      <c r="A319" s="3">
        <v>28764.0</v>
      </c>
      <c r="B319" s="5">
        <v>88.0</v>
      </c>
      <c r="C319" s="17" t="s">
        <v>4539</v>
      </c>
      <c r="D319" s="1">
        <f>IFERROR(__xludf.DUMMYFUNCTION("IF(C319="""", 0, COUNTA(SPLIT(C319, "" "")))"),2.0)</f>
        <v>2</v>
      </c>
      <c r="E319" s="8" t="s">
        <v>4540</v>
      </c>
      <c r="F319" s="12">
        <v>9048.0</v>
      </c>
      <c r="G319" s="37">
        <f t="shared" si="1"/>
        <v>53.97946612</v>
      </c>
      <c r="H319" s="27" t="s">
        <v>4541</v>
      </c>
      <c r="I319" s="33">
        <v>27904.0</v>
      </c>
      <c r="J319" s="16" t="s">
        <v>132</v>
      </c>
      <c r="K319" s="8" t="s">
        <v>4542</v>
      </c>
      <c r="L319" s="1" t="s">
        <v>58</v>
      </c>
      <c r="M319" s="1">
        <v>0.0</v>
      </c>
      <c r="N319" s="1" t="s">
        <v>140</v>
      </c>
      <c r="O319" s="16" t="s">
        <v>218</v>
      </c>
      <c r="R319" s="1">
        <v>12.0</v>
      </c>
    </row>
    <row r="320">
      <c r="A320" s="3">
        <v>28764.0</v>
      </c>
      <c r="B320" s="5">
        <v>89.0</v>
      </c>
      <c r="C320" s="8" t="s">
        <v>4543</v>
      </c>
      <c r="D320" s="1">
        <f>IFERROR(__xludf.DUMMYFUNCTION("IF(C320="""", 0, COUNTA(SPLIT(C320, "" "")))"),2.0)</f>
        <v>2</v>
      </c>
      <c r="E320" s="8" t="s">
        <v>4544</v>
      </c>
      <c r="F320" s="12">
        <v>5458.0</v>
      </c>
      <c r="G320" s="37">
        <f t="shared" si="1"/>
        <v>63.80835044</v>
      </c>
      <c r="H320" s="27" t="s">
        <v>4545</v>
      </c>
      <c r="I320" s="33">
        <v>27904.0</v>
      </c>
      <c r="J320" s="16" t="s">
        <v>132</v>
      </c>
      <c r="K320" s="8" t="s">
        <v>4546</v>
      </c>
      <c r="L320" s="1" t="s">
        <v>58</v>
      </c>
      <c r="M320" s="1">
        <v>0.0</v>
      </c>
      <c r="N320" s="1" t="s">
        <v>140</v>
      </c>
      <c r="O320" s="16" t="s">
        <v>167</v>
      </c>
      <c r="R320" s="1">
        <v>0.0</v>
      </c>
    </row>
    <row r="321">
      <c r="A321" s="3">
        <v>28764.0</v>
      </c>
      <c r="B321" s="5">
        <v>90.0</v>
      </c>
      <c r="C321" s="8" t="s">
        <v>4547</v>
      </c>
      <c r="D321" s="1">
        <f>IFERROR(__xludf.DUMMYFUNCTION("IF(C321="""", 0, COUNTA(SPLIT(C321, "" "")))"),2.0)</f>
        <v>2</v>
      </c>
      <c r="E321" s="8" t="s">
        <v>4548</v>
      </c>
      <c r="F321" s="12">
        <v>3724.0</v>
      </c>
      <c r="G321" s="37">
        <f t="shared" si="1"/>
        <v>68.55578371</v>
      </c>
      <c r="H321" s="27" t="s">
        <v>4549</v>
      </c>
      <c r="I321" s="33">
        <v>27904.0</v>
      </c>
      <c r="J321" s="16" t="s">
        <v>132</v>
      </c>
      <c r="K321" s="8" t="s">
        <v>4550</v>
      </c>
      <c r="L321" s="1" t="s">
        <v>58</v>
      </c>
      <c r="M321" s="1">
        <v>0.0</v>
      </c>
      <c r="N321" s="1" t="s">
        <v>140</v>
      </c>
      <c r="O321" s="16" t="s">
        <v>297</v>
      </c>
      <c r="R321" s="1">
        <v>0.0</v>
      </c>
    </row>
    <row r="322">
      <c r="A322" s="3">
        <v>28764.0</v>
      </c>
      <c r="B322" s="5">
        <v>91.0</v>
      </c>
      <c r="C322" s="17" t="s">
        <v>4551</v>
      </c>
      <c r="D322" s="1">
        <f>IFERROR(__xludf.DUMMYFUNCTION("IF(C322="""", 0, COUNTA(SPLIT(C322, "" "")))"),3.0)</f>
        <v>3</v>
      </c>
      <c r="E322" s="8" t="s">
        <v>4552</v>
      </c>
      <c r="F322" s="12">
        <v>8462.0</v>
      </c>
      <c r="G322" s="37">
        <f t="shared" si="1"/>
        <v>55.58384668</v>
      </c>
      <c r="H322" s="27" t="s">
        <v>4553</v>
      </c>
      <c r="I322" s="33">
        <v>27904.0</v>
      </c>
      <c r="J322" s="16" t="s">
        <v>132</v>
      </c>
      <c r="K322" s="8" t="s">
        <v>4554</v>
      </c>
      <c r="L322" s="1" t="s">
        <v>58</v>
      </c>
      <c r="M322" s="1">
        <v>0.0</v>
      </c>
      <c r="N322" s="1" t="s">
        <v>140</v>
      </c>
      <c r="O322" s="16" t="s">
        <v>167</v>
      </c>
      <c r="R322" s="1">
        <v>0.0</v>
      </c>
    </row>
    <row r="323">
      <c r="A323" s="3">
        <v>28764.0</v>
      </c>
      <c r="B323" s="5">
        <v>92.0</v>
      </c>
      <c r="C323" s="17" t="s">
        <v>4555</v>
      </c>
      <c r="D323" s="1">
        <f>IFERROR(__xludf.DUMMYFUNCTION("IF(C323="""", 0, COUNTA(SPLIT(C323, "" "")))"),2.0)</f>
        <v>2</v>
      </c>
      <c r="E323" s="8" t="s">
        <v>4556</v>
      </c>
      <c r="F323" s="12">
        <v>7922.0</v>
      </c>
      <c r="G323" s="37">
        <f t="shared" si="1"/>
        <v>57.06228611</v>
      </c>
      <c r="H323" s="27" t="s">
        <v>4557</v>
      </c>
      <c r="I323" s="33">
        <v>27904.0</v>
      </c>
      <c r="J323" s="16" t="s">
        <v>132</v>
      </c>
      <c r="K323" s="8" t="s">
        <v>4558</v>
      </c>
      <c r="L323" s="1" t="s">
        <v>58</v>
      </c>
      <c r="M323" s="1">
        <v>0.0</v>
      </c>
      <c r="N323" s="1" t="s">
        <v>140</v>
      </c>
      <c r="O323" s="16" t="s">
        <v>656</v>
      </c>
      <c r="R323" s="1">
        <v>0.0</v>
      </c>
    </row>
    <row r="324">
      <c r="A324" s="3">
        <v>28764.0</v>
      </c>
      <c r="B324" s="5">
        <v>93.0</v>
      </c>
      <c r="C324" s="8" t="s">
        <v>4559</v>
      </c>
      <c r="D324" s="1">
        <f>IFERROR(__xludf.DUMMYFUNCTION("IF(C324="""", 0, COUNTA(SPLIT(C324, "" "")))"),2.0)</f>
        <v>2</v>
      </c>
      <c r="E324" s="8" t="s">
        <v>4560</v>
      </c>
      <c r="F324" s="12" t="s">
        <v>1152</v>
      </c>
      <c r="G324" s="37">
        <f t="shared" si="1"/>
        <v>79.25256674</v>
      </c>
      <c r="H324" s="27" t="s">
        <v>4561</v>
      </c>
      <c r="I324" s="33">
        <v>27904.0</v>
      </c>
      <c r="J324" s="16" t="s">
        <v>132</v>
      </c>
      <c r="K324" s="8" t="s">
        <v>4562</v>
      </c>
      <c r="L324" s="1" t="s">
        <v>58</v>
      </c>
      <c r="M324" s="1">
        <v>0.0</v>
      </c>
      <c r="N324" s="1" t="s">
        <v>140</v>
      </c>
      <c r="O324" s="16" t="s">
        <v>390</v>
      </c>
      <c r="R324" s="1">
        <v>0.0</v>
      </c>
    </row>
    <row r="325">
      <c r="A325" s="3">
        <v>28764.0</v>
      </c>
      <c r="B325" s="5">
        <v>94.0</v>
      </c>
      <c r="C325" s="8" t="s">
        <v>4563</v>
      </c>
      <c r="D325" s="1">
        <f>IFERROR(__xludf.DUMMYFUNCTION("IF(C325="""", 0, COUNTA(SPLIT(C325, "" "")))"),3.0)</f>
        <v>3</v>
      </c>
      <c r="E325" s="8" t="s">
        <v>4564</v>
      </c>
      <c r="F325" s="12">
        <v>1917.0</v>
      </c>
      <c r="G325" s="37">
        <f t="shared" si="1"/>
        <v>73.50308008</v>
      </c>
      <c r="H325" s="27" t="s">
        <v>4565</v>
      </c>
      <c r="I325" s="33">
        <v>28303.0</v>
      </c>
      <c r="J325" s="16" t="s">
        <v>132</v>
      </c>
      <c r="K325" s="8" t="s">
        <v>4566</v>
      </c>
      <c r="L325" s="1" t="s">
        <v>58</v>
      </c>
      <c r="M325" s="1">
        <v>0.0</v>
      </c>
      <c r="N325" s="1" t="s">
        <v>140</v>
      </c>
      <c r="O325" s="16" t="s">
        <v>1157</v>
      </c>
      <c r="R325" s="1">
        <v>0.0</v>
      </c>
    </row>
    <row r="326">
      <c r="A326" s="3">
        <v>28764.0</v>
      </c>
      <c r="B326" s="5">
        <v>95.0</v>
      </c>
      <c r="C326" s="8" t="s">
        <v>4567</v>
      </c>
      <c r="D326" s="1">
        <f>IFERROR(__xludf.DUMMYFUNCTION("IF(C326="""", 0, COUNTA(SPLIT(C326, "" "")))"),2.0)</f>
        <v>2</v>
      </c>
      <c r="E326" s="8" t="s">
        <v>4568</v>
      </c>
      <c r="F326" s="12">
        <v>7803.0</v>
      </c>
      <c r="G326" s="37">
        <f t="shared" si="1"/>
        <v>57.38809035</v>
      </c>
      <c r="H326" s="27" t="s">
        <v>4569</v>
      </c>
      <c r="I326" s="33">
        <v>28303.0</v>
      </c>
      <c r="J326" s="16" t="s">
        <v>132</v>
      </c>
      <c r="K326" s="8" t="s">
        <v>4570</v>
      </c>
      <c r="L326" s="1" t="s">
        <v>58</v>
      </c>
      <c r="M326" s="1">
        <v>0.0</v>
      </c>
      <c r="N326" s="1" t="s">
        <v>140</v>
      </c>
      <c r="O326" s="16" t="s">
        <v>27</v>
      </c>
      <c r="R326" s="1">
        <v>0.0</v>
      </c>
    </row>
    <row r="327">
      <c r="A327" s="3">
        <v>28764.0</v>
      </c>
      <c r="B327" s="5">
        <v>96.0</v>
      </c>
      <c r="C327" s="8" t="s">
        <v>4571</v>
      </c>
      <c r="D327" s="1">
        <f>IFERROR(__xludf.DUMMYFUNCTION("IF(C327="""", 0, COUNTA(SPLIT(C327, "" "")))"),2.0)</f>
        <v>2</v>
      </c>
      <c r="E327" s="8" t="s">
        <v>4572</v>
      </c>
      <c r="F327" s="12">
        <v>9968.0</v>
      </c>
      <c r="G327" s="37">
        <f t="shared" si="1"/>
        <v>51.46064339</v>
      </c>
      <c r="H327" s="27" t="s">
        <v>4573</v>
      </c>
      <c r="I327" s="33">
        <v>24649.0</v>
      </c>
      <c r="J327" s="16" t="s">
        <v>132</v>
      </c>
      <c r="K327" s="8" t="s">
        <v>4574</v>
      </c>
      <c r="L327" s="1" t="s">
        <v>58</v>
      </c>
      <c r="M327" s="1">
        <v>0.0</v>
      </c>
      <c r="N327" s="1" t="s">
        <v>140</v>
      </c>
      <c r="O327" s="16" t="s">
        <v>159</v>
      </c>
      <c r="R327" s="1">
        <v>0.0</v>
      </c>
    </row>
    <row r="328">
      <c r="A328" s="3">
        <v>28764.0</v>
      </c>
      <c r="B328" s="5">
        <v>97.0</v>
      </c>
      <c r="C328" s="8" t="s">
        <v>4575</v>
      </c>
      <c r="D328" s="1">
        <f>IFERROR(__xludf.DUMMYFUNCTION("IF(C328="""", 0, COUNTA(SPLIT(C328, "" "")))"),2.0)</f>
        <v>2</v>
      </c>
      <c r="E328" s="8" t="s">
        <v>4576</v>
      </c>
      <c r="F328" s="12">
        <v>4231.0</v>
      </c>
      <c r="G328" s="37">
        <f t="shared" si="1"/>
        <v>67.16769336</v>
      </c>
      <c r="H328" s="27" t="s">
        <v>4577</v>
      </c>
      <c r="I328" s="33">
        <v>25321.0</v>
      </c>
      <c r="J328" s="16" t="s">
        <v>132</v>
      </c>
      <c r="K328" s="8" t="s">
        <v>4578</v>
      </c>
      <c r="L328" s="1" t="s">
        <v>58</v>
      </c>
      <c r="M328" s="1">
        <v>0.0</v>
      </c>
      <c r="N328" s="1" t="s">
        <v>140</v>
      </c>
      <c r="O328" s="16" t="s">
        <v>27</v>
      </c>
      <c r="R328" s="1">
        <v>2.0</v>
      </c>
    </row>
    <row r="329">
      <c r="A329" s="3">
        <v>28764.0</v>
      </c>
      <c r="B329" s="5">
        <v>98.0</v>
      </c>
      <c r="C329" s="8" t="s">
        <v>4579</v>
      </c>
      <c r="D329" s="1">
        <f>IFERROR(__xludf.DUMMYFUNCTION("IF(C329="""", 0, COUNTA(SPLIT(C329, "" "")))"),2.0)</f>
        <v>2</v>
      </c>
      <c r="E329" s="8" t="s">
        <v>4580</v>
      </c>
      <c r="F329" s="12">
        <v>3971.0</v>
      </c>
      <c r="G329" s="37">
        <f t="shared" si="1"/>
        <v>67.87953457</v>
      </c>
      <c r="H329" s="27" t="s">
        <v>4581</v>
      </c>
      <c r="I329" s="33">
        <v>25321.0</v>
      </c>
      <c r="J329" s="16" t="s">
        <v>132</v>
      </c>
      <c r="K329" s="8" t="s">
        <v>4582</v>
      </c>
      <c r="L329" s="1" t="s">
        <v>58</v>
      </c>
      <c r="M329" s="1">
        <v>0.0</v>
      </c>
      <c r="N329" s="1" t="s">
        <v>140</v>
      </c>
      <c r="O329" s="16" t="s">
        <v>27</v>
      </c>
      <c r="R329" s="1">
        <v>0.0</v>
      </c>
    </row>
    <row r="330">
      <c r="A330" s="3">
        <v>28764.0</v>
      </c>
      <c r="B330" s="5">
        <v>99.0</v>
      </c>
      <c r="C330" s="8" t="s">
        <v>4583</v>
      </c>
      <c r="D330" s="1">
        <f>IFERROR(__xludf.DUMMYFUNCTION("IF(C330="""", 0, COUNTA(SPLIT(C330, "" "")))"),2.0)</f>
        <v>2</v>
      </c>
      <c r="E330" s="8" t="s">
        <v>4584</v>
      </c>
      <c r="F330" s="12">
        <v>2613.0</v>
      </c>
      <c r="G330" s="37">
        <f t="shared" si="1"/>
        <v>71.59753593</v>
      </c>
      <c r="H330" s="27" t="s">
        <v>4585</v>
      </c>
      <c r="I330" s="33">
        <v>25321.0</v>
      </c>
      <c r="J330" s="16" t="s">
        <v>132</v>
      </c>
      <c r="K330" s="8" t="s">
        <v>4586</v>
      </c>
      <c r="L330" s="1" t="s">
        <v>58</v>
      </c>
      <c r="M330" s="1">
        <v>0.0</v>
      </c>
      <c r="N330" s="1" t="s">
        <v>140</v>
      </c>
      <c r="O330" s="16" t="s">
        <v>27</v>
      </c>
      <c r="R330" s="1">
        <v>0.0</v>
      </c>
    </row>
    <row r="331">
      <c r="A331" s="3">
        <v>28764.0</v>
      </c>
      <c r="B331" s="5">
        <v>100.0</v>
      </c>
      <c r="C331" s="8" t="s">
        <v>4587</v>
      </c>
      <c r="D331" s="1">
        <f>IFERROR(__xludf.DUMMYFUNCTION("IF(C331="""", 0, COUNTA(SPLIT(C331, "" "")))"),5.0)</f>
        <v>5</v>
      </c>
      <c r="E331" s="8" t="s">
        <v>4588</v>
      </c>
      <c r="F331" s="12">
        <v>1320.0</v>
      </c>
      <c r="G331" s="37">
        <f t="shared" si="1"/>
        <v>75.137577</v>
      </c>
      <c r="H331" s="27" t="s">
        <v>4589</v>
      </c>
      <c r="I331" s="33">
        <v>25321.0</v>
      </c>
      <c r="J331" s="16" t="s">
        <v>132</v>
      </c>
      <c r="K331" s="8" t="s">
        <v>4590</v>
      </c>
      <c r="L331" s="1" t="s">
        <v>58</v>
      </c>
      <c r="M331" s="1">
        <v>0.0</v>
      </c>
      <c r="N331" s="1" t="s">
        <v>140</v>
      </c>
      <c r="O331" s="16" t="s">
        <v>27</v>
      </c>
      <c r="R331" s="1">
        <v>0.0</v>
      </c>
    </row>
    <row r="332">
      <c r="A332" s="3">
        <v>28764.0</v>
      </c>
      <c r="B332" s="5">
        <v>101.0</v>
      </c>
      <c r="C332" s="8" t="s">
        <v>4591</v>
      </c>
      <c r="D332" s="1">
        <f>IFERROR(__xludf.DUMMYFUNCTION("IF(C332="""", 0, COUNTA(SPLIT(C332, "" "")))"),2.0)</f>
        <v>2</v>
      </c>
      <c r="E332" s="8" t="s">
        <v>4592</v>
      </c>
      <c r="F332" s="12">
        <v>2186.0</v>
      </c>
      <c r="G332" s="37">
        <f t="shared" si="1"/>
        <v>72.76659822</v>
      </c>
      <c r="H332" s="27" t="s">
        <v>4593</v>
      </c>
      <c r="I332" s="33">
        <v>26728.0</v>
      </c>
      <c r="J332" s="16" t="s">
        <v>132</v>
      </c>
      <c r="K332" s="8" t="s">
        <v>4594</v>
      </c>
      <c r="L332" s="1" t="s">
        <v>58</v>
      </c>
      <c r="M332" s="1">
        <v>0.0</v>
      </c>
      <c r="N332" s="1" t="s">
        <v>140</v>
      </c>
      <c r="O332" s="16" t="s">
        <v>27</v>
      </c>
      <c r="R332" s="1">
        <v>0.0</v>
      </c>
    </row>
    <row r="333">
      <c r="A333" s="3">
        <v>28764.0</v>
      </c>
      <c r="B333" s="5">
        <v>102.0</v>
      </c>
      <c r="C333" s="8" t="s">
        <v>4595</v>
      </c>
      <c r="D333" s="1">
        <f>IFERROR(__xludf.DUMMYFUNCTION("IF(C333="""", 0, COUNTA(SPLIT(C333, "" "")))"),2.0)</f>
        <v>2</v>
      </c>
      <c r="E333" s="8" t="s">
        <v>4596</v>
      </c>
      <c r="F333" s="12">
        <v>3808.0</v>
      </c>
      <c r="G333" s="37">
        <f t="shared" si="1"/>
        <v>68.32580424</v>
      </c>
      <c r="H333" s="27" t="s">
        <v>4597</v>
      </c>
      <c r="I333" s="33">
        <v>26728.0</v>
      </c>
      <c r="J333" s="16" t="s">
        <v>132</v>
      </c>
      <c r="K333" s="8" t="s">
        <v>4598</v>
      </c>
      <c r="L333" s="1" t="s">
        <v>58</v>
      </c>
      <c r="M333" s="1">
        <v>0.0</v>
      </c>
      <c r="N333" s="1" t="s">
        <v>140</v>
      </c>
      <c r="O333" s="16" t="s">
        <v>27</v>
      </c>
      <c r="R333" s="1">
        <v>18.0</v>
      </c>
    </row>
    <row r="334">
      <c r="A334" s="3">
        <v>28764.0</v>
      </c>
      <c r="B334" s="5">
        <v>103.0</v>
      </c>
      <c r="C334" s="8" t="s">
        <v>4599</v>
      </c>
      <c r="D334" s="1">
        <f>IFERROR(__xludf.DUMMYFUNCTION("IF(C334="""", 0, COUNTA(SPLIT(C334, "" "")))"),2.0)</f>
        <v>2</v>
      </c>
      <c r="E334" s="8" t="s">
        <v>4600</v>
      </c>
      <c r="F334" s="12">
        <v>1642.0</v>
      </c>
      <c r="G334" s="37">
        <f t="shared" si="1"/>
        <v>74.25598905</v>
      </c>
      <c r="H334" s="27" t="s">
        <v>4601</v>
      </c>
      <c r="I334" s="33">
        <v>26728.0</v>
      </c>
      <c r="J334" s="16" t="s">
        <v>132</v>
      </c>
      <c r="K334" s="16" t="s">
        <v>1184</v>
      </c>
      <c r="L334" s="1" t="s">
        <v>58</v>
      </c>
      <c r="M334" s="1">
        <v>0.0</v>
      </c>
      <c r="N334" s="1" t="s">
        <v>140</v>
      </c>
      <c r="O334" s="16" t="s">
        <v>27</v>
      </c>
      <c r="R334" s="1">
        <v>0.0</v>
      </c>
    </row>
    <row r="335">
      <c r="A335" s="3">
        <v>28764.0</v>
      </c>
      <c r="B335" s="5">
        <v>104.0</v>
      </c>
      <c r="C335" s="17" t="s">
        <v>4602</v>
      </c>
      <c r="D335" s="1">
        <f>IFERROR(__xludf.DUMMYFUNCTION("IF(C335="""", 0, COUNTA(SPLIT(C335, "" "")))"),2.0)</f>
        <v>2</v>
      </c>
      <c r="E335" s="8" t="s">
        <v>4603</v>
      </c>
      <c r="F335" s="12">
        <v>1933.0</v>
      </c>
      <c r="G335" s="37">
        <f t="shared" si="1"/>
        <v>73.45927447</v>
      </c>
      <c r="H335" s="27" t="s">
        <v>4604</v>
      </c>
      <c r="I335" s="33">
        <v>26728.0</v>
      </c>
      <c r="J335" s="16" t="s">
        <v>132</v>
      </c>
      <c r="K335" s="8" t="s">
        <v>4605</v>
      </c>
      <c r="L335" s="1" t="s">
        <v>58</v>
      </c>
      <c r="M335" s="1">
        <v>0.0</v>
      </c>
      <c r="N335" s="1" t="s">
        <v>140</v>
      </c>
      <c r="O335" s="16" t="s">
        <v>174</v>
      </c>
      <c r="R335" s="1">
        <v>0.0</v>
      </c>
    </row>
    <row r="336">
      <c r="A336" s="3">
        <v>28764.0</v>
      </c>
      <c r="B336" s="5">
        <v>105.0</v>
      </c>
      <c r="C336" s="8" t="s">
        <v>4606</v>
      </c>
      <c r="D336" s="1">
        <f>IFERROR(__xludf.DUMMYFUNCTION("IF(C336="""", 0, COUNTA(SPLIT(C336, "" "")))"),2.0)</f>
        <v>2</v>
      </c>
      <c r="E336" s="8" t="s">
        <v>4607</v>
      </c>
      <c r="F336" s="12">
        <v>4523.0</v>
      </c>
      <c r="G336" s="37">
        <f t="shared" si="1"/>
        <v>66.36824093</v>
      </c>
      <c r="H336" s="27" t="s">
        <v>4608</v>
      </c>
      <c r="I336" s="33">
        <v>26728.0</v>
      </c>
      <c r="J336" s="16" t="s">
        <v>132</v>
      </c>
      <c r="K336" s="8" t="s">
        <v>4609</v>
      </c>
      <c r="L336" s="1" t="s">
        <v>58</v>
      </c>
      <c r="M336" s="1">
        <v>0.0</v>
      </c>
      <c r="N336" s="1" t="s">
        <v>140</v>
      </c>
      <c r="O336" s="16" t="s">
        <v>27</v>
      </c>
      <c r="R336" s="1">
        <v>0.0</v>
      </c>
    </row>
    <row r="337">
      <c r="A337" s="3">
        <v>28764.0</v>
      </c>
      <c r="B337" s="5">
        <v>106.0</v>
      </c>
      <c r="C337" s="8" t="s">
        <v>4610</v>
      </c>
      <c r="D337" s="1">
        <f>IFERROR(__xludf.DUMMYFUNCTION("IF(C337="""", 0, COUNTA(SPLIT(C337, "" "")))"),2.0)</f>
        <v>2</v>
      </c>
      <c r="E337" s="8" t="s">
        <v>4611</v>
      </c>
      <c r="F337" s="12">
        <v>3787.0</v>
      </c>
      <c r="G337" s="37">
        <f t="shared" si="1"/>
        <v>68.38329911</v>
      </c>
      <c r="H337" s="27" t="s">
        <v>4612</v>
      </c>
      <c r="I337" s="21">
        <v>27904.0</v>
      </c>
      <c r="J337" s="16" t="s">
        <v>132</v>
      </c>
      <c r="K337" s="8" t="s">
        <v>4613</v>
      </c>
      <c r="L337" s="1" t="s">
        <v>58</v>
      </c>
      <c r="M337" s="1">
        <v>0.0</v>
      </c>
      <c r="N337" s="1" t="s">
        <v>140</v>
      </c>
      <c r="O337" s="16" t="s">
        <v>27</v>
      </c>
      <c r="R337" s="1">
        <v>0.0</v>
      </c>
    </row>
    <row r="338">
      <c r="A338" s="3">
        <v>28764.0</v>
      </c>
      <c r="B338" s="5">
        <v>107.0</v>
      </c>
      <c r="C338" s="8" t="s">
        <v>4614</v>
      </c>
      <c r="D338" s="1">
        <f>IFERROR(__xludf.DUMMYFUNCTION("IF(C338="""", 0, COUNTA(SPLIT(C338, "" "")))"),3.0)</f>
        <v>3</v>
      </c>
      <c r="E338" s="8" t="s">
        <v>4615</v>
      </c>
      <c r="F338" s="12">
        <v>2704.0</v>
      </c>
      <c r="G338" s="37">
        <f t="shared" si="1"/>
        <v>71.34839151</v>
      </c>
      <c r="H338" s="27" t="s">
        <v>4616</v>
      </c>
      <c r="I338" s="21">
        <v>27904.0</v>
      </c>
      <c r="J338" s="16" t="s">
        <v>132</v>
      </c>
      <c r="K338" s="8" t="s">
        <v>4617</v>
      </c>
      <c r="L338" s="1" t="s">
        <v>58</v>
      </c>
      <c r="M338" s="1">
        <v>0.0</v>
      </c>
      <c r="N338" s="1" t="s">
        <v>140</v>
      </c>
      <c r="O338" s="16" t="s">
        <v>27</v>
      </c>
      <c r="R338" s="1">
        <v>0.0</v>
      </c>
    </row>
    <row r="339">
      <c r="A339" s="3">
        <v>28764.0</v>
      </c>
      <c r="B339" s="5">
        <v>108.0</v>
      </c>
      <c r="C339" s="8" t="s">
        <v>4618</v>
      </c>
      <c r="D339" s="1">
        <f>IFERROR(__xludf.DUMMYFUNCTION("IF(C339="""", 0, COUNTA(SPLIT(C339, "" "")))"),2.0)</f>
        <v>2</v>
      </c>
      <c r="E339" s="8" t="s">
        <v>4619</v>
      </c>
      <c r="F339" s="12">
        <v>1281.0</v>
      </c>
      <c r="G339" s="37">
        <f t="shared" si="1"/>
        <v>75.24435318</v>
      </c>
      <c r="H339" s="27" t="s">
        <v>4620</v>
      </c>
      <c r="I339" s="21">
        <v>27904.0</v>
      </c>
      <c r="J339" s="16" t="s">
        <v>132</v>
      </c>
      <c r="K339" s="8" t="s">
        <v>4621</v>
      </c>
      <c r="L339" s="1" t="s">
        <v>58</v>
      </c>
      <c r="M339" s="1">
        <v>0.0</v>
      </c>
      <c r="N339" s="1" t="s">
        <v>140</v>
      </c>
      <c r="O339" s="16" t="s">
        <v>27</v>
      </c>
      <c r="R339" s="1">
        <v>0.0</v>
      </c>
    </row>
    <row r="340">
      <c r="A340" s="3">
        <v>28764.0</v>
      </c>
      <c r="B340" s="5">
        <v>109.0</v>
      </c>
      <c r="C340" s="8" t="s">
        <v>4622</v>
      </c>
      <c r="D340" s="1">
        <f>IFERROR(__xludf.DUMMYFUNCTION("IF(C340="""", 0, COUNTA(SPLIT(C340, "" "")))"),2.0)</f>
        <v>2</v>
      </c>
      <c r="E340" s="8" t="s">
        <v>4623</v>
      </c>
      <c r="F340" s="12">
        <v>1147.0</v>
      </c>
      <c r="G340" s="37">
        <f t="shared" si="1"/>
        <v>75.61122519</v>
      </c>
      <c r="H340" s="27" t="s">
        <v>4624</v>
      </c>
      <c r="I340" s="21">
        <v>27904.0</v>
      </c>
      <c r="J340" s="16" t="s">
        <v>132</v>
      </c>
      <c r="K340" s="8" t="s">
        <v>4625</v>
      </c>
      <c r="L340" s="1" t="s">
        <v>58</v>
      </c>
      <c r="M340" s="1">
        <v>0.0</v>
      </c>
      <c r="N340" s="1" t="s">
        <v>140</v>
      </c>
      <c r="O340" s="16" t="s">
        <v>159</v>
      </c>
      <c r="R340" s="1">
        <v>0.0</v>
      </c>
    </row>
    <row r="341">
      <c r="A341" s="3">
        <v>28764.0</v>
      </c>
      <c r="B341" s="5">
        <v>110.0</v>
      </c>
      <c r="C341" s="8" t="s">
        <v>4626</v>
      </c>
      <c r="D341" s="1">
        <f>IFERROR(__xludf.DUMMYFUNCTION("IF(C341="""", 0, COUNTA(SPLIT(C341, "" "")))"),3.0)</f>
        <v>3</v>
      </c>
      <c r="E341" s="8" t="s">
        <v>4627</v>
      </c>
      <c r="F341" s="12">
        <v>7643.0</v>
      </c>
      <c r="G341" s="37">
        <f t="shared" si="1"/>
        <v>57.82614648</v>
      </c>
      <c r="H341" s="27" t="s">
        <v>4628</v>
      </c>
      <c r="I341" s="21">
        <v>27904.0</v>
      </c>
      <c r="J341" s="16" t="s">
        <v>132</v>
      </c>
      <c r="K341" s="8" t="s">
        <v>4629</v>
      </c>
      <c r="L341" s="1" t="s">
        <v>58</v>
      </c>
      <c r="M341" s="1">
        <v>0.0</v>
      </c>
      <c r="N341" s="1" t="s">
        <v>140</v>
      </c>
      <c r="O341" s="16" t="s">
        <v>163</v>
      </c>
      <c r="R341" s="1">
        <v>4.0</v>
      </c>
    </row>
    <row r="342">
      <c r="A342" s="3">
        <v>28764.0</v>
      </c>
      <c r="B342" s="5">
        <v>111.0</v>
      </c>
      <c r="C342" s="8" t="s">
        <v>4630</v>
      </c>
      <c r="D342" s="1">
        <f>IFERROR(__xludf.DUMMYFUNCTION("IF(C342="""", 0, COUNTA(SPLIT(C342, "" "")))"),2.0)</f>
        <v>2</v>
      </c>
      <c r="E342" s="8" t="s">
        <v>4631</v>
      </c>
      <c r="F342" s="12">
        <v>8164.0</v>
      </c>
      <c r="G342" s="37">
        <f t="shared" si="1"/>
        <v>56.39972621</v>
      </c>
      <c r="H342" s="27" t="s">
        <v>4632</v>
      </c>
      <c r="I342" s="21">
        <v>28303.0</v>
      </c>
      <c r="J342" s="16" t="s">
        <v>132</v>
      </c>
      <c r="K342" s="8" t="s">
        <v>4633</v>
      </c>
      <c r="L342" s="1" t="s">
        <v>58</v>
      </c>
      <c r="M342" s="1">
        <v>0.0</v>
      </c>
      <c r="N342" s="1" t="s">
        <v>140</v>
      </c>
      <c r="O342" s="16" t="s">
        <v>174</v>
      </c>
      <c r="R342" s="1">
        <v>0.0</v>
      </c>
    </row>
    <row r="343">
      <c r="A343" s="3">
        <v>28764.0</v>
      </c>
      <c r="B343" s="5">
        <v>112.0</v>
      </c>
      <c r="C343" s="17" t="s">
        <v>4634</v>
      </c>
      <c r="D343" s="1">
        <f>IFERROR(__xludf.DUMMYFUNCTION("IF(C343="""", 0, COUNTA(SPLIT(C343, "" "")))"),3.0)</f>
        <v>3</v>
      </c>
      <c r="E343" s="8" t="s">
        <v>4635</v>
      </c>
      <c r="F343" s="12">
        <v>3567.0</v>
      </c>
      <c r="G343" s="37">
        <f t="shared" si="1"/>
        <v>68.98562628</v>
      </c>
      <c r="H343" s="27" t="s">
        <v>4636</v>
      </c>
      <c r="I343" s="21">
        <v>28303.0</v>
      </c>
      <c r="J343" s="16" t="s">
        <v>132</v>
      </c>
      <c r="K343" s="8" t="s">
        <v>4637</v>
      </c>
      <c r="L343" s="1" t="s">
        <v>58</v>
      </c>
      <c r="M343" s="1">
        <v>0.0</v>
      </c>
      <c r="N343" s="1" t="s">
        <v>140</v>
      </c>
      <c r="O343" s="16" t="s">
        <v>27</v>
      </c>
      <c r="R343" s="1">
        <v>0.0</v>
      </c>
    </row>
    <row r="344">
      <c r="A344" s="22"/>
      <c r="F344" s="22"/>
    </row>
    <row r="345">
      <c r="A345" s="22"/>
      <c r="F345" s="22"/>
    </row>
    <row r="346">
      <c r="A346" s="22"/>
      <c r="F346" s="22"/>
    </row>
    <row r="347">
      <c r="A347" s="22"/>
      <c r="F347" s="22"/>
    </row>
    <row r="348">
      <c r="A348" s="22"/>
      <c r="F348" s="22"/>
    </row>
    <row r="349">
      <c r="A349" s="22"/>
      <c r="F349" s="22"/>
    </row>
    <row r="350">
      <c r="A350" s="22"/>
      <c r="F350" s="22"/>
    </row>
    <row r="351">
      <c r="A351" s="22"/>
      <c r="F351" s="22"/>
    </row>
    <row r="352">
      <c r="A352" s="22"/>
      <c r="F352" s="22"/>
    </row>
    <row r="353">
      <c r="A353" s="22"/>
      <c r="F353" s="22"/>
    </row>
    <row r="354">
      <c r="A354" s="22"/>
      <c r="F354" s="22"/>
    </row>
    <row r="355">
      <c r="A355" s="22"/>
      <c r="F355" s="22"/>
    </row>
    <row r="356">
      <c r="A356" s="22"/>
      <c r="F356" s="22"/>
    </row>
    <row r="357">
      <c r="A357" s="22"/>
      <c r="F357" s="22"/>
    </row>
    <row r="358">
      <c r="A358" s="22"/>
      <c r="F358" s="22"/>
    </row>
    <row r="359">
      <c r="A359" s="22"/>
      <c r="F359" s="22"/>
    </row>
    <row r="360">
      <c r="A360" s="22"/>
      <c r="F360" s="22"/>
    </row>
    <row r="361">
      <c r="A361" s="22"/>
      <c r="F361" s="22"/>
    </row>
    <row r="362">
      <c r="A362" s="22"/>
      <c r="F362" s="22"/>
    </row>
    <row r="363">
      <c r="A363" s="22"/>
      <c r="F363" s="22"/>
    </row>
    <row r="364">
      <c r="A364" s="22"/>
      <c r="F364" s="22"/>
    </row>
    <row r="365">
      <c r="A365" s="22"/>
      <c r="F365" s="22"/>
    </row>
    <row r="366">
      <c r="A366" s="22"/>
      <c r="F366" s="22"/>
    </row>
    <row r="367">
      <c r="A367" s="22"/>
      <c r="F367" s="22"/>
    </row>
    <row r="368">
      <c r="A368" s="22"/>
      <c r="F368" s="22"/>
    </row>
    <row r="369">
      <c r="A369" s="22"/>
      <c r="F369" s="22"/>
    </row>
    <row r="370">
      <c r="A370" s="22"/>
      <c r="F370" s="22"/>
    </row>
    <row r="371">
      <c r="A371" s="22"/>
      <c r="F371" s="22"/>
    </row>
    <row r="372">
      <c r="A372" s="22"/>
      <c r="F372" s="22"/>
    </row>
    <row r="373">
      <c r="A373" s="22"/>
      <c r="F373" s="22"/>
    </row>
    <row r="374">
      <c r="A374" s="22"/>
      <c r="F374" s="22"/>
    </row>
    <row r="375">
      <c r="A375" s="22"/>
      <c r="F375" s="22"/>
    </row>
    <row r="376">
      <c r="A376" s="22"/>
      <c r="F376" s="22"/>
    </row>
    <row r="377">
      <c r="A377" s="22"/>
      <c r="F377" s="22"/>
    </row>
    <row r="378">
      <c r="A378" s="22"/>
      <c r="F378" s="22"/>
    </row>
    <row r="379">
      <c r="A379" s="22"/>
      <c r="F379" s="22"/>
    </row>
    <row r="380">
      <c r="A380" s="22"/>
      <c r="F380" s="22"/>
    </row>
    <row r="381">
      <c r="A381" s="22"/>
      <c r="F381" s="22"/>
    </row>
    <row r="382">
      <c r="A382" s="22"/>
      <c r="F382" s="22"/>
    </row>
    <row r="383">
      <c r="A383" s="22"/>
      <c r="F383" s="22"/>
    </row>
    <row r="384">
      <c r="A384" s="22"/>
      <c r="F384" s="22"/>
    </row>
    <row r="385">
      <c r="A385" s="22"/>
      <c r="F385" s="22"/>
    </row>
    <row r="386">
      <c r="A386" s="22"/>
      <c r="F386" s="22"/>
    </row>
    <row r="387">
      <c r="A387" s="22"/>
      <c r="F387" s="22"/>
    </row>
    <row r="388">
      <c r="A388" s="22"/>
      <c r="F388" s="22"/>
    </row>
    <row r="389">
      <c r="A389" s="22"/>
      <c r="F389" s="22"/>
    </row>
    <row r="390">
      <c r="A390" s="22"/>
      <c r="F390" s="22"/>
    </row>
    <row r="391">
      <c r="A391" s="22"/>
      <c r="F391" s="22"/>
    </row>
    <row r="392">
      <c r="A392" s="22"/>
      <c r="F392" s="22"/>
    </row>
    <row r="393">
      <c r="A393" s="22"/>
      <c r="F393" s="22"/>
    </row>
    <row r="394">
      <c r="A394" s="22"/>
      <c r="F394" s="22"/>
    </row>
    <row r="395">
      <c r="A395" s="22"/>
      <c r="F395" s="22"/>
    </row>
    <row r="396">
      <c r="A396" s="22"/>
      <c r="F396" s="22"/>
    </row>
    <row r="397">
      <c r="A397" s="22"/>
      <c r="F397" s="22"/>
    </row>
    <row r="398">
      <c r="A398" s="22"/>
      <c r="F398" s="22"/>
    </row>
    <row r="399">
      <c r="A399" s="22"/>
      <c r="F399" s="22"/>
    </row>
    <row r="400">
      <c r="A400" s="22"/>
      <c r="F400" s="22"/>
    </row>
    <row r="401">
      <c r="A401" s="22"/>
      <c r="F401" s="22"/>
    </row>
    <row r="402">
      <c r="A402" s="22"/>
      <c r="F402" s="22"/>
    </row>
    <row r="403">
      <c r="A403" s="22"/>
      <c r="F403" s="22"/>
    </row>
    <row r="404">
      <c r="A404" s="22"/>
      <c r="F404" s="22"/>
    </row>
    <row r="405">
      <c r="A405" s="22"/>
      <c r="F405" s="22"/>
    </row>
    <row r="406">
      <c r="A406" s="22"/>
      <c r="F406" s="22"/>
    </row>
    <row r="407">
      <c r="A407" s="22"/>
      <c r="F407" s="22"/>
    </row>
    <row r="408">
      <c r="A408" s="22"/>
      <c r="F408" s="22"/>
    </row>
    <row r="409">
      <c r="A409" s="22"/>
      <c r="F409" s="22"/>
    </row>
    <row r="410">
      <c r="A410" s="22"/>
      <c r="F410" s="22"/>
    </row>
    <row r="411">
      <c r="A411" s="22"/>
      <c r="F411" s="22"/>
    </row>
    <row r="412">
      <c r="A412" s="22"/>
      <c r="F412" s="22"/>
    </row>
    <row r="413">
      <c r="A413" s="22"/>
      <c r="F413" s="22"/>
    </row>
    <row r="414">
      <c r="A414" s="22"/>
      <c r="F414" s="22"/>
    </row>
    <row r="415">
      <c r="A415" s="22"/>
      <c r="F415" s="22"/>
    </row>
    <row r="416">
      <c r="A416" s="22"/>
      <c r="F416" s="22"/>
    </row>
    <row r="417">
      <c r="A417" s="22"/>
      <c r="F417" s="22"/>
    </row>
    <row r="418">
      <c r="A418" s="22"/>
      <c r="F418" s="22"/>
    </row>
    <row r="419">
      <c r="A419" s="22"/>
      <c r="F419" s="22"/>
    </row>
    <row r="420">
      <c r="A420" s="22"/>
      <c r="F420" s="22"/>
    </row>
    <row r="421">
      <c r="A421" s="22"/>
      <c r="F421" s="22"/>
    </row>
    <row r="422">
      <c r="A422" s="22"/>
      <c r="F422" s="22"/>
    </row>
    <row r="423">
      <c r="A423" s="22"/>
      <c r="F423" s="22"/>
    </row>
    <row r="424">
      <c r="A424" s="22"/>
      <c r="F424" s="22"/>
    </row>
    <row r="425">
      <c r="A425" s="22"/>
      <c r="F425" s="22"/>
    </row>
    <row r="426">
      <c r="A426" s="22"/>
      <c r="F426" s="22"/>
    </row>
    <row r="427">
      <c r="A427" s="22"/>
      <c r="F427" s="22"/>
    </row>
    <row r="428">
      <c r="A428" s="22"/>
      <c r="F428" s="22"/>
    </row>
    <row r="429">
      <c r="A429" s="22"/>
      <c r="F429" s="22"/>
    </row>
    <row r="430">
      <c r="A430" s="22"/>
      <c r="F430" s="22"/>
    </row>
    <row r="431">
      <c r="A431" s="22"/>
      <c r="F431" s="22"/>
    </row>
    <row r="432">
      <c r="A432" s="22"/>
      <c r="F432" s="22"/>
    </row>
    <row r="433">
      <c r="A433" s="22"/>
      <c r="F433" s="22"/>
    </row>
    <row r="434">
      <c r="A434" s="22"/>
      <c r="F434" s="22"/>
    </row>
    <row r="435">
      <c r="A435" s="22"/>
      <c r="F435" s="22"/>
    </row>
    <row r="436">
      <c r="A436" s="22"/>
      <c r="F436" s="22"/>
    </row>
    <row r="437">
      <c r="A437" s="22"/>
      <c r="F437" s="22"/>
    </row>
    <row r="438">
      <c r="A438" s="22"/>
      <c r="F438" s="22"/>
    </row>
    <row r="439">
      <c r="A439" s="22"/>
      <c r="F439" s="22"/>
    </row>
    <row r="440">
      <c r="A440" s="22"/>
      <c r="F440" s="22"/>
    </row>
    <row r="441">
      <c r="A441" s="22"/>
      <c r="F441" s="22"/>
    </row>
    <row r="442">
      <c r="A442" s="22"/>
      <c r="F442" s="22"/>
    </row>
    <row r="443">
      <c r="A443" s="22"/>
      <c r="F443" s="22"/>
    </row>
    <row r="444">
      <c r="A444" s="22"/>
      <c r="F444" s="22"/>
    </row>
    <row r="445">
      <c r="A445" s="22"/>
      <c r="F445" s="22"/>
    </row>
    <row r="446">
      <c r="A446" s="22"/>
      <c r="F446" s="22"/>
    </row>
    <row r="447">
      <c r="A447" s="22"/>
      <c r="F447" s="22"/>
    </row>
    <row r="448">
      <c r="A448" s="22"/>
      <c r="F448" s="22"/>
    </row>
    <row r="449">
      <c r="A449" s="22"/>
      <c r="F449" s="22"/>
    </row>
    <row r="450">
      <c r="A450" s="22"/>
      <c r="F450" s="22"/>
    </row>
    <row r="451">
      <c r="A451" s="22"/>
      <c r="F451" s="22"/>
    </row>
    <row r="452">
      <c r="A452" s="22"/>
      <c r="F452" s="22"/>
    </row>
    <row r="453">
      <c r="A453" s="22"/>
      <c r="F453" s="22"/>
    </row>
    <row r="454">
      <c r="A454" s="22"/>
      <c r="F454" s="22"/>
    </row>
    <row r="455">
      <c r="A455" s="22"/>
      <c r="F455" s="22"/>
    </row>
    <row r="456">
      <c r="A456" s="22"/>
      <c r="F456" s="22"/>
    </row>
    <row r="457">
      <c r="A457" s="22"/>
      <c r="F457" s="22"/>
    </row>
    <row r="458">
      <c r="A458" s="22"/>
      <c r="F458" s="22"/>
    </row>
    <row r="459">
      <c r="A459" s="22"/>
      <c r="F459" s="22"/>
    </row>
    <row r="460">
      <c r="A460" s="22"/>
      <c r="F460" s="22"/>
    </row>
    <row r="461">
      <c r="A461" s="22"/>
      <c r="F461" s="22"/>
    </row>
    <row r="462">
      <c r="A462" s="22"/>
      <c r="F462" s="22"/>
    </row>
    <row r="463">
      <c r="A463" s="22"/>
      <c r="F463" s="22"/>
    </row>
    <row r="464">
      <c r="A464" s="22"/>
      <c r="F464" s="22"/>
    </row>
    <row r="465">
      <c r="A465" s="22"/>
      <c r="F465" s="22"/>
    </row>
    <row r="466">
      <c r="A466" s="22"/>
      <c r="F466" s="22"/>
    </row>
    <row r="467">
      <c r="A467" s="22"/>
      <c r="F467" s="22"/>
    </row>
    <row r="468">
      <c r="A468" s="22"/>
      <c r="F468" s="22"/>
    </row>
    <row r="469">
      <c r="A469" s="22"/>
      <c r="F469" s="22"/>
    </row>
    <row r="470">
      <c r="A470" s="22"/>
      <c r="F470" s="22"/>
    </row>
    <row r="471">
      <c r="A471" s="22"/>
      <c r="F471" s="22"/>
    </row>
    <row r="472">
      <c r="A472" s="22"/>
      <c r="F472" s="22"/>
    </row>
    <row r="473">
      <c r="A473" s="22"/>
      <c r="F473" s="22"/>
    </row>
    <row r="474">
      <c r="A474" s="22"/>
      <c r="F474" s="22"/>
    </row>
    <row r="475">
      <c r="A475" s="22"/>
      <c r="F475" s="22"/>
    </row>
    <row r="476">
      <c r="A476" s="22"/>
      <c r="F476" s="22"/>
    </row>
    <row r="477">
      <c r="A477" s="22"/>
      <c r="F477" s="22"/>
    </row>
    <row r="478">
      <c r="A478" s="22"/>
      <c r="F478" s="22"/>
    </row>
    <row r="479">
      <c r="A479" s="22"/>
      <c r="F479" s="22"/>
    </row>
    <row r="480">
      <c r="A480" s="22"/>
      <c r="F480" s="22"/>
    </row>
    <row r="481">
      <c r="A481" s="22"/>
      <c r="F481" s="22"/>
    </row>
    <row r="482">
      <c r="A482" s="22"/>
      <c r="F482" s="22"/>
    </row>
    <row r="483">
      <c r="A483" s="22"/>
      <c r="F483" s="22"/>
    </row>
    <row r="484">
      <c r="A484" s="22"/>
      <c r="F484" s="22"/>
    </row>
    <row r="485">
      <c r="A485" s="22"/>
      <c r="F485" s="22"/>
    </row>
    <row r="486">
      <c r="A486" s="22"/>
      <c r="F486" s="22"/>
    </row>
    <row r="487">
      <c r="A487" s="22"/>
      <c r="F487" s="22"/>
    </row>
    <row r="488">
      <c r="A488" s="22"/>
      <c r="F488" s="22"/>
    </row>
    <row r="489">
      <c r="A489" s="22"/>
      <c r="F489" s="22"/>
    </row>
    <row r="490">
      <c r="A490" s="22"/>
      <c r="F490" s="22"/>
    </row>
    <row r="491">
      <c r="A491" s="22"/>
      <c r="F491" s="22"/>
    </row>
    <row r="492">
      <c r="A492" s="22"/>
      <c r="F492" s="22"/>
    </row>
    <row r="493">
      <c r="A493" s="22"/>
      <c r="F493" s="22"/>
    </row>
    <row r="494">
      <c r="A494" s="22"/>
      <c r="F494" s="22"/>
    </row>
    <row r="495">
      <c r="A495" s="22"/>
      <c r="F495" s="22"/>
    </row>
    <row r="496">
      <c r="A496" s="22"/>
      <c r="F496" s="22"/>
    </row>
    <row r="497">
      <c r="A497" s="22"/>
      <c r="F497" s="22"/>
    </row>
    <row r="498">
      <c r="A498" s="22"/>
      <c r="F498" s="22"/>
    </row>
    <row r="499">
      <c r="A499" s="22"/>
      <c r="F499" s="22"/>
    </row>
    <row r="500">
      <c r="A500" s="22"/>
      <c r="F500" s="22"/>
    </row>
    <row r="501">
      <c r="A501" s="22"/>
      <c r="F501" s="22"/>
    </row>
    <row r="502">
      <c r="A502" s="22"/>
      <c r="F502" s="22"/>
    </row>
    <row r="503">
      <c r="A503" s="22"/>
      <c r="F503" s="22"/>
    </row>
    <row r="504">
      <c r="A504" s="22"/>
      <c r="F504" s="22"/>
    </row>
    <row r="505">
      <c r="A505" s="22"/>
      <c r="F505" s="22"/>
    </row>
    <row r="506">
      <c r="A506" s="22"/>
      <c r="F506" s="22"/>
    </row>
    <row r="507">
      <c r="A507" s="22"/>
      <c r="F507" s="22"/>
    </row>
    <row r="508">
      <c r="A508" s="22"/>
      <c r="F508" s="22"/>
    </row>
    <row r="509">
      <c r="A509" s="22"/>
      <c r="F509" s="22"/>
    </row>
    <row r="510">
      <c r="A510" s="22"/>
      <c r="F510" s="22"/>
    </row>
    <row r="511">
      <c r="A511" s="22"/>
      <c r="F511" s="22"/>
    </row>
    <row r="512">
      <c r="A512" s="22"/>
      <c r="F512" s="22"/>
    </row>
    <row r="513">
      <c r="A513" s="22"/>
      <c r="F513" s="22"/>
    </row>
    <row r="514">
      <c r="A514" s="22"/>
      <c r="F514" s="22"/>
    </row>
    <row r="515">
      <c r="A515" s="22"/>
      <c r="F515" s="22"/>
    </row>
    <row r="516">
      <c r="A516" s="22"/>
      <c r="F516" s="22"/>
    </row>
    <row r="517">
      <c r="A517" s="22"/>
      <c r="F517" s="22"/>
    </row>
    <row r="518">
      <c r="A518" s="22"/>
      <c r="F518" s="22"/>
    </row>
    <row r="519">
      <c r="A519" s="22"/>
      <c r="F519" s="22"/>
    </row>
    <row r="520">
      <c r="A520" s="22"/>
      <c r="F520" s="22"/>
    </row>
    <row r="521">
      <c r="A521" s="22"/>
      <c r="F521" s="22"/>
    </row>
    <row r="522">
      <c r="A522" s="22"/>
      <c r="F522" s="22"/>
    </row>
    <row r="523">
      <c r="A523" s="22"/>
      <c r="F523" s="22"/>
    </row>
    <row r="524">
      <c r="A524" s="22"/>
      <c r="F524" s="22"/>
    </row>
    <row r="525">
      <c r="A525" s="22"/>
      <c r="F525" s="22"/>
    </row>
    <row r="526">
      <c r="A526" s="22"/>
      <c r="F526" s="22"/>
    </row>
    <row r="527">
      <c r="A527" s="22"/>
      <c r="F527" s="22"/>
    </row>
    <row r="528">
      <c r="A528" s="22"/>
      <c r="F528" s="22"/>
    </row>
    <row r="529">
      <c r="A529" s="22"/>
      <c r="F529" s="22"/>
    </row>
    <row r="530">
      <c r="A530" s="22"/>
      <c r="F530" s="22"/>
    </row>
    <row r="531">
      <c r="A531" s="22"/>
      <c r="F531" s="22"/>
    </row>
    <row r="532">
      <c r="A532" s="22"/>
      <c r="F532" s="22"/>
    </row>
    <row r="533">
      <c r="A533" s="22"/>
      <c r="F533" s="22"/>
    </row>
    <row r="534">
      <c r="A534" s="22"/>
      <c r="F534" s="22"/>
    </row>
    <row r="535">
      <c r="A535" s="22"/>
      <c r="F535" s="22"/>
    </row>
    <row r="536">
      <c r="A536" s="22"/>
      <c r="F536" s="22"/>
    </row>
    <row r="537">
      <c r="A537" s="22"/>
      <c r="F537" s="22"/>
    </row>
    <row r="538">
      <c r="A538" s="22"/>
      <c r="F538" s="22"/>
    </row>
    <row r="539">
      <c r="A539" s="22"/>
      <c r="F539" s="22"/>
    </row>
    <row r="540">
      <c r="A540" s="22"/>
      <c r="F540" s="22"/>
    </row>
    <row r="541">
      <c r="A541" s="22"/>
      <c r="F541" s="22"/>
    </row>
    <row r="542">
      <c r="A542" s="22"/>
      <c r="F542" s="22"/>
    </row>
    <row r="543">
      <c r="A543" s="22"/>
      <c r="F543" s="22"/>
    </row>
    <row r="544">
      <c r="A544" s="22"/>
      <c r="F544" s="22"/>
    </row>
    <row r="545">
      <c r="A545" s="22"/>
      <c r="F545" s="22"/>
    </row>
    <row r="546">
      <c r="A546" s="22"/>
      <c r="F546" s="22"/>
    </row>
    <row r="547">
      <c r="A547" s="22"/>
      <c r="F547" s="22"/>
    </row>
    <row r="548">
      <c r="A548" s="22"/>
      <c r="F548" s="22"/>
    </row>
    <row r="549">
      <c r="A549" s="22"/>
      <c r="F549" s="22"/>
    </row>
    <row r="550">
      <c r="A550" s="22"/>
      <c r="F550" s="22"/>
    </row>
    <row r="551">
      <c r="A551" s="22"/>
      <c r="F551" s="22"/>
    </row>
    <row r="552">
      <c r="A552" s="22"/>
      <c r="F552" s="22"/>
    </row>
    <row r="553">
      <c r="A553" s="22"/>
      <c r="F553" s="22"/>
    </row>
    <row r="554">
      <c r="A554" s="22"/>
      <c r="F554" s="22"/>
    </row>
    <row r="555">
      <c r="A555" s="22"/>
      <c r="F555" s="22"/>
    </row>
    <row r="556">
      <c r="A556" s="22"/>
      <c r="F556" s="22"/>
    </row>
    <row r="557">
      <c r="A557" s="22"/>
      <c r="F557" s="22"/>
    </row>
    <row r="558">
      <c r="A558" s="22"/>
      <c r="F558" s="22"/>
    </row>
    <row r="559">
      <c r="A559" s="22"/>
      <c r="F559" s="22"/>
    </row>
    <row r="560">
      <c r="A560" s="22"/>
      <c r="F560" s="22"/>
    </row>
    <row r="561">
      <c r="A561" s="22"/>
      <c r="F561" s="22"/>
    </row>
    <row r="562">
      <c r="A562" s="22"/>
      <c r="F562" s="22"/>
    </row>
    <row r="563">
      <c r="A563" s="22"/>
      <c r="F563" s="22"/>
    </row>
    <row r="564">
      <c r="A564" s="22"/>
      <c r="F564" s="22"/>
    </row>
    <row r="565">
      <c r="A565" s="22"/>
      <c r="F565" s="22"/>
    </row>
    <row r="566">
      <c r="A566" s="22"/>
      <c r="F566" s="22"/>
    </row>
    <row r="567">
      <c r="A567" s="22"/>
      <c r="F567" s="22"/>
    </row>
    <row r="568">
      <c r="A568" s="22"/>
      <c r="F568" s="22"/>
    </row>
    <row r="569">
      <c r="A569" s="22"/>
      <c r="F569" s="22"/>
    </row>
    <row r="570">
      <c r="A570" s="22"/>
      <c r="F570" s="22"/>
    </row>
    <row r="571">
      <c r="A571" s="22"/>
      <c r="F571" s="22"/>
    </row>
    <row r="572">
      <c r="A572" s="22"/>
      <c r="F572" s="22"/>
    </row>
    <row r="573">
      <c r="A573" s="22"/>
      <c r="F573" s="22"/>
    </row>
    <row r="574">
      <c r="A574" s="22"/>
      <c r="F574" s="22"/>
    </row>
    <row r="575">
      <c r="A575" s="22"/>
      <c r="F575" s="22"/>
    </row>
    <row r="576">
      <c r="A576" s="22"/>
      <c r="F576" s="22"/>
    </row>
    <row r="577">
      <c r="A577" s="22"/>
      <c r="F577" s="22"/>
    </row>
    <row r="578">
      <c r="A578" s="22"/>
      <c r="F578" s="22"/>
    </row>
    <row r="579">
      <c r="A579" s="22"/>
      <c r="F579" s="22"/>
    </row>
    <row r="580">
      <c r="A580" s="22"/>
      <c r="F580" s="22"/>
    </row>
    <row r="581">
      <c r="A581" s="22"/>
      <c r="F581" s="22"/>
    </row>
    <row r="582">
      <c r="A582" s="22"/>
      <c r="F582" s="22"/>
    </row>
    <row r="583">
      <c r="A583" s="22"/>
      <c r="F583" s="22"/>
    </row>
    <row r="584">
      <c r="A584" s="22"/>
      <c r="F584" s="22"/>
    </row>
    <row r="585">
      <c r="A585" s="22"/>
      <c r="F585" s="22"/>
    </row>
    <row r="586">
      <c r="A586" s="22"/>
      <c r="F586" s="22"/>
    </row>
    <row r="587">
      <c r="A587" s="22"/>
      <c r="F587" s="22"/>
    </row>
    <row r="588">
      <c r="A588" s="22"/>
      <c r="F588" s="22"/>
    </row>
    <row r="589">
      <c r="A589" s="22"/>
      <c r="F589" s="22"/>
    </row>
    <row r="590">
      <c r="A590" s="22"/>
      <c r="F590" s="22"/>
    </row>
    <row r="591">
      <c r="A591" s="22"/>
      <c r="F591" s="22"/>
    </row>
    <row r="592">
      <c r="A592" s="22"/>
      <c r="F592" s="22"/>
    </row>
    <row r="593">
      <c r="A593" s="22"/>
      <c r="F593" s="22"/>
    </row>
    <row r="594">
      <c r="A594" s="22"/>
      <c r="F594" s="22"/>
    </row>
    <row r="595">
      <c r="A595" s="22"/>
      <c r="F595" s="22"/>
    </row>
    <row r="596">
      <c r="A596" s="22"/>
      <c r="F596" s="22"/>
    </row>
    <row r="597">
      <c r="A597" s="22"/>
      <c r="F597" s="22"/>
    </row>
    <row r="598">
      <c r="A598" s="22"/>
      <c r="F598" s="22"/>
    </row>
    <row r="599">
      <c r="A599" s="22"/>
      <c r="F599" s="22"/>
    </row>
    <row r="600">
      <c r="A600" s="22"/>
      <c r="F600" s="22"/>
    </row>
    <row r="601">
      <c r="A601" s="22"/>
      <c r="F601" s="22"/>
    </row>
    <row r="602">
      <c r="A602" s="22"/>
      <c r="F602" s="22"/>
    </row>
    <row r="603">
      <c r="A603" s="22"/>
      <c r="F603" s="22"/>
    </row>
    <row r="604">
      <c r="A604" s="22"/>
      <c r="F604" s="22"/>
    </row>
    <row r="605">
      <c r="A605" s="22"/>
      <c r="F605" s="22"/>
    </row>
    <row r="606">
      <c r="A606" s="22"/>
      <c r="F606" s="22"/>
    </row>
    <row r="607">
      <c r="A607" s="22"/>
      <c r="F607" s="22"/>
    </row>
    <row r="608">
      <c r="A608" s="22"/>
      <c r="F608" s="22"/>
    </row>
    <row r="609">
      <c r="A609" s="22"/>
      <c r="F609" s="22"/>
    </row>
    <row r="610">
      <c r="A610" s="22"/>
      <c r="F610" s="22"/>
    </row>
    <row r="611">
      <c r="A611" s="22"/>
      <c r="F611" s="22"/>
    </row>
    <row r="612">
      <c r="A612" s="22"/>
      <c r="F612" s="22"/>
    </row>
    <row r="613">
      <c r="A613" s="22"/>
      <c r="F613" s="22"/>
    </row>
    <row r="614">
      <c r="A614" s="22"/>
      <c r="F614" s="22"/>
    </row>
    <row r="615">
      <c r="A615" s="22"/>
      <c r="F615" s="22"/>
    </row>
    <row r="616">
      <c r="A616" s="22"/>
      <c r="F616" s="22"/>
    </row>
    <row r="617">
      <c r="A617" s="22"/>
      <c r="F617" s="22"/>
    </row>
    <row r="618">
      <c r="A618" s="22"/>
      <c r="F618" s="22"/>
    </row>
    <row r="619">
      <c r="A619" s="22"/>
      <c r="F619" s="22"/>
    </row>
    <row r="620">
      <c r="A620" s="22"/>
      <c r="F620" s="22"/>
    </row>
    <row r="621">
      <c r="A621" s="22"/>
      <c r="F621" s="22"/>
    </row>
    <row r="622">
      <c r="A622" s="22"/>
      <c r="F622" s="22"/>
    </row>
    <row r="623">
      <c r="A623" s="22"/>
      <c r="F623" s="22"/>
    </row>
    <row r="624">
      <c r="A624" s="22"/>
      <c r="F624" s="22"/>
    </row>
    <row r="625">
      <c r="A625" s="22"/>
      <c r="F625" s="22"/>
    </row>
    <row r="626">
      <c r="A626" s="22"/>
      <c r="F626" s="22"/>
    </row>
    <row r="627">
      <c r="A627" s="22"/>
      <c r="F627" s="22"/>
    </row>
    <row r="628">
      <c r="A628" s="22"/>
      <c r="F628" s="22"/>
    </row>
    <row r="629">
      <c r="A629" s="22"/>
      <c r="F629" s="22"/>
    </row>
    <row r="630">
      <c r="A630" s="22"/>
      <c r="F630" s="22"/>
    </row>
    <row r="631">
      <c r="A631" s="22"/>
      <c r="F631" s="22"/>
    </row>
    <row r="632">
      <c r="A632" s="22"/>
      <c r="F632" s="22"/>
    </row>
    <row r="633">
      <c r="A633" s="22"/>
      <c r="F633" s="22"/>
    </row>
    <row r="634">
      <c r="A634" s="22"/>
      <c r="F634" s="22"/>
    </row>
    <row r="635">
      <c r="A635" s="22"/>
      <c r="F635" s="22"/>
    </row>
    <row r="636">
      <c r="A636" s="22"/>
      <c r="F636" s="22"/>
    </row>
    <row r="637">
      <c r="A637" s="22"/>
      <c r="F637" s="22"/>
    </row>
    <row r="638">
      <c r="A638" s="22"/>
      <c r="F638" s="22"/>
    </row>
    <row r="639">
      <c r="A639" s="22"/>
      <c r="F639" s="22"/>
    </row>
    <row r="640">
      <c r="A640" s="22"/>
      <c r="F640" s="22"/>
    </row>
    <row r="641">
      <c r="A641" s="22"/>
      <c r="F641" s="22"/>
    </row>
    <row r="642">
      <c r="A642" s="22"/>
      <c r="F642" s="22"/>
    </row>
    <row r="643">
      <c r="A643" s="22"/>
      <c r="F643" s="22"/>
    </row>
    <row r="644">
      <c r="A644" s="22"/>
      <c r="F644" s="22"/>
    </row>
    <row r="645">
      <c r="A645" s="22"/>
      <c r="F645" s="22"/>
    </row>
    <row r="646">
      <c r="A646" s="22"/>
      <c r="F646" s="22"/>
    </row>
    <row r="647">
      <c r="A647" s="22"/>
      <c r="F647" s="22"/>
    </row>
    <row r="648">
      <c r="A648" s="22"/>
      <c r="F648" s="22"/>
    </row>
    <row r="649">
      <c r="A649" s="22"/>
      <c r="F649" s="22"/>
    </row>
    <row r="650">
      <c r="A650" s="22"/>
      <c r="F650" s="22"/>
    </row>
    <row r="651">
      <c r="A651" s="22"/>
      <c r="F651" s="22"/>
    </row>
    <row r="652">
      <c r="A652" s="22"/>
      <c r="F652" s="22"/>
    </row>
    <row r="653">
      <c r="A653" s="22"/>
      <c r="F653" s="22"/>
    </row>
    <row r="654">
      <c r="A654" s="22"/>
      <c r="F654" s="22"/>
    </row>
    <row r="655">
      <c r="A655" s="22"/>
      <c r="F655" s="22"/>
    </row>
    <row r="656">
      <c r="A656" s="22"/>
      <c r="F656" s="22"/>
    </row>
    <row r="657">
      <c r="A657" s="22"/>
      <c r="F657" s="22"/>
    </row>
    <row r="658">
      <c r="A658" s="22"/>
      <c r="F658" s="22"/>
    </row>
    <row r="659">
      <c r="A659" s="22"/>
      <c r="F659" s="22"/>
    </row>
    <row r="660">
      <c r="A660" s="22"/>
      <c r="F660" s="22"/>
    </row>
    <row r="661">
      <c r="A661" s="22"/>
      <c r="F661" s="22"/>
    </row>
    <row r="662">
      <c r="A662" s="22"/>
      <c r="F662" s="22"/>
    </row>
    <row r="663">
      <c r="A663" s="22"/>
      <c r="F663" s="22"/>
    </row>
    <row r="664">
      <c r="A664" s="22"/>
      <c r="F664" s="22"/>
    </row>
    <row r="665">
      <c r="A665" s="22"/>
      <c r="F665" s="22"/>
    </row>
    <row r="666">
      <c r="A666" s="22"/>
      <c r="F666" s="22"/>
    </row>
    <row r="667">
      <c r="A667" s="22"/>
      <c r="F667" s="22"/>
    </row>
    <row r="668">
      <c r="A668" s="22"/>
      <c r="F668" s="22"/>
    </row>
    <row r="669">
      <c r="A669" s="22"/>
      <c r="F669" s="22"/>
    </row>
    <row r="670">
      <c r="A670" s="22"/>
      <c r="F670" s="22"/>
    </row>
    <row r="671">
      <c r="A671" s="22"/>
      <c r="F671" s="22"/>
    </row>
    <row r="672">
      <c r="A672" s="22"/>
      <c r="F672" s="22"/>
    </row>
    <row r="673">
      <c r="A673" s="22"/>
      <c r="F673" s="22"/>
    </row>
    <row r="674">
      <c r="A674" s="22"/>
      <c r="F674" s="22"/>
    </row>
    <row r="675">
      <c r="A675" s="22"/>
      <c r="F675" s="22"/>
    </row>
    <row r="676">
      <c r="A676" s="22"/>
      <c r="F676" s="22"/>
    </row>
    <row r="677">
      <c r="A677" s="22"/>
      <c r="F677" s="22"/>
    </row>
    <row r="678">
      <c r="A678" s="22"/>
      <c r="F678" s="22"/>
    </row>
    <row r="679">
      <c r="A679" s="22"/>
      <c r="F679" s="22"/>
    </row>
    <row r="680">
      <c r="A680" s="22"/>
      <c r="F680" s="22"/>
    </row>
    <row r="681">
      <c r="A681" s="22"/>
      <c r="F681" s="22"/>
    </row>
    <row r="682">
      <c r="A682" s="22"/>
      <c r="F682" s="22"/>
    </row>
    <row r="683">
      <c r="A683" s="22"/>
      <c r="F683" s="22"/>
    </row>
    <row r="684">
      <c r="A684" s="22"/>
      <c r="F684" s="22"/>
    </row>
    <row r="685">
      <c r="A685" s="22"/>
      <c r="F685" s="22"/>
    </row>
    <row r="686">
      <c r="A686" s="22"/>
      <c r="F686" s="22"/>
    </row>
    <row r="687">
      <c r="A687" s="22"/>
      <c r="F687" s="22"/>
    </row>
    <row r="688">
      <c r="A688" s="22"/>
      <c r="F688" s="22"/>
    </row>
    <row r="689">
      <c r="A689" s="22"/>
      <c r="F689" s="22"/>
    </row>
    <row r="690">
      <c r="A690" s="22"/>
      <c r="F690" s="22"/>
    </row>
    <row r="691">
      <c r="A691" s="22"/>
      <c r="F691" s="22"/>
    </row>
    <row r="692">
      <c r="A692" s="22"/>
      <c r="F692" s="22"/>
    </row>
    <row r="693">
      <c r="A693" s="22"/>
      <c r="F693" s="22"/>
    </row>
    <row r="694">
      <c r="A694" s="22"/>
      <c r="F694" s="22"/>
    </row>
    <row r="695">
      <c r="A695" s="22"/>
      <c r="F695" s="22"/>
    </row>
    <row r="696">
      <c r="A696" s="22"/>
      <c r="F696" s="22"/>
    </row>
    <row r="697">
      <c r="A697" s="22"/>
      <c r="F697" s="22"/>
    </row>
    <row r="698">
      <c r="A698" s="22"/>
      <c r="F698" s="22"/>
    </row>
    <row r="699">
      <c r="A699" s="22"/>
      <c r="F699" s="22"/>
    </row>
    <row r="700">
      <c r="A700" s="22"/>
      <c r="F700" s="22"/>
    </row>
    <row r="701">
      <c r="A701" s="22"/>
      <c r="F701" s="22"/>
    </row>
    <row r="702">
      <c r="A702" s="22"/>
      <c r="F702" s="22"/>
    </row>
    <row r="703">
      <c r="A703" s="22"/>
      <c r="F703" s="22"/>
    </row>
    <row r="704">
      <c r="A704" s="22"/>
      <c r="F704" s="22"/>
    </row>
    <row r="705">
      <c r="A705" s="22"/>
      <c r="F705" s="22"/>
    </row>
    <row r="706">
      <c r="A706" s="22"/>
      <c r="F706" s="22"/>
    </row>
    <row r="707">
      <c r="A707" s="22"/>
      <c r="F707" s="22"/>
    </row>
    <row r="708">
      <c r="A708" s="22"/>
      <c r="F708" s="22"/>
    </row>
    <row r="709">
      <c r="A709" s="22"/>
      <c r="F709" s="22"/>
    </row>
    <row r="710">
      <c r="A710" s="22"/>
      <c r="F710" s="22"/>
    </row>
    <row r="711">
      <c r="A711" s="22"/>
      <c r="F711" s="22"/>
    </row>
    <row r="712">
      <c r="A712" s="22"/>
      <c r="F712" s="22"/>
    </row>
    <row r="713">
      <c r="A713" s="22"/>
      <c r="F713" s="22"/>
    </row>
    <row r="714">
      <c r="A714" s="22"/>
      <c r="F714" s="22"/>
    </row>
    <row r="715">
      <c r="A715" s="22"/>
      <c r="F715" s="22"/>
    </row>
    <row r="716">
      <c r="A716" s="22"/>
      <c r="F716" s="22"/>
    </row>
    <row r="717">
      <c r="A717" s="22"/>
      <c r="F717" s="22"/>
    </row>
    <row r="718">
      <c r="A718" s="22"/>
      <c r="F718" s="22"/>
    </row>
    <row r="719">
      <c r="A719" s="22"/>
      <c r="F719" s="22"/>
    </row>
    <row r="720">
      <c r="A720" s="22"/>
      <c r="F720" s="22"/>
    </row>
    <row r="721">
      <c r="A721" s="22"/>
      <c r="F721" s="22"/>
    </row>
    <row r="722">
      <c r="A722" s="22"/>
      <c r="F722" s="22"/>
    </row>
    <row r="723">
      <c r="A723" s="22"/>
      <c r="F723" s="22"/>
    </row>
    <row r="724">
      <c r="A724" s="22"/>
      <c r="F724" s="22"/>
    </row>
    <row r="725">
      <c r="A725" s="22"/>
      <c r="F725" s="22"/>
    </row>
    <row r="726">
      <c r="A726" s="22"/>
      <c r="F726" s="22"/>
    </row>
    <row r="727">
      <c r="A727" s="22"/>
      <c r="F727" s="22"/>
    </row>
    <row r="728">
      <c r="A728" s="22"/>
      <c r="F728" s="22"/>
    </row>
    <row r="729">
      <c r="A729" s="22"/>
      <c r="F729" s="22"/>
    </row>
    <row r="730">
      <c r="A730" s="22"/>
      <c r="F730" s="22"/>
    </row>
    <row r="731">
      <c r="A731" s="22"/>
      <c r="F731" s="22"/>
    </row>
    <row r="732">
      <c r="A732" s="22"/>
      <c r="F732" s="22"/>
    </row>
    <row r="733">
      <c r="A733" s="22"/>
      <c r="F733" s="22"/>
    </row>
    <row r="734">
      <c r="A734" s="22"/>
      <c r="F734" s="22"/>
    </row>
    <row r="735">
      <c r="A735" s="22"/>
      <c r="F735" s="22"/>
    </row>
    <row r="736">
      <c r="A736" s="22"/>
      <c r="F736" s="22"/>
    </row>
    <row r="737">
      <c r="A737" s="22"/>
      <c r="F737" s="22"/>
    </row>
    <row r="738">
      <c r="A738" s="22"/>
      <c r="F738" s="22"/>
    </row>
    <row r="739">
      <c r="A739" s="22"/>
      <c r="F739" s="22"/>
    </row>
    <row r="740">
      <c r="A740" s="22"/>
      <c r="F740" s="22"/>
    </row>
    <row r="741">
      <c r="A741" s="22"/>
      <c r="F741" s="22"/>
    </row>
    <row r="742">
      <c r="A742" s="22"/>
      <c r="F742" s="22"/>
    </row>
    <row r="743">
      <c r="A743" s="22"/>
      <c r="F743" s="22"/>
    </row>
    <row r="744">
      <c r="A744" s="22"/>
      <c r="F744" s="22"/>
    </row>
    <row r="745">
      <c r="A745" s="22"/>
      <c r="F745" s="22"/>
    </row>
    <row r="746">
      <c r="A746" s="22"/>
      <c r="F746" s="22"/>
    </row>
    <row r="747">
      <c r="A747" s="22"/>
      <c r="F747" s="22"/>
    </row>
    <row r="748">
      <c r="A748" s="22"/>
      <c r="F748" s="22"/>
    </row>
    <row r="749">
      <c r="A749" s="22"/>
      <c r="F749" s="22"/>
    </row>
    <row r="750">
      <c r="A750" s="22"/>
      <c r="F750" s="22"/>
    </row>
    <row r="751">
      <c r="A751" s="22"/>
      <c r="F751" s="22"/>
    </row>
    <row r="752">
      <c r="A752" s="22"/>
      <c r="F752" s="22"/>
    </row>
    <row r="753">
      <c r="A753" s="22"/>
      <c r="F753" s="22"/>
    </row>
    <row r="754">
      <c r="A754" s="22"/>
      <c r="F754" s="22"/>
    </row>
    <row r="755">
      <c r="A755" s="22"/>
      <c r="F755" s="22"/>
    </row>
    <row r="756">
      <c r="A756" s="22"/>
      <c r="F756" s="22"/>
    </row>
    <row r="757">
      <c r="A757" s="22"/>
      <c r="F757" s="22"/>
    </row>
    <row r="758">
      <c r="A758" s="22"/>
      <c r="F758" s="22"/>
    </row>
    <row r="759">
      <c r="A759" s="22"/>
      <c r="F759" s="22"/>
    </row>
    <row r="760">
      <c r="A760" s="22"/>
      <c r="F760" s="22"/>
    </row>
    <row r="761">
      <c r="A761" s="22"/>
      <c r="F761" s="22"/>
    </row>
    <row r="762">
      <c r="A762" s="22"/>
      <c r="F762" s="22"/>
    </row>
    <row r="763">
      <c r="A763" s="22"/>
      <c r="F763" s="22"/>
    </row>
    <row r="764">
      <c r="A764" s="22"/>
      <c r="F764" s="22"/>
    </row>
    <row r="765">
      <c r="A765" s="22"/>
      <c r="F765" s="22"/>
    </row>
    <row r="766">
      <c r="A766" s="22"/>
      <c r="F766" s="22"/>
    </row>
    <row r="767">
      <c r="A767" s="22"/>
      <c r="F767" s="22"/>
    </row>
    <row r="768">
      <c r="A768" s="22"/>
      <c r="F768" s="22"/>
    </row>
    <row r="769">
      <c r="A769" s="22"/>
      <c r="F769" s="22"/>
    </row>
    <row r="770">
      <c r="A770" s="22"/>
      <c r="F770" s="22"/>
    </row>
    <row r="771">
      <c r="A771" s="22"/>
      <c r="F771" s="22"/>
    </row>
    <row r="772">
      <c r="A772" s="22"/>
      <c r="F772" s="22"/>
    </row>
    <row r="773">
      <c r="A773" s="22"/>
      <c r="F773" s="22"/>
    </row>
    <row r="774">
      <c r="A774" s="22"/>
      <c r="F774" s="22"/>
    </row>
    <row r="775">
      <c r="A775" s="22"/>
      <c r="F775" s="22"/>
    </row>
    <row r="776">
      <c r="A776" s="22"/>
      <c r="F776" s="22"/>
    </row>
    <row r="777">
      <c r="A777" s="22"/>
      <c r="F777" s="22"/>
    </row>
    <row r="778">
      <c r="A778" s="22"/>
      <c r="F778" s="22"/>
    </row>
    <row r="779">
      <c r="A779" s="22"/>
      <c r="F779" s="22"/>
    </row>
    <row r="780">
      <c r="A780" s="22"/>
      <c r="F780" s="22"/>
    </row>
    <row r="781">
      <c r="A781" s="22"/>
      <c r="F781" s="22"/>
    </row>
    <row r="782">
      <c r="A782" s="22"/>
      <c r="F782" s="22"/>
    </row>
    <row r="783">
      <c r="A783" s="22"/>
      <c r="F783" s="22"/>
    </row>
    <row r="784">
      <c r="A784" s="22"/>
      <c r="F784" s="22"/>
    </row>
    <row r="785">
      <c r="A785" s="22"/>
      <c r="F785" s="22"/>
    </row>
    <row r="786">
      <c r="A786" s="22"/>
      <c r="F786" s="22"/>
    </row>
    <row r="787">
      <c r="A787" s="22"/>
      <c r="F787" s="22"/>
    </row>
    <row r="788">
      <c r="A788" s="22"/>
      <c r="F788" s="22"/>
    </row>
    <row r="789">
      <c r="A789" s="22"/>
      <c r="F789" s="22"/>
    </row>
    <row r="790">
      <c r="A790" s="22"/>
      <c r="F790" s="22"/>
    </row>
    <row r="791">
      <c r="A791" s="22"/>
      <c r="F791" s="22"/>
    </row>
    <row r="792">
      <c r="A792" s="22"/>
      <c r="F792" s="22"/>
    </row>
    <row r="793">
      <c r="A793" s="22"/>
      <c r="F793" s="22"/>
    </row>
    <row r="794">
      <c r="A794" s="22"/>
      <c r="F794" s="22"/>
    </row>
    <row r="795">
      <c r="A795" s="22"/>
      <c r="F795" s="22"/>
    </row>
    <row r="796">
      <c r="A796" s="22"/>
      <c r="F796" s="22"/>
    </row>
    <row r="797">
      <c r="A797" s="22"/>
      <c r="F797" s="22"/>
    </row>
    <row r="798">
      <c r="A798" s="22"/>
      <c r="F798" s="22"/>
    </row>
    <row r="799">
      <c r="A799" s="22"/>
      <c r="F799" s="22"/>
    </row>
    <row r="800">
      <c r="A800" s="22"/>
      <c r="F800" s="22"/>
    </row>
    <row r="801">
      <c r="A801" s="22"/>
      <c r="F801" s="22"/>
    </row>
    <row r="802">
      <c r="A802" s="22"/>
      <c r="F802" s="22"/>
    </row>
    <row r="803">
      <c r="A803" s="22"/>
      <c r="F803" s="22"/>
    </row>
    <row r="804">
      <c r="A804" s="22"/>
      <c r="F804" s="22"/>
    </row>
    <row r="805">
      <c r="A805" s="22"/>
      <c r="F805" s="22"/>
    </row>
    <row r="806">
      <c r="A806" s="22"/>
      <c r="F806" s="22"/>
    </row>
    <row r="807">
      <c r="A807" s="22"/>
      <c r="F807" s="22"/>
    </row>
    <row r="808">
      <c r="A808" s="22"/>
      <c r="F808" s="22"/>
    </row>
    <row r="809">
      <c r="A809" s="22"/>
      <c r="F809" s="22"/>
    </row>
    <row r="810">
      <c r="A810" s="22"/>
      <c r="F810" s="22"/>
    </row>
    <row r="811">
      <c r="A811" s="22"/>
      <c r="F811" s="22"/>
    </row>
    <row r="812">
      <c r="A812" s="22"/>
      <c r="F812" s="22"/>
    </row>
    <row r="813">
      <c r="A813" s="22"/>
      <c r="F813" s="22"/>
    </row>
    <row r="814">
      <c r="A814" s="22"/>
      <c r="F814" s="22"/>
    </row>
    <row r="815">
      <c r="A815" s="22"/>
      <c r="F815" s="22"/>
    </row>
    <row r="816">
      <c r="A816" s="22"/>
      <c r="F816" s="22"/>
    </row>
    <row r="817">
      <c r="A817" s="22"/>
      <c r="F817" s="22"/>
    </row>
    <row r="818">
      <c r="A818" s="22"/>
      <c r="F818" s="22"/>
    </row>
    <row r="819">
      <c r="A819" s="22"/>
      <c r="F819" s="22"/>
    </row>
    <row r="820">
      <c r="A820" s="22"/>
      <c r="F820" s="22"/>
    </row>
    <row r="821">
      <c r="A821" s="22"/>
      <c r="F821" s="22"/>
    </row>
    <row r="822">
      <c r="A822" s="22"/>
      <c r="F822" s="22"/>
    </row>
    <row r="823">
      <c r="A823" s="22"/>
      <c r="F823" s="22"/>
    </row>
    <row r="824">
      <c r="A824" s="22"/>
      <c r="F824" s="22"/>
    </row>
    <row r="825">
      <c r="A825" s="22"/>
      <c r="F825" s="22"/>
    </row>
    <row r="826">
      <c r="A826" s="22"/>
      <c r="F826" s="22"/>
    </row>
    <row r="827">
      <c r="A827" s="22"/>
      <c r="F827" s="22"/>
    </row>
    <row r="828">
      <c r="A828" s="22"/>
      <c r="F828" s="22"/>
    </row>
    <row r="829">
      <c r="A829" s="22"/>
      <c r="F829" s="22"/>
    </row>
    <row r="830">
      <c r="A830" s="22"/>
      <c r="F830" s="22"/>
    </row>
    <row r="831">
      <c r="A831" s="22"/>
      <c r="F831" s="22"/>
    </row>
    <row r="832">
      <c r="A832" s="22"/>
      <c r="F832" s="22"/>
    </row>
    <row r="833">
      <c r="A833" s="22"/>
      <c r="F833" s="22"/>
    </row>
    <row r="834">
      <c r="A834" s="22"/>
      <c r="F834" s="22"/>
    </row>
    <row r="835">
      <c r="A835" s="22"/>
      <c r="F835" s="22"/>
    </row>
    <row r="836">
      <c r="A836" s="22"/>
      <c r="F836" s="22"/>
    </row>
    <row r="837">
      <c r="A837" s="22"/>
      <c r="F837" s="22"/>
    </row>
    <row r="838">
      <c r="A838" s="22"/>
      <c r="F838" s="22"/>
    </row>
    <row r="839">
      <c r="A839" s="22"/>
      <c r="F839" s="22"/>
    </row>
    <row r="840">
      <c r="A840" s="22"/>
      <c r="F840" s="22"/>
    </row>
    <row r="841">
      <c r="A841" s="22"/>
      <c r="F841" s="22"/>
    </row>
    <row r="842">
      <c r="A842" s="22"/>
      <c r="F842" s="22"/>
    </row>
    <row r="843">
      <c r="A843" s="22"/>
      <c r="F843" s="22"/>
    </row>
    <row r="844">
      <c r="A844" s="22"/>
      <c r="F844" s="22"/>
    </row>
    <row r="845">
      <c r="A845" s="22"/>
      <c r="F845" s="22"/>
    </row>
    <row r="846">
      <c r="A846" s="22"/>
      <c r="F846" s="22"/>
    </row>
    <row r="847">
      <c r="A847" s="22"/>
      <c r="F847" s="22"/>
    </row>
    <row r="848">
      <c r="A848" s="22"/>
      <c r="F848" s="22"/>
    </row>
    <row r="849">
      <c r="A849" s="22"/>
      <c r="F849" s="22"/>
    </row>
    <row r="850">
      <c r="A850" s="22"/>
      <c r="F850" s="22"/>
    </row>
    <row r="851">
      <c r="A851" s="22"/>
      <c r="F851" s="22"/>
    </row>
    <row r="852">
      <c r="A852" s="22"/>
      <c r="F852" s="22"/>
    </row>
    <row r="853">
      <c r="A853" s="22"/>
      <c r="F853" s="22"/>
    </row>
    <row r="854">
      <c r="A854" s="22"/>
      <c r="F854" s="22"/>
    </row>
    <row r="855">
      <c r="A855" s="22"/>
      <c r="F855" s="22"/>
    </row>
    <row r="856">
      <c r="A856" s="22"/>
      <c r="F856" s="22"/>
    </row>
    <row r="857">
      <c r="A857" s="22"/>
      <c r="F857" s="22"/>
    </row>
    <row r="858">
      <c r="A858" s="22"/>
      <c r="F858" s="22"/>
    </row>
    <row r="859">
      <c r="A859" s="22"/>
      <c r="F859" s="22"/>
    </row>
    <row r="860">
      <c r="A860" s="22"/>
      <c r="F860" s="22"/>
    </row>
    <row r="861">
      <c r="A861" s="22"/>
      <c r="F861" s="22"/>
    </row>
    <row r="862">
      <c r="A862" s="22"/>
      <c r="F862" s="22"/>
    </row>
    <row r="863">
      <c r="A863" s="22"/>
      <c r="F863" s="22"/>
    </row>
    <row r="864">
      <c r="A864" s="22"/>
      <c r="F864" s="22"/>
    </row>
    <row r="865">
      <c r="A865" s="22"/>
      <c r="F865" s="22"/>
    </row>
    <row r="866">
      <c r="A866" s="22"/>
      <c r="F866" s="22"/>
    </row>
    <row r="867">
      <c r="A867" s="22"/>
      <c r="F867" s="22"/>
    </row>
    <row r="868">
      <c r="A868" s="22"/>
      <c r="F868" s="22"/>
    </row>
    <row r="869">
      <c r="A869" s="22"/>
      <c r="F869" s="22"/>
    </row>
    <row r="870">
      <c r="A870" s="22"/>
      <c r="F870" s="22"/>
    </row>
    <row r="871">
      <c r="A871" s="22"/>
      <c r="F871" s="22"/>
    </row>
    <row r="872">
      <c r="A872" s="22"/>
      <c r="F872" s="22"/>
    </row>
    <row r="873">
      <c r="A873" s="22"/>
      <c r="F873" s="22"/>
    </row>
    <row r="874">
      <c r="A874" s="22"/>
      <c r="F874" s="22"/>
    </row>
    <row r="875">
      <c r="A875" s="22"/>
      <c r="F875" s="22"/>
    </row>
    <row r="876">
      <c r="A876" s="22"/>
      <c r="F876" s="22"/>
    </row>
    <row r="877">
      <c r="A877" s="22"/>
      <c r="F877" s="22"/>
    </row>
    <row r="878">
      <c r="A878" s="22"/>
      <c r="F878" s="22"/>
    </row>
    <row r="879">
      <c r="A879" s="22"/>
      <c r="F879" s="22"/>
    </row>
    <row r="880">
      <c r="A880" s="22"/>
      <c r="F880" s="22"/>
    </row>
    <row r="881">
      <c r="A881" s="22"/>
      <c r="F881" s="22"/>
    </row>
    <row r="882">
      <c r="A882" s="22"/>
      <c r="F882" s="22"/>
    </row>
    <row r="883">
      <c r="A883" s="22"/>
      <c r="F883" s="22"/>
    </row>
    <row r="884">
      <c r="A884" s="22"/>
      <c r="F884" s="22"/>
    </row>
    <row r="885">
      <c r="A885" s="22"/>
      <c r="F885" s="22"/>
    </row>
    <row r="886">
      <c r="A886" s="22"/>
      <c r="F886" s="22"/>
    </row>
    <row r="887">
      <c r="A887" s="22"/>
      <c r="F887" s="22"/>
    </row>
    <row r="888">
      <c r="A888" s="22"/>
      <c r="F888" s="22"/>
    </row>
    <row r="889">
      <c r="A889" s="22"/>
      <c r="F889" s="22"/>
    </row>
    <row r="890">
      <c r="A890" s="22"/>
      <c r="F890" s="22"/>
    </row>
    <row r="891">
      <c r="A891" s="22"/>
      <c r="F891" s="22"/>
    </row>
    <row r="892">
      <c r="A892" s="22"/>
      <c r="F892" s="22"/>
    </row>
    <row r="893">
      <c r="A893" s="22"/>
      <c r="F893" s="22"/>
    </row>
    <row r="894">
      <c r="A894" s="22"/>
      <c r="F894" s="22"/>
    </row>
    <row r="895">
      <c r="A895" s="22"/>
      <c r="F895" s="22"/>
    </row>
    <row r="896">
      <c r="A896" s="22"/>
      <c r="F896" s="22"/>
    </row>
    <row r="897">
      <c r="A897" s="22"/>
      <c r="F897" s="22"/>
    </row>
    <row r="898">
      <c r="A898" s="22"/>
      <c r="F898" s="22"/>
    </row>
    <row r="899">
      <c r="A899" s="22"/>
      <c r="F899" s="22"/>
    </row>
    <row r="900">
      <c r="A900" s="22"/>
      <c r="F900" s="22"/>
    </row>
    <row r="901">
      <c r="A901" s="22"/>
      <c r="F901" s="22"/>
    </row>
    <row r="902">
      <c r="A902" s="22"/>
      <c r="F902" s="22"/>
    </row>
    <row r="903">
      <c r="A903" s="22"/>
      <c r="F903" s="22"/>
    </row>
    <row r="904">
      <c r="A904" s="22"/>
      <c r="F904" s="22"/>
    </row>
    <row r="905">
      <c r="A905" s="22"/>
      <c r="F905" s="22"/>
    </row>
    <row r="906">
      <c r="A906" s="22"/>
      <c r="F906" s="22"/>
    </row>
    <row r="907">
      <c r="A907" s="22"/>
      <c r="F907" s="22"/>
    </row>
    <row r="908">
      <c r="A908" s="22"/>
      <c r="F908" s="22"/>
    </row>
    <row r="909">
      <c r="A909" s="22"/>
      <c r="F909" s="22"/>
    </row>
    <row r="910">
      <c r="A910" s="22"/>
      <c r="F910" s="22"/>
    </row>
    <row r="911">
      <c r="A911" s="22"/>
      <c r="F911" s="22"/>
    </row>
    <row r="912">
      <c r="A912" s="22"/>
      <c r="F912" s="22"/>
    </row>
    <row r="913">
      <c r="A913" s="22"/>
      <c r="F913" s="22"/>
    </row>
    <row r="914">
      <c r="A914" s="22"/>
      <c r="F914" s="22"/>
    </row>
    <row r="915">
      <c r="A915" s="22"/>
      <c r="F915" s="22"/>
    </row>
    <row r="916">
      <c r="A916" s="22"/>
      <c r="F916" s="22"/>
    </row>
    <row r="917">
      <c r="A917" s="22"/>
      <c r="F917" s="22"/>
    </row>
    <row r="918">
      <c r="A918" s="22"/>
      <c r="F918" s="22"/>
    </row>
    <row r="919">
      <c r="A919" s="22"/>
      <c r="F919" s="22"/>
    </row>
    <row r="920">
      <c r="A920" s="22"/>
      <c r="F920" s="22"/>
    </row>
    <row r="921">
      <c r="A921" s="22"/>
      <c r="F921" s="22"/>
    </row>
    <row r="922">
      <c r="A922" s="22"/>
      <c r="F922" s="22"/>
    </row>
    <row r="923">
      <c r="A923" s="22"/>
      <c r="F923" s="22"/>
    </row>
    <row r="924">
      <c r="A924" s="22"/>
      <c r="F924" s="22"/>
    </row>
    <row r="925">
      <c r="A925" s="22"/>
      <c r="F925" s="22"/>
    </row>
    <row r="926">
      <c r="A926" s="22"/>
      <c r="F926" s="22"/>
    </row>
    <row r="927">
      <c r="A927" s="22"/>
      <c r="F927" s="22"/>
    </row>
    <row r="928">
      <c r="A928" s="22"/>
      <c r="F928" s="22"/>
    </row>
    <row r="929">
      <c r="A929" s="22"/>
      <c r="F929" s="22"/>
    </row>
    <row r="930">
      <c r="A930" s="22"/>
      <c r="F930" s="22"/>
    </row>
    <row r="931">
      <c r="A931" s="22"/>
      <c r="F931" s="22"/>
    </row>
    <row r="932">
      <c r="A932" s="22"/>
      <c r="F932" s="22"/>
    </row>
    <row r="933">
      <c r="A933" s="22"/>
      <c r="F933" s="22"/>
    </row>
    <row r="934">
      <c r="A934" s="22"/>
      <c r="F934" s="22"/>
    </row>
    <row r="935">
      <c r="A935" s="22"/>
      <c r="F935" s="22"/>
    </row>
    <row r="936">
      <c r="A936" s="22"/>
      <c r="F936" s="22"/>
    </row>
    <row r="937">
      <c r="A937" s="22"/>
      <c r="F937" s="22"/>
    </row>
    <row r="938">
      <c r="A938" s="22"/>
      <c r="F938" s="22"/>
    </row>
    <row r="939">
      <c r="A939" s="22"/>
      <c r="F939" s="22"/>
    </row>
    <row r="940">
      <c r="A940" s="22"/>
      <c r="F940" s="22"/>
    </row>
    <row r="941">
      <c r="A941" s="22"/>
      <c r="F941" s="22"/>
    </row>
    <row r="942">
      <c r="A942" s="22"/>
      <c r="F942" s="22"/>
    </row>
    <row r="943">
      <c r="A943" s="22"/>
      <c r="F943" s="22"/>
    </row>
    <row r="944">
      <c r="A944" s="22"/>
      <c r="F944" s="22"/>
    </row>
    <row r="945">
      <c r="A945" s="22"/>
      <c r="F945" s="22"/>
    </row>
    <row r="946">
      <c r="A946" s="22"/>
      <c r="F946" s="22"/>
    </row>
    <row r="947">
      <c r="A947" s="22"/>
      <c r="F947" s="22"/>
    </row>
    <row r="948">
      <c r="A948" s="22"/>
      <c r="F948" s="22"/>
    </row>
    <row r="949">
      <c r="A949" s="22"/>
      <c r="F949" s="22"/>
    </row>
    <row r="950">
      <c r="A950" s="22"/>
      <c r="F950" s="22"/>
    </row>
    <row r="951">
      <c r="A951" s="22"/>
      <c r="F951" s="22"/>
    </row>
    <row r="952">
      <c r="A952" s="22"/>
      <c r="F952" s="22"/>
    </row>
    <row r="953">
      <c r="A953" s="22"/>
      <c r="F953" s="22"/>
    </row>
    <row r="954">
      <c r="A954" s="22"/>
      <c r="F954" s="22"/>
    </row>
    <row r="955">
      <c r="A955" s="22"/>
      <c r="F955" s="22"/>
    </row>
    <row r="956">
      <c r="A956" s="22"/>
      <c r="F956" s="22"/>
    </row>
    <row r="957">
      <c r="A957" s="22"/>
      <c r="F957" s="22"/>
    </row>
    <row r="958">
      <c r="A958" s="22"/>
      <c r="F958" s="22"/>
    </row>
    <row r="959">
      <c r="A959" s="22"/>
      <c r="F959" s="22"/>
    </row>
    <row r="960">
      <c r="A960" s="22"/>
      <c r="F960" s="22"/>
    </row>
    <row r="961">
      <c r="A961" s="22"/>
      <c r="F961" s="22"/>
    </row>
    <row r="962">
      <c r="A962" s="22"/>
      <c r="F962" s="22"/>
    </row>
    <row r="963">
      <c r="A963" s="22"/>
      <c r="F963" s="22"/>
    </row>
    <row r="964">
      <c r="A964" s="22"/>
      <c r="F964" s="22"/>
    </row>
    <row r="965">
      <c r="A965" s="22"/>
      <c r="F965" s="22"/>
    </row>
    <row r="966">
      <c r="A966" s="22"/>
      <c r="F966" s="22"/>
    </row>
    <row r="967">
      <c r="A967" s="22"/>
      <c r="F967" s="22"/>
    </row>
    <row r="968">
      <c r="A968" s="22"/>
      <c r="F968" s="22"/>
    </row>
    <row r="969">
      <c r="A969" s="22"/>
      <c r="F969" s="22"/>
    </row>
    <row r="970">
      <c r="A970" s="22"/>
      <c r="F970" s="22"/>
    </row>
    <row r="971">
      <c r="A971" s="22"/>
      <c r="F971" s="22"/>
    </row>
    <row r="972">
      <c r="A972" s="22"/>
      <c r="F972" s="22"/>
    </row>
    <row r="973">
      <c r="A973" s="22"/>
      <c r="F973" s="22"/>
    </row>
    <row r="974">
      <c r="A974" s="22"/>
      <c r="F974" s="22"/>
    </row>
    <row r="975">
      <c r="A975" s="22"/>
      <c r="F975" s="22"/>
    </row>
    <row r="976">
      <c r="A976" s="22"/>
      <c r="F976" s="22"/>
    </row>
    <row r="977">
      <c r="A977" s="22"/>
      <c r="F977" s="22"/>
    </row>
    <row r="978">
      <c r="A978" s="22"/>
      <c r="F978" s="22"/>
    </row>
    <row r="979">
      <c r="A979" s="22"/>
      <c r="F979" s="22"/>
    </row>
    <row r="980">
      <c r="A980" s="22"/>
      <c r="F980" s="22"/>
    </row>
    <row r="981">
      <c r="A981" s="22"/>
      <c r="F981" s="22"/>
    </row>
    <row r="982">
      <c r="A982" s="22"/>
      <c r="F982" s="22"/>
    </row>
    <row r="983">
      <c r="A983" s="22"/>
      <c r="F983" s="22"/>
    </row>
    <row r="984">
      <c r="A984" s="22"/>
      <c r="F984" s="22"/>
    </row>
    <row r="985">
      <c r="A985" s="22"/>
      <c r="F985" s="22"/>
    </row>
    <row r="986">
      <c r="A986" s="22"/>
      <c r="F986" s="22"/>
    </row>
    <row r="987">
      <c r="A987" s="22"/>
      <c r="F987" s="22"/>
    </row>
    <row r="988">
      <c r="A988" s="22"/>
      <c r="F988" s="22"/>
    </row>
    <row r="989">
      <c r="A989" s="22"/>
      <c r="F989" s="22"/>
    </row>
    <row r="990">
      <c r="A990" s="22"/>
      <c r="F990" s="22"/>
    </row>
    <row r="991">
      <c r="A991" s="22"/>
      <c r="F991" s="22"/>
    </row>
    <row r="992">
      <c r="A992" s="22"/>
      <c r="F992" s="22"/>
    </row>
    <row r="993">
      <c r="A993" s="22"/>
      <c r="F993" s="22"/>
    </row>
    <row r="994">
      <c r="A994" s="22"/>
      <c r="F994" s="22"/>
    </row>
    <row r="995">
      <c r="A995" s="22"/>
      <c r="F995" s="22"/>
    </row>
    <row r="996">
      <c r="A996" s="22"/>
      <c r="F996" s="22"/>
    </row>
  </sheetData>
  <hyperlinks>
    <hyperlink r:id="rId1" ref="C2"/>
    <hyperlink r:id="rId2" ref="E2"/>
    <hyperlink r:id="rId3" ref="H2"/>
    <hyperlink r:id="rId4" ref="K2"/>
    <hyperlink r:id="rId5" ref="C3"/>
    <hyperlink r:id="rId6" ref="E3"/>
    <hyperlink r:id="rId7" ref="H3"/>
    <hyperlink r:id="rId8" ref="K3"/>
    <hyperlink r:id="rId9" ref="C4"/>
    <hyperlink r:id="rId10" ref="E4"/>
    <hyperlink r:id="rId11" ref="H4"/>
    <hyperlink r:id="rId12" ref="K4"/>
    <hyperlink r:id="rId13" ref="C5"/>
    <hyperlink r:id="rId14" ref="E5"/>
    <hyperlink r:id="rId15" ref="H5"/>
    <hyperlink r:id="rId16" ref="K5"/>
    <hyperlink r:id="rId17" ref="C6"/>
    <hyperlink r:id="rId18" ref="E6"/>
    <hyperlink r:id="rId19" ref="H6"/>
    <hyperlink r:id="rId20" ref="K6"/>
    <hyperlink r:id="rId21" ref="C7"/>
    <hyperlink r:id="rId22" ref="E7"/>
    <hyperlink r:id="rId23" ref="H7"/>
    <hyperlink r:id="rId24" ref="K7"/>
    <hyperlink r:id="rId25" ref="C8"/>
    <hyperlink r:id="rId26" ref="E8"/>
    <hyperlink r:id="rId27" ref="H8"/>
    <hyperlink r:id="rId28" ref="K8"/>
    <hyperlink r:id="rId29" ref="C9"/>
    <hyperlink r:id="rId30" ref="E9"/>
    <hyperlink r:id="rId31" ref="H9"/>
    <hyperlink r:id="rId32" ref="K9"/>
    <hyperlink r:id="rId33" ref="C10"/>
    <hyperlink r:id="rId34" ref="E10"/>
    <hyperlink r:id="rId35" ref="H10"/>
    <hyperlink r:id="rId36" ref="K10"/>
    <hyperlink r:id="rId37" ref="C11"/>
    <hyperlink r:id="rId38" ref="E11"/>
    <hyperlink r:id="rId39" ref="H11"/>
    <hyperlink r:id="rId40" ref="K11"/>
    <hyperlink r:id="rId41" ref="C12"/>
    <hyperlink r:id="rId42" ref="E12"/>
    <hyperlink r:id="rId43" ref="H12"/>
    <hyperlink r:id="rId44" ref="K12"/>
    <hyperlink r:id="rId45" ref="C13"/>
    <hyperlink r:id="rId46" ref="E13"/>
    <hyperlink r:id="rId47" ref="H13"/>
    <hyperlink r:id="rId48" ref="K13"/>
    <hyperlink r:id="rId49" ref="C14"/>
    <hyperlink r:id="rId50" ref="E14"/>
    <hyperlink r:id="rId51" ref="H14"/>
    <hyperlink r:id="rId52" ref="K14"/>
    <hyperlink r:id="rId53" ref="C15"/>
    <hyperlink r:id="rId54" ref="E15"/>
    <hyperlink r:id="rId55" ref="H15"/>
    <hyperlink r:id="rId56" ref="K15"/>
    <hyperlink r:id="rId57" ref="C16"/>
    <hyperlink r:id="rId58" ref="E16"/>
    <hyperlink r:id="rId59" ref="H16"/>
    <hyperlink r:id="rId60" ref="K16"/>
    <hyperlink r:id="rId61" ref="C17"/>
    <hyperlink r:id="rId62" ref="E17"/>
    <hyperlink r:id="rId63" ref="H17"/>
    <hyperlink r:id="rId64" ref="K17"/>
    <hyperlink r:id="rId65" ref="C18"/>
    <hyperlink r:id="rId66" ref="E18"/>
    <hyperlink r:id="rId67" ref="H18"/>
    <hyperlink r:id="rId68" ref="K18"/>
    <hyperlink r:id="rId69" ref="C19"/>
    <hyperlink r:id="rId70" ref="E19"/>
    <hyperlink r:id="rId71" ref="H19"/>
    <hyperlink r:id="rId72" ref="K19"/>
    <hyperlink r:id="rId73" ref="C20"/>
    <hyperlink r:id="rId74" ref="E20"/>
    <hyperlink r:id="rId75" ref="H20"/>
    <hyperlink r:id="rId76" ref="K20"/>
    <hyperlink r:id="rId77" ref="C21"/>
    <hyperlink r:id="rId78" ref="E21"/>
    <hyperlink r:id="rId79" ref="H21"/>
    <hyperlink r:id="rId80" ref="K21"/>
    <hyperlink r:id="rId81" ref="C22"/>
    <hyperlink r:id="rId82" ref="E22"/>
    <hyperlink r:id="rId83" ref="H22"/>
    <hyperlink r:id="rId84" ref="K22"/>
    <hyperlink r:id="rId85" ref="C23"/>
    <hyperlink r:id="rId86" ref="E23"/>
    <hyperlink r:id="rId87" ref="H23"/>
    <hyperlink r:id="rId88" ref="K23"/>
    <hyperlink r:id="rId89" ref="C24"/>
    <hyperlink r:id="rId90" ref="E24"/>
    <hyperlink r:id="rId91" ref="H24"/>
    <hyperlink r:id="rId92" ref="K24"/>
    <hyperlink r:id="rId93" ref="C25"/>
    <hyperlink r:id="rId94" ref="E25"/>
    <hyperlink r:id="rId95" ref="H25"/>
    <hyperlink r:id="rId96" ref="K25"/>
    <hyperlink r:id="rId97" ref="C26"/>
    <hyperlink r:id="rId98" ref="E26"/>
    <hyperlink r:id="rId99" ref="H26"/>
    <hyperlink r:id="rId100" ref="K26"/>
    <hyperlink r:id="rId101" ref="C27"/>
    <hyperlink r:id="rId102" ref="E27"/>
    <hyperlink r:id="rId103" ref="H27"/>
    <hyperlink r:id="rId104" ref="K27"/>
    <hyperlink r:id="rId105" ref="C28"/>
    <hyperlink r:id="rId106" ref="E28"/>
    <hyperlink r:id="rId107" ref="H28"/>
    <hyperlink r:id="rId108" ref="K28"/>
    <hyperlink r:id="rId109" ref="C29"/>
    <hyperlink r:id="rId110" ref="E29"/>
    <hyperlink r:id="rId111" ref="H29"/>
    <hyperlink r:id="rId112" ref="K29"/>
    <hyperlink r:id="rId113" ref="C30"/>
    <hyperlink r:id="rId114" ref="E30"/>
    <hyperlink r:id="rId115" ref="H30"/>
    <hyperlink r:id="rId116" ref="K30"/>
    <hyperlink r:id="rId117" ref="C31"/>
    <hyperlink r:id="rId118" ref="E31"/>
    <hyperlink r:id="rId119" ref="H31"/>
    <hyperlink r:id="rId120" ref="K31"/>
    <hyperlink r:id="rId121" ref="C32"/>
    <hyperlink r:id="rId122" ref="E32"/>
    <hyperlink r:id="rId123" ref="H32"/>
    <hyperlink r:id="rId124" ref="K32"/>
    <hyperlink r:id="rId125" ref="C33"/>
    <hyperlink r:id="rId126" ref="E33"/>
    <hyperlink r:id="rId127" ref="H33"/>
    <hyperlink r:id="rId128" ref="K33"/>
    <hyperlink r:id="rId129" ref="C34"/>
    <hyperlink r:id="rId130" ref="E34"/>
    <hyperlink r:id="rId131" ref="H34"/>
    <hyperlink r:id="rId132" ref="K34"/>
    <hyperlink r:id="rId133" ref="C35"/>
    <hyperlink r:id="rId134" ref="E35"/>
    <hyperlink r:id="rId135" ref="H35"/>
    <hyperlink r:id="rId136" ref="K35"/>
    <hyperlink r:id="rId137" ref="C36"/>
    <hyperlink r:id="rId138" ref="E36"/>
    <hyperlink r:id="rId139" ref="H36"/>
    <hyperlink r:id="rId140" ref="K36"/>
    <hyperlink r:id="rId141" ref="C37"/>
    <hyperlink r:id="rId142" ref="E37"/>
    <hyperlink r:id="rId143" ref="H37"/>
    <hyperlink r:id="rId144" ref="K37"/>
    <hyperlink r:id="rId145" ref="C38"/>
    <hyperlink r:id="rId146" ref="E38"/>
    <hyperlink r:id="rId147" ref="H38"/>
    <hyperlink r:id="rId148" ref="K38"/>
    <hyperlink r:id="rId149" ref="C39"/>
    <hyperlink r:id="rId150" ref="E39"/>
    <hyperlink r:id="rId151" ref="H39"/>
    <hyperlink r:id="rId152" ref="K39"/>
    <hyperlink r:id="rId153" ref="C40"/>
    <hyperlink r:id="rId154" ref="E40"/>
    <hyperlink r:id="rId155" ref="H40"/>
    <hyperlink r:id="rId156" ref="K40"/>
    <hyperlink r:id="rId157" ref="C41"/>
    <hyperlink r:id="rId158" ref="E41"/>
    <hyperlink r:id="rId159" ref="H41"/>
    <hyperlink r:id="rId160" ref="K41"/>
    <hyperlink r:id="rId161" ref="C42"/>
    <hyperlink r:id="rId162" ref="E42"/>
    <hyperlink r:id="rId163" ref="H42"/>
    <hyperlink r:id="rId164" ref="K42"/>
    <hyperlink r:id="rId165" ref="C43"/>
    <hyperlink r:id="rId166" ref="E43"/>
    <hyperlink r:id="rId167" ref="H43"/>
    <hyperlink r:id="rId168" ref="K43"/>
    <hyperlink r:id="rId169" ref="C44"/>
    <hyperlink r:id="rId170" ref="E44"/>
    <hyperlink r:id="rId171" ref="H44"/>
    <hyperlink r:id="rId172" ref="K44"/>
    <hyperlink r:id="rId173" ref="C45"/>
    <hyperlink r:id="rId174" ref="E45"/>
    <hyperlink r:id="rId175" ref="H45"/>
    <hyperlink r:id="rId176" ref="K45"/>
    <hyperlink r:id="rId177" ref="C46"/>
    <hyperlink r:id="rId178" ref="E46"/>
    <hyperlink r:id="rId179" ref="H46"/>
    <hyperlink r:id="rId180" ref="K46"/>
    <hyperlink r:id="rId181" ref="C47"/>
    <hyperlink r:id="rId182" ref="E47"/>
    <hyperlink r:id="rId183" ref="H47"/>
    <hyperlink r:id="rId184" ref="K47"/>
    <hyperlink r:id="rId185" ref="C48"/>
    <hyperlink r:id="rId186" ref="E48"/>
    <hyperlink r:id="rId187" ref="H48"/>
    <hyperlink r:id="rId188" ref="K48"/>
    <hyperlink r:id="rId189" ref="C49"/>
    <hyperlink r:id="rId190" ref="E49"/>
    <hyperlink r:id="rId191" ref="H49"/>
    <hyperlink r:id="rId192" ref="K49"/>
    <hyperlink r:id="rId193" ref="C50"/>
    <hyperlink r:id="rId194" ref="E50"/>
    <hyperlink r:id="rId195" ref="H50"/>
    <hyperlink r:id="rId196" ref="K50"/>
    <hyperlink r:id="rId197" ref="C51"/>
    <hyperlink r:id="rId198" ref="E51"/>
    <hyperlink r:id="rId199" ref="H51"/>
    <hyperlink r:id="rId200" ref="K51"/>
    <hyperlink r:id="rId201" ref="C52"/>
    <hyperlink r:id="rId202" ref="E52"/>
    <hyperlink r:id="rId203" ref="H52"/>
    <hyperlink r:id="rId204" ref="K52"/>
    <hyperlink r:id="rId205" ref="C53"/>
    <hyperlink r:id="rId206" ref="E53"/>
    <hyperlink r:id="rId207" ref="H53"/>
    <hyperlink r:id="rId208" ref="K53"/>
    <hyperlink r:id="rId209" ref="C54"/>
    <hyperlink r:id="rId210" ref="E54"/>
    <hyperlink r:id="rId211" ref="H54"/>
    <hyperlink r:id="rId212" ref="K54"/>
    <hyperlink r:id="rId213" ref="C55"/>
    <hyperlink r:id="rId214" ref="E55"/>
    <hyperlink r:id="rId215" ref="H55"/>
    <hyperlink r:id="rId216" ref="K55"/>
    <hyperlink r:id="rId217" ref="C56"/>
    <hyperlink r:id="rId218" ref="E56"/>
    <hyperlink r:id="rId219" ref="H56"/>
    <hyperlink r:id="rId220" ref="K56"/>
    <hyperlink r:id="rId221" ref="C57"/>
    <hyperlink r:id="rId222" ref="E57"/>
    <hyperlink r:id="rId223" ref="H57"/>
    <hyperlink r:id="rId224" ref="K57"/>
    <hyperlink r:id="rId225" ref="C58"/>
    <hyperlink r:id="rId226" ref="E58"/>
    <hyperlink r:id="rId227" ref="H58"/>
    <hyperlink r:id="rId228" ref="K58"/>
    <hyperlink r:id="rId229" ref="C59"/>
    <hyperlink r:id="rId230" ref="E59"/>
    <hyperlink r:id="rId231" ref="H59"/>
    <hyperlink r:id="rId232" ref="K59"/>
    <hyperlink r:id="rId233" ref="C60"/>
    <hyperlink r:id="rId234" ref="E60"/>
    <hyperlink r:id="rId235" ref="H60"/>
    <hyperlink r:id="rId236" ref="K60"/>
    <hyperlink r:id="rId237" ref="C61"/>
    <hyperlink r:id="rId238" ref="E61"/>
    <hyperlink r:id="rId239" ref="H61"/>
    <hyperlink r:id="rId240" ref="K61"/>
    <hyperlink r:id="rId241" ref="C62"/>
    <hyperlink r:id="rId242" ref="E62"/>
    <hyperlink r:id="rId243" ref="H62"/>
    <hyperlink r:id="rId244" ref="K62"/>
    <hyperlink r:id="rId245" ref="C63"/>
    <hyperlink r:id="rId246" ref="E63"/>
    <hyperlink r:id="rId247" ref="H63"/>
    <hyperlink r:id="rId248" ref="K63"/>
    <hyperlink r:id="rId249" ref="C64"/>
    <hyperlink r:id="rId250" ref="E64"/>
    <hyperlink r:id="rId251" ref="H64"/>
    <hyperlink r:id="rId252" ref="K64"/>
    <hyperlink r:id="rId253" ref="C65"/>
    <hyperlink r:id="rId254" ref="E65"/>
    <hyperlink r:id="rId255" ref="H65"/>
    <hyperlink r:id="rId256" ref="K65"/>
    <hyperlink r:id="rId257" ref="C66"/>
    <hyperlink r:id="rId258" ref="E66"/>
    <hyperlink r:id="rId259" location="cite_note-82" ref="F66"/>
    <hyperlink r:id="rId260" ref="H66"/>
    <hyperlink r:id="rId261" ref="K66"/>
    <hyperlink r:id="rId262" ref="C67"/>
    <hyperlink r:id="rId263" ref="E67"/>
    <hyperlink r:id="rId264" ref="H67"/>
    <hyperlink r:id="rId265" ref="K67"/>
    <hyperlink r:id="rId266" ref="C68"/>
    <hyperlink r:id="rId267" ref="E68"/>
    <hyperlink r:id="rId268" ref="H68"/>
    <hyperlink r:id="rId269" ref="K68"/>
    <hyperlink r:id="rId270" ref="C69"/>
    <hyperlink r:id="rId271" ref="E69"/>
    <hyperlink r:id="rId272" ref="H69"/>
    <hyperlink r:id="rId273" ref="K69"/>
    <hyperlink r:id="rId274" ref="C70"/>
    <hyperlink r:id="rId275" ref="E70"/>
    <hyperlink r:id="rId276" ref="H70"/>
    <hyperlink r:id="rId277" ref="K70"/>
    <hyperlink r:id="rId278" ref="C71"/>
    <hyperlink r:id="rId279" ref="E71"/>
    <hyperlink r:id="rId280" ref="H71"/>
    <hyperlink r:id="rId281" ref="K71"/>
    <hyperlink r:id="rId282" ref="C72"/>
    <hyperlink r:id="rId283" ref="E72"/>
    <hyperlink r:id="rId284" ref="H72"/>
    <hyperlink r:id="rId285" ref="K72"/>
    <hyperlink r:id="rId286" ref="C73"/>
    <hyperlink r:id="rId287" ref="E73"/>
    <hyperlink r:id="rId288" ref="H73"/>
    <hyperlink r:id="rId289" ref="K73"/>
    <hyperlink r:id="rId290" ref="C74"/>
    <hyperlink r:id="rId291" ref="E74"/>
    <hyperlink r:id="rId292" ref="H74"/>
    <hyperlink r:id="rId293" ref="K74"/>
    <hyperlink r:id="rId294" ref="C75"/>
    <hyperlink r:id="rId295" ref="E75"/>
    <hyperlink r:id="rId296" ref="H75"/>
    <hyperlink r:id="rId297" ref="K75"/>
    <hyperlink r:id="rId298" ref="C76"/>
    <hyperlink r:id="rId299" ref="E76"/>
    <hyperlink r:id="rId300" ref="H76"/>
    <hyperlink r:id="rId301" ref="K76"/>
    <hyperlink r:id="rId302" ref="C77"/>
    <hyperlink r:id="rId303" ref="E77"/>
    <hyperlink r:id="rId304" ref="H77"/>
    <hyperlink r:id="rId305" ref="K77"/>
    <hyperlink r:id="rId306" ref="C78"/>
    <hyperlink r:id="rId307" ref="E78"/>
    <hyperlink r:id="rId308" ref="H78"/>
    <hyperlink r:id="rId309" ref="K78"/>
    <hyperlink r:id="rId310" ref="C79"/>
    <hyperlink r:id="rId311" ref="E79"/>
    <hyperlink r:id="rId312" ref="H79"/>
    <hyperlink r:id="rId313" ref="K79"/>
    <hyperlink r:id="rId314" ref="C80"/>
    <hyperlink r:id="rId315" ref="E80"/>
    <hyperlink r:id="rId316" ref="H80"/>
    <hyperlink r:id="rId317" ref="K80"/>
    <hyperlink r:id="rId318" ref="C81"/>
    <hyperlink r:id="rId319" ref="E81"/>
    <hyperlink r:id="rId320" ref="H81"/>
    <hyperlink r:id="rId321" ref="K81"/>
    <hyperlink r:id="rId322" ref="C82"/>
    <hyperlink r:id="rId323" ref="E82"/>
    <hyperlink r:id="rId324" ref="H82"/>
    <hyperlink r:id="rId325" ref="K82"/>
    <hyperlink r:id="rId326" ref="C83"/>
    <hyperlink r:id="rId327" ref="E83"/>
    <hyperlink r:id="rId328" ref="H83"/>
    <hyperlink r:id="rId329" ref="K83"/>
    <hyperlink r:id="rId330" ref="C84"/>
    <hyperlink r:id="rId331" ref="E84"/>
    <hyperlink r:id="rId332" ref="H84"/>
    <hyperlink r:id="rId333" ref="K84"/>
    <hyperlink r:id="rId334" ref="C85"/>
    <hyperlink r:id="rId335" ref="E85"/>
    <hyperlink r:id="rId336" ref="H85"/>
    <hyperlink r:id="rId337" ref="K85"/>
    <hyperlink r:id="rId338" ref="C86"/>
    <hyperlink r:id="rId339" ref="E86"/>
    <hyperlink r:id="rId340" ref="H86"/>
    <hyperlink r:id="rId341" ref="K86"/>
    <hyperlink r:id="rId342" ref="C87"/>
    <hyperlink r:id="rId343" ref="E87"/>
    <hyperlink r:id="rId344" ref="H87"/>
    <hyperlink r:id="rId345" ref="K87"/>
    <hyperlink r:id="rId346" ref="C88"/>
    <hyperlink r:id="rId347" ref="E88"/>
    <hyperlink r:id="rId348" ref="H88"/>
    <hyperlink r:id="rId349" ref="K88"/>
    <hyperlink r:id="rId350" ref="C89"/>
    <hyperlink r:id="rId351" ref="E89"/>
    <hyperlink r:id="rId352" ref="H89"/>
    <hyperlink r:id="rId353" ref="K89"/>
    <hyperlink r:id="rId354" ref="C90"/>
    <hyperlink r:id="rId355" ref="E90"/>
    <hyperlink r:id="rId356" ref="H90"/>
    <hyperlink r:id="rId357" ref="K90"/>
    <hyperlink r:id="rId358" ref="C91"/>
    <hyperlink r:id="rId359" ref="E91"/>
    <hyperlink r:id="rId360" ref="H91"/>
    <hyperlink r:id="rId361" ref="K91"/>
    <hyperlink r:id="rId362" ref="C92"/>
    <hyperlink r:id="rId363" ref="E92"/>
    <hyperlink r:id="rId364" ref="H92"/>
    <hyperlink r:id="rId365" ref="K92"/>
    <hyperlink r:id="rId366" ref="C93"/>
    <hyperlink r:id="rId367" ref="E93"/>
    <hyperlink r:id="rId368" ref="H93"/>
    <hyperlink r:id="rId369" ref="K93"/>
    <hyperlink r:id="rId370" ref="C94"/>
    <hyperlink r:id="rId371" ref="E94"/>
    <hyperlink r:id="rId372" ref="H94"/>
    <hyperlink r:id="rId373" ref="K94"/>
    <hyperlink r:id="rId374" ref="C95"/>
    <hyperlink r:id="rId375" ref="E95"/>
    <hyperlink r:id="rId376" ref="H95"/>
    <hyperlink r:id="rId377" ref="K95"/>
    <hyperlink r:id="rId378" ref="C96"/>
    <hyperlink r:id="rId379" ref="E96"/>
    <hyperlink r:id="rId380" ref="H96"/>
    <hyperlink r:id="rId381" ref="K96"/>
    <hyperlink r:id="rId382" ref="C97"/>
    <hyperlink r:id="rId383" ref="E97"/>
    <hyperlink r:id="rId384" ref="H97"/>
    <hyperlink r:id="rId385" ref="K97"/>
    <hyperlink r:id="rId386" ref="C98"/>
    <hyperlink r:id="rId387" ref="E98"/>
    <hyperlink r:id="rId388" ref="H98"/>
    <hyperlink r:id="rId389" ref="K98"/>
    <hyperlink r:id="rId390" ref="C99"/>
    <hyperlink r:id="rId391" ref="E99"/>
    <hyperlink r:id="rId392" ref="H99"/>
    <hyperlink r:id="rId393" ref="K99"/>
    <hyperlink r:id="rId394" ref="C100"/>
    <hyperlink r:id="rId395" ref="E100"/>
    <hyperlink r:id="rId396" ref="H100"/>
    <hyperlink r:id="rId397" ref="K100"/>
    <hyperlink r:id="rId398" ref="C101"/>
    <hyperlink r:id="rId399" ref="E101"/>
    <hyperlink r:id="rId400" ref="H101"/>
    <hyperlink r:id="rId401" ref="K101"/>
    <hyperlink r:id="rId402" ref="C102"/>
    <hyperlink r:id="rId403" ref="E102"/>
    <hyperlink r:id="rId404" ref="H102"/>
    <hyperlink r:id="rId405" ref="K102"/>
    <hyperlink r:id="rId406" ref="C103"/>
    <hyperlink r:id="rId407" ref="E103"/>
    <hyperlink r:id="rId408" ref="H103"/>
    <hyperlink r:id="rId409" ref="K103"/>
    <hyperlink r:id="rId410" ref="C104"/>
    <hyperlink r:id="rId411" ref="E104"/>
    <hyperlink r:id="rId412" ref="H104"/>
    <hyperlink r:id="rId413" ref="K104"/>
    <hyperlink r:id="rId414" ref="C105"/>
    <hyperlink r:id="rId415" ref="E105"/>
    <hyperlink r:id="rId416" ref="H105"/>
    <hyperlink r:id="rId417" ref="K105"/>
    <hyperlink r:id="rId418" ref="C106"/>
    <hyperlink r:id="rId419" ref="E106"/>
    <hyperlink r:id="rId420" ref="H106"/>
    <hyperlink r:id="rId421" ref="K106"/>
    <hyperlink r:id="rId422" ref="C107"/>
    <hyperlink r:id="rId423" ref="E107"/>
    <hyperlink r:id="rId424" ref="H107"/>
    <hyperlink r:id="rId425" ref="K107"/>
    <hyperlink r:id="rId426" ref="C108"/>
    <hyperlink r:id="rId427" ref="E108"/>
    <hyperlink r:id="rId428" ref="H108"/>
    <hyperlink r:id="rId429" ref="K108"/>
    <hyperlink r:id="rId430" ref="C109"/>
    <hyperlink r:id="rId431" ref="E109"/>
    <hyperlink r:id="rId432" ref="H109"/>
    <hyperlink r:id="rId433" ref="K109"/>
    <hyperlink r:id="rId434" ref="C110"/>
    <hyperlink r:id="rId435" ref="E110"/>
    <hyperlink r:id="rId436" ref="H110"/>
    <hyperlink r:id="rId437" ref="K110"/>
    <hyperlink r:id="rId438" ref="C111"/>
    <hyperlink r:id="rId439" ref="E111"/>
    <hyperlink r:id="rId440" ref="H111"/>
    <hyperlink r:id="rId441" ref="K111"/>
    <hyperlink r:id="rId442" ref="C112"/>
    <hyperlink r:id="rId443" ref="E112"/>
    <hyperlink r:id="rId444" ref="H112"/>
    <hyperlink r:id="rId445" ref="K112"/>
    <hyperlink r:id="rId446" ref="C113"/>
    <hyperlink r:id="rId447" ref="E113"/>
    <hyperlink r:id="rId448" ref="H113"/>
    <hyperlink r:id="rId449" ref="K113"/>
    <hyperlink r:id="rId450" ref="C114"/>
    <hyperlink r:id="rId451" ref="E114"/>
    <hyperlink r:id="rId452" ref="H114"/>
    <hyperlink r:id="rId453" ref="K114"/>
    <hyperlink r:id="rId454" ref="C115"/>
    <hyperlink r:id="rId455" ref="E115"/>
    <hyperlink r:id="rId456" ref="H115"/>
    <hyperlink r:id="rId457" ref="K115"/>
    <hyperlink r:id="rId458" ref="C116"/>
    <hyperlink r:id="rId459" ref="E116"/>
    <hyperlink r:id="rId460" ref="H116"/>
    <hyperlink r:id="rId461" ref="K116"/>
    <hyperlink r:id="rId462" ref="C117"/>
    <hyperlink r:id="rId463" ref="E117"/>
    <hyperlink r:id="rId464" ref="H117"/>
    <hyperlink r:id="rId465" ref="K117"/>
    <hyperlink r:id="rId466" ref="C118"/>
    <hyperlink r:id="rId467" ref="E118"/>
    <hyperlink r:id="rId468" ref="H118"/>
    <hyperlink r:id="rId469" ref="K118"/>
    <hyperlink r:id="rId470" ref="C119"/>
    <hyperlink r:id="rId471" ref="E119"/>
    <hyperlink r:id="rId472" ref="H119"/>
    <hyperlink r:id="rId473" ref="K119"/>
    <hyperlink r:id="rId474" ref="C120"/>
    <hyperlink r:id="rId475" ref="E120"/>
    <hyperlink r:id="rId476" ref="H120"/>
    <hyperlink r:id="rId477" ref="K120"/>
    <hyperlink r:id="rId478" ref="C121"/>
    <hyperlink r:id="rId479" ref="E121"/>
    <hyperlink r:id="rId480" ref="H121"/>
    <hyperlink r:id="rId481" ref="K121"/>
    <hyperlink r:id="rId482" ref="C122"/>
    <hyperlink r:id="rId483" ref="E122"/>
    <hyperlink r:id="rId484" ref="H122"/>
    <hyperlink r:id="rId485" ref="K122"/>
    <hyperlink r:id="rId486" ref="C123"/>
    <hyperlink r:id="rId487" ref="E123"/>
    <hyperlink r:id="rId488" ref="H123"/>
    <hyperlink r:id="rId489" ref="K123"/>
    <hyperlink r:id="rId490" ref="C124"/>
    <hyperlink r:id="rId491" ref="E124"/>
    <hyperlink r:id="rId492" ref="H124"/>
    <hyperlink r:id="rId493" ref="K124"/>
    <hyperlink r:id="rId494" ref="C125"/>
    <hyperlink r:id="rId495" ref="E125"/>
    <hyperlink r:id="rId496" ref="H125"/>
    <hyperlink r:id="rId497" ref="K125"/>
    <hyperlink r:id="rId498" ref="C126"/>
    <hyperlink r:id="rId499" ref="E126"/>
    <hyperlink r:id="rId500" ref="H126"/>
    <hyperlink r:id="rId501" ref="K126"/>
    <hyperlink r:id="rId502" ref="C127"/>
    <hyperlink r:id="rId503" ref="E127"/>
    <hyperlink r:id="rId504" ref="H127"/>
    <hyperlink r:id="rId505" ref="K127"/>
    <hyperlink r:id="rId506" ref="C128"/>
    <hyperlink r:id="rId507" ref="E128"/>
    <hyperlink r:id="rId508" ref="H128"/>
    <hyperlink r:id="rId509" ref="K128"/>
    <hyperlink r:id="rId510" ref="C129"/>
    <hyperlink r:id="rId511" ref="E129"/>
    <hyperlink r:id="rId512" ref="H129"/>
    <hyperlink r:id="rId513" ref="K129"/>
    <hyperlink r:id="rId514" ref="C130"/>
    <hyperlink r:id="rId515" ref="E130"/>
    <hyperlink r:id="rId516" ref="H130"/>
    <hyperlink r:id="rId517" ref="K130"/>
    <hyperlink r:id="rId518" ref="C131"/>
    <hyperlink r:id="rId519" ref="E131"/>
    <hyperlink r:id="rId520" ref="H131"/>
    <hyperlink r:id="rId521" ref="K131"/>
    <hyperlink r:id="rId522" ref="C132"/>
    <hyperlink r:id="rId523" ref="E132"/>
    <hyperlink r:id="rId524" ref="H132"/>
    <hyperlink r:id="rId525" ref="K132"/>
    <hyperlink r:id="rId526" ref="C133"/>
    <hyperlink r:id="rId527" ref="E133"/>
    <hyperlink r:id="rId528" ref="H133"/>
    <hyperlink r:id="rId529" ref="K133"/>
    <hyperlink r:id="rId530" ref="C134"/>
    <hyperlink r:id="rId531" ref="E134"/>
    <hyperlink r:id="rId532" ref="H134"/>
    <hyperlink r:id="rId533" ref="K134"/>
    <hyperlink r:id="rId534" ref="C135"/>
    <hyperlink r:id="rId535" ref="E135"/>
    <hyperlink r:id="rId536" ref="H135"/>
    <hyperlink r:id="rId537" ref="K135"/>
    <hyperlink r:id="rId538" ref="C136"/>
    <hyperlink r:id="rId539" ref="E136"/>
    <hyperlink r:id="rId540" ref="H136"/>
    <hyperlink r:id="rId541" ref="K136"/>
    <hyperlink r:id="rId542" ref="C137"/>
    <hyperlink r:id="rId543" ref="E137"/>
    <hyperlink r:id="rId544" ref="H137"/>
    <hyperlink r:id="rId545" ref="K137"/>
    <hyperlink r:id="rId546" ref="C138"/>
    <hyperlink r:id="rId547" ref="E138"/>
    <hyperlink r:id="rId548" ref="H138"/>
    <hyperlink r:id="rId549" ref="K138"/>
    <hyperlink r:id="rId550" ref="C139"/>
    <hyperlink r:id="rId551" ref="E139"/>
    <hyperlink r:id="rId552" ref="H139"/>
    <hyperlink r:id="rId553" ref="K139"/>
    <hyperlink r:id="rId554" ref="C140"/>
    <hyperlink r:id="rId555" ref="E140"/>
    <hyperlink r:id="rId556" ref="H140"/>
    <hyperlink r:id="rId557" ref="K140"/>
    <hyperlink r:id="rId558" ref="C141"/>
    <hyperlink r:id="rId559" ref="E141"/>
    <hyperlink r:id="rId560" ref="H141"/>
    <hyperlink r:id="rId561" ref="K141"/>
    <hyperlink r:id="rId562" ref="C142"/>
    <hyperlink r:id="rId563" ref="E142"/>
    <hyperlink r:id="rId564" ref="H142"/>
    <hyperlink r:id="rId565" ref="K142"/>
    <hyperlink r:id="rId566" ref="C143"/>
    <hyperlink r:id="rId567" ref="E143"/>
    <hyperlink r:id="rId568" ref="H143"/>
    <hyperlink r:id="rId569" ref="K143"/>
    <hyperlink r:id="rId570" ref="C144"/>
    <hyperlink r:id="rId571" ref="E144"/>
    <hyperlink r:id="rId572" ref="H144"/>
    <hyperlink r:id="rId573" ref="K144"/>
    <hyperlink r:id="rId574" ref="C145"/>
    <hyperlink r:id="rId575" ref="E145"/>
    <hyperlink r:id="rId576" ref="H145"/>
    <hyperlink r:id="rId577" ref="K145"/>
    <hyperlink r:id="rId578" ref="C146"/>
    <hyperlink r:id="rId579" ref="E146"/>
    <hyperlink r:id="rId580" ref="H146"/>
    <hyperlink r:id="rId581" ref="K146"/>
    <hyperlink r:id="rId582" ref="C147"/>
    <hyperlink r:id="rId583" ref="E147"/>
    <hyperlink r:id="rId584" ref="H147"/>
    <hyperlink r:id="rId585" ref="K147"/>
    <hyperlink r:id="rId586" ref="C148"/>
    <hyperlink r:id="rId587" ref="E148"/>
    <hyperlink r:id="rId588" ref="H148"/>
    <hyperlink r:id="rId589" ref="K148"/>
    <hyperlink r:id="rId590" ref="C149"/>
    <hyperlink r:id="rId591" ref="E149"/>
    <hyperlink r:id="rId592" ref="H149"/>
    <hyperlink r:id="rId593" ref="K149"/>
    <hyperlink r:id="rId594" ref="C150"/>
    <hyperlink r:id="rId595" ref="E150"/>
    <hyperlink r:id="rId596" ref="H150"/>
    <hyperlink r:id="rId597" ref="K150"/>
    <hyperlink r:id="rId598" ref="C151"/>
    <hyperlink r:id="rId599" ref="E151"/>
    <hyperlink r:id="rId600" ref="H151"/>
    <hyperlink r:id="rId601" ref="K151"/>
    <hyperlink r:id="rId602" ref="C152"/>
    <hyperlink r:id="rId603" ref="E152"/>
    <hyperlink r:id="rId604" ref="H152"/>
    <hyperlink r:id="rId605" ref="K152"/>
    <hyperlink r:id="rId606" ref="C153"/>
    <hyperlink r:id="rId607" ref="E153"/>
    <hyperlink r:id="rId608" ref="H153"/>
    <hyperlink r:id="rId609" ref="K153"/>
    <hyperlink r:id="rId610" ref="C154"/>
    <hyperlink r:id="rId611" ref="E154"/>
    <hyperlink r:id="rId612" ref="H154"/>
    <hyperlink r:id="rId613" ref="K154"/>
    <hyperlink r:id="rId614" ref="C155"/>
    <hyperlink r:id="rId615" ref="E155"/>
    <hyperlink r:id="rId616" ref="H155"/>
    <hyperlink r:id="rId617" ref="K155"/>
    <hyperlink r:id="rId618" ref="C156"/>
    <hyperlink r:id="rId619" ref="E156"/>
    <hyperlink r:id="rId620" ref="H156"/>
    <hyperlink r:id="rId621" ref="K156"/>
    <hyperlink r:id="rId622" ref="C157"/>
    <hyperlink r:id="rId623" ref="E157"/>
    <hyperlink r:id="rId624" ref="H157"/>
    <hyperlink r:id="rId625" ref="K157"/>
    <hyperlink r:id="rId626" ref="C158"/>
    <hyperlink r:id="rId627" ref="E158"/>
    <hyperlink r:id="rId628" ref="H158"/>
    <hyperlink r:id="rId629" ref="K158"/>
    <hyperlink r:id="rId630" ref="C159"/>
    <hyperlink r:id="rId631" ref="E159"/>
    <hyperlink r:id="rId632" ref="H159"/>
    <hyperlink r:id="rId633" ref="K159"/>
    <hyperlink r:id="rId634" ref="C160"/>
    <hyperlink r:id="rId635" ref="E160"/>
    <hyperlink r:id="rId636" ref="H160"/>
    <hyperlink r:id="rId637" ref="K160"/>
    <hyperlink r:id="rId638" ref="C161"/>
    <hyperlink r:id="rId639" ref="E161"/>
    <hyperlink r:id="rId640" ref="H161"/>
    <hyperlink r:id="rId641" ref="K161"/>
    <hyperlink r:id="rId642" ref="C162"/>
    <hyperlink r:id="rId643" ref="E162"/>
    <hyperlink r:id="rId644" ref="H162"/>
    <hyperlink r:id="rId645" ref="K162"/>
    <hyperlink r:id="rId646" ref="C163"/>
    <hyperlink r:id="rId647" ref="E163"/>
    <hyperlink r:id="rId648" ref="H163"/>
    <hyperlink r:id="rId649" ref="K163"/>
    <hyperlink r:id="rId650" ref="C164"/>
    <hyperlink r:id="rId651" ref="E164"/>
    <hyperlink r:id="rId652" ref="H164"/>
    <hyperlink r:id="rId653" ref="K164"/>
    <hyperlink r:id="rId654" ref="C165"/>
    <hyperlink r:id="rId655" ref="E165"/>
    <hyperlink r:id="rId656" ref="H165"/>
    <hyperlink r:id="rId657" ref="K165"/>
    <hyperlink r:id="rId658" ref="C166"/>
    <hyperlink r:id="rId659" ref="E166"/>
    <hyperlink r:id="rId660" ref="H166"/>
    <hyperlink r:id="rId661" ref="K166"/>
    <hyperlink r:id="rId662" ref="C167"/>
    <hyperlink r:id="rId663" ref="E167"/>
    <hyperlink r:id="rId664" ref="H167"/>
    <hyperlink r:id="rId665" ref="K167"/>
    <hyperlink r:id="rId666" ref="C168"/>
    <hyperlink r:id="rId667" ref="E168"/>
    <hyperlink r:id="rId668" ref="H168"/>
    <hyperlink r:id="rId669" ref="K168"/>
    <hyperlink r:id="rId670" ref="C169"/>
    <hyperlink r:id="rId671" ref="E169"/>
    <hyperlink r:id="rId672" ref="H169"/>
    <hyperlink r:id="rId673" ref="K169"/>
    <hyperlink r:id="rId674" ref="C170"/>
    <hyperlink r:id="rId675" ref="E170"/>
    <hyperlink r:id="rId676" ref="H170"/>
    <hyperlink r:id="rId677" ref="K170"/>
    <hyperlink r:id="rId678" ref="C171"/>
    <hyperlink r:id="rId679" ref="E171"/>
    <hyperlink r:id="rId680" ref="H171"/>
    <hyperlink r:id="rId681" ref="K171"/>
    <hyperlink r:id="rId682" ref="C172"/>
    <hyperlink r:id="rId683" ref="E172"/>
    <hyperlink r:id="rId684" ref="H172"/>
    <hyperlink r:id="rId685" ref="K172"/>
    <hyperlink r:id="rId686" ref="C173"/>
    <hyperlink r:id="rId687" ref="E173"/>
    <hyperlink r:id="rId688" ref="H173"/>
    <hyperlink r:id="rId689" ref="K173"/>
    <hyperlink r:id="rId690" ref="C174"/>
    <hyperlink r:id="rId691" ref="E174"/>
    <hyperlink r:id="rId692" ref="H174"/>
    <hyperlink r:id="rId693" ref="K174"/>
    <hyperlink r:id="rId694" ref="C175"/>
    <hyperlink r:id="rId695" ref="E175"/>
    <hyperlink r:id="rId696" ref="H175"/>
    <hyperlink r:id="rId697" ref="K175"/>
    <hyperlink r:id="rId698" ref="C176"/>
    <hyperlink r:id="rId699" ref="E176"/>
    <hyperlink r:id="rId700" ref="H176"/>
    <hyperlink r:id="rId701" ref="K176"/>
    <hyperlink r:id="rId702" ref="C177"/>
    <hyperlink r:id="rId703" ref="E177"/>
    <hyperlink r:id="rId704" ref="H177"/>
    <hyperlink r:id="rId705" ref="K177"/>
    <hyperlink r:id="rId706" ref="C178"/>
    <hyperlink r:id="rId707" ref="E178"/>
    <hyperlink r:id="rId708" ref="H178"/>
    <hyperlink r:id="rId709" ref="K178"/>
    <hyperlink r:id="rId710" ref="C179"/>
    <hyperlink r:id="rId711" ref="E179"/>
    <hyperlink r:id="rId712" ref="H179"/>
    <hyperlink r:id="rId713" ref="K179"/>
    <hyperlink r:id="rId714" ref="C180"/>
    <hyperlink r:id="rId715" ref="E180"/>
    <hyperlink r:id="rId716" ref="H180"/>
    <hyperlink r:id="rId717" ref="K180"/>
    <hyperlink r:id="rId718" ref="C181"/>
    <hyperlink r:id="rId719" ref="E181"/>
    <hyperlink r:id="rId720" ref="H181"/>
    <hyperlink r:id="rId721" ref="K181"/>
    <hyperlink r:id="rId722" ref="C182"/>
    <hyperlink r:id="rId723" ref="E182"/>
    <hyperlink r:id="rId724" ref="H182"/>
    <hyperlink r:id="rId725" ref="K182"/>
    <hyperlink r:id="rId726" ref="C183"/>
    <hyperlink r:id="rId727" ref="E183"/>
    <hyperlink r:id="rId728" ref="H183"/>
    <hyperlink r:id="rId729" ref="K183"/>
    <hyperlink r:id="rId730" ref="C184"/>
    <hyperlink r:id="rId731" ref="E184"/>
    <hyperlink r:id="rId732" ref="H184"/>
    <hyperlink r:id="rId733" ref="K184"/>
    <hyperlink r:id="rId734" ref="C185"/>
    <hyperlink r:id="rId735" ref="E185"/>
    <hyperlink r:id="rId736" ref="H185"/>
    <hyperlink r:id="rId737" ref="K185"/>
    <hyperlink r:id="rId738" ref="C186"/>
    <hyperlink r:id="rId739" ref="E186"/>
    <hyperlink r:id="rId740" ref="H186"/>
    <hyperlink r:id="rId741" ref="K186"/>
    <hyperlink r:id="rId742" ref="C187"/>
    <hyperlink r:id="rId743" ref="E187"/>
    <hyperlink r:id="rId744" ref="H187"/>
    <hyperlink r:id="rId745" ref="K187"/>
    <hyperlink r:id="rId746" ref="C188"/>
    <hyperlink r:id="rId747" ref="E188"/>
    <hyperlink r:id="rId748" ref="H188"/>
    <hyperlink r:id="rId749" ref="K188"/>
    <hyperlink r:id="rId750" ref="C189"/>
    <hyperlink r:id="rId751" ref="E189"/>
    <hyperlink r:id="rId752" ref="H189"/>
    <hyperlink r:id="rId753" ref="K189"/>
    <hyperlink r:id="rId754" ref="C190"/>
    <hyperlink r:id="rId755" ref="E190"/>
    <hyperlink r:id="rId756" ref="H190"/>
    <hyperlink r:id="rId757" ref="K190"/>
    <hyperlink r:id="rId758" ref="C191"/>
    <hyperlink r:id="rId759" ref="E191"/>
    <hyperlink r:id="rId760" ref="H191"/>
    <hyperlink r:id="rId761" ref="K191"/>
    <hyperlink r:id="rId762" ref="C192"/>
    <hyperlink r:id="rId763" ref="E192"/>
    <hyperlink r:id="rId764" ref="H192"/>
    <hyperlink r:id="rId765" ref="K192"/>
    <hyperlink r:id="rId766" ref="C193"/>
    <hyperlink r:id="rId767" ref="E193"/>
    <hyperlink r:id="rId768" ref="H193"/>
    <hyperlink r:id="rId769" ref="K193"/>
    <hyperlink r:id="rId770" ref="C194"/>
    <hyperlink r:id="rId771" ref="E194"/>
    <hyperlink r:id="rId772" ref="H194"/>
    <hyperlink r:id="rId773" ref="K194"/>
    <hyperlink r:id="rId774" ref="C195"/>
    <hyperlink r:id="rId775" ref="E195"/>
    <hyperlink r:id="rId776" ref="H195"/>
    <hyperlink r:id="rId777" ref="K195"/>
    <hyperlink r:id="rId778" ref="C196"/>
    <hyperlink r:id="rId779" ref="E196"/>
    <hyperlink r:id="rId780" ref="H196"/>
    <hyperlink r:id="rId781" ref="K196"/>
    <hyperlink r:id="rId782" ref="C197"/>
    <hyperlink r:id="rId783" ref="E197"/>
    <hyperlink r:id="rId784" ref="H197"/>
    <hyperlink r:id="rId785" ref="K197"/>
    <hyperlink r:id="rId786" ref="C198"/>
    <hyperlink r:id="rId787" ref="E198"/>
    <hyperlink r:id="rId788" ref="H198"/>
    <hyperlink r:id="rId789" ref="K198"/>
    <hyperlink r:id="rId790" ref="C199"/>
    <hyperlink r:id="rId791" ref="E199"/>
    <hyperlink r:id="rId792" ref="H199"/>
    <hyperlink r:id="rId793" ref="K199"/>
    <hyperlink r:id="rId794" ref="C200"/>
    <hyperlink r:id="rId795" ref="E200"/>
    <hyperlink r:id="rId796" ref="H200"/>
    <hyperlink r:id="rId797" ref="K200"/>
    <hyperlink r:id="rId798" ref="C201"/>
    <hyperlink r:id="rId799" ref="E201"/>
    <hyperlink r:id="rId800" ref="H201"/>
    <hyperlink r:id="rId801" ref="K201"/>
    <hyperlink r:id="rId802" ref="C202"/>
    <hyperlink r:id="rId803" ref="E202"/>
    <hyperlink r:id="rId804" ref="H202"/>
    <hyperlink r:id="rId805" ref="K202"/>
    <hyperlink r:id="rId806" ref="C203"/>
    <hyperlink r:id="rId807" ref="E203"/>
    <hyperlink r:id="rId808" ref="H203"/>
    <hyperlink r:id="rId809" ref="K203"/>
    <hyperlink r:id="rId810" ref="C204"/>
    <hyperlink r:id="rId811" ref="E204"/>
    <hyperlink r:id="rId812" ref="H204"/>
    <hyperlink r:id="rId813" ref="K204"/>
    <hyperlink r:id="rId814" ref="C205"/>
    <hyperlink r:id="rId815" ref="E205"/>
    <hyperlink r:id="rId816" ref="H205"/>
    <hyperlink r:id="rId817" ref="K205"/>
    <hyperlink r:id="rId818" ref="C206"/>
    <hyperlink r:id="rId819" ref="E206"/>
    <hyperlink r:id="rId820" ref="H206"/>
    <hyperlink r:id="rId821" ref="K206"/>
    <hyperlink r:id="rId822" ref="C207"/>
    <hyperlink r:id="rId823" ref="E207"/>
    <hyperlink r:id="rId824" ref="H207"/>
    <hyperlink r:id="rId825" ref="K207"/>
    <hyperlink r:id="rId826" ref="C208"/>
    <hyperlink r:id="rId827" ref="E208"/>
    <hyperlink r:id="rId828" ref="H208"/>
    <hyperlink r:id="rId829" ref="K208"/>
    <hyperlink r:id="rId830" ref="C209"/>
    <hyperlink r:id="rId831" ref="E209"/>
    <hyperlink r:id="rId832" ref="H209"/>
    <hyperlink r:id="rId833" ref="K209"/>
    <hyperlink r:id="rId834" ref="C210"/>
    <hyperlink r:id="rId835" ref="E210"/>
    <hyperlink r:id="rId836" ref="H210"/>
    <hyperlink r:id="rId837" ref="K210"/>
    <hyperlink r:id="rId838" ref="C211"/>
    <hyperlink r:id="rId839" ref="E211"/>
    <hyperlink r:id="rId840" ref="H211"/>
    <hyperlink r:id="rId841" ref="K211"/>
    <hyperlink r:id="rId842" ref="C212"/>
    <hyperlink r:id="rId843" ref="E212"/>
    <hyperlink r:id="rId844" ref="H212"/>
    <hyperlink r:id="rId845" ref="K212"/>
    <hyperlink r:id="rId846" ref="C213"/>
    <hyperlink r:id="rId847" ref="E213"/>
    <hyperlink r:id="rId848" ref="H213"/>
    <hyperlink r:id="rId849" ref="K213"/>
    <hyperlink r:id="rId850" ref="C214"/>
    <hyperlink r:id="rId851" ref="E214"/>
    <hyperlink r:id="rId852" ref="H214"/>
    <hyperlink r:id="rId853" ref="K214"/>
    <hyperlink r:id="rId854" ref="C215"/>
    <hyperlink r:id="rId855" ref="E215"/>
    <hyperlink r:id="rId856" ref="H215"/>
    <hyperlink r:id="rId857" ref="K215"/>
    <hyperlink r:id="rId858" ref="C216"/>
    <hyperlink r:id="rId859" ref="E216"/>
    <hyperlink r:id="rId860" ref="H216"/>
    <hyperlink r:id="rId861" ref="K216"/>
    <hyperlink r:id="rId862" ref="C217"/>
    <hyperlink r:id="rId863" ref="E217"/>
    <hyperlink r:id="rId864" ref="H217"/>
    <hyperlink r:id="rId865" ref="K217"/>
    <hyperlink r:id="rId866" ref="C218"/>
    <hyperlink r:id="rId867" ref="E218"/>
    <hyperlink r:id="rId868" ref="H218"/>
    <hyperlink r:id="rId869" ref="K218"/>
    <hyperlink r:id="rId870" ref="C219"/>
    <hyperlink r:id="rId871" ref="E219"/>
    <hyperlink r:id="rId872" ref="H219"/>
    <hyperlink r:id="rId873" ref="K219"/>
    <hyperlink r:id="rId874" ref="C220"/>
    <hyperlink r:id="rId875" ref="E220"/>
    <hyperlink r:id="rId876" ref="H220"/>
    <hyperlink r:id="rId877" ref="K220"/>
    <hyperlink r:id="rId878" ref="C221"/>
    <hyperlink r:id="rId879" ref="E221"/>
    <hyperlink r:id="rId880" ref="H221"/>
    <hyperlink r:id="rId881" ref="K221"/>
    <hyperlink r:id="rId882" ref="C222"/>
    <hyperlink r:id="rId883" ref="E222"/>
    <hyperlink r:id="rId884" ref="H222"/>
    <hyperlink r:id="rId885" ref="K222"/>
    <hyperlink r:id="rId886" ref="C223"/>
    <hyperlink r:id="rId887" ref="E223"/>
    <hyperlink r:id="rId888" ref="H223"/>
    <hyperlink r:id="rId889" ref="K223"/>
    <hyperlink r:id="rId890" ref="C224"/>
    <hyperlink r:id="rId891" ref="E224"/>
    <hyperlink r:id="rId892" ref="H224"/>
    <hyperlink r:id="rId893" ref="K224"/>
    <hyperlink r:id="rId894" ref="C225"/>
    <hyperlink r:id="rId895" ref="E225"/>
    <hyperlink r:id="rId896" ref="H225"/>
    <hyperlink r:id="rId897" ref="K225"/>
    <hyperlink r:id="rId898" ref="C226"/>
    <hyperlink r:id="rId899" ref="E226"/>
    <hyperlink r:id="rId900" ref="H226"/>
    <hyperlink r:id="rId901" ref="K226"/>
    <hyperlink r:id="rId902" ref="C227"/>
    <hyperlink r:id="rId903" ref="E227"/>
    <hyperlink r:id="rId904" ref="H227"/>
    <hyperlink r:id="rId905" ref="K227"/>
    <hyperlink r:id="rId906" ref="C228"/>
    <hyperlink r:id="rId907" ref="E228"/>
    <hyperlink r:id="rId908" ref="H228"/>
    <hyperlink r:id="rId909" ref="K228"/>
    <hyperlink r:id="rId910" ref="C229"/>
    <hyperlink r:id="rId911" ref="E229"/>
    <hyperlink r:id="rId912" ref="H229"/>
    <hyperlink r:id="rId913" ref="K229"/>
    <hyperlink r:id="rId914" ref="C230"/>
    <hyperlink r:id="rId915" ref="E230"/>
    <hyperlink r:id="rId916" ref="H230"/>
    <hyperlink r:id="rId917" ref="K230"/>
    <hyperlink r:id="rId918" ref="C231"/>
    <hyperlink r:id="rId919" ref="E231"/>
    <hyperlink r:id="rId920" ref="H231"/>
    <hyperlink r:id="rId921" ref="K231"/>
    <hyperlink r:id="rId922" ref="C232"/>
    <hyperlink r:id="rId923" ref="E232"/>
    <hyperlink r:id="rId924" ref="H232"/>
    <hyperlink r:id="rId925" ref="K232"/>
    <hyperlink r:id="rId926" ref="C233"/>
    <hyperlink r:id="rId927" ref="E233"/>
    <hyperlink r:id="rId928" ref="H233"/>
    <hyperlink r:id="rId929" ref="K233"/>
    <hyperlink r:id="rId930" ref="C234"/>
    <hyperlink r:id="rId931" ref="E234"/>
    <hyperlink r:id="rId932" ref="H234"/>
    <hyperlink r:id="rId933" ref="K234"/>
    <hyperlink r:id="rId934" ref="C235"/>
    <hyperlink r:id="rId935" ref="E235"/>
    <hyperlink r:id="rId936" ref="H235"/>
    <hyperlink r:id="rId937" ref="K235"/>
    <hyperlink r:id="rId938" ref="C236"/>
    <hyperlink r:id="rId939" location="Domestic_policy_and_the_Infitah" ref="E236"/>
    <hyperlink r:id="rId940" ref="H236"/>
    <hyperlink r:id="rId941" ref="K236"/>
    <hyperlink r:id="rId942" ref="C237"/>
    <hyperlink r:id="rId943" ref="E237"/>
    <hyperlink r:id="rId944" ref="H237"/>
    <hyperlink r:id="rId945" ref="K237"/>
    <hyperlink r:id="rId946" ref="C238"/>
    <hyperlink r:id="rId947" ref="E238"/>
    <hyperlink r:id="rId948" ref="H238"/>
    <hyperlink r:id="rId949" ref="K238"/>
    <hyperlink r:id="rId950" ref="C239"/>
    <hyperlink r:id="rId951" ref="E239"/>
    <hyperlink r:id="rId952" ref="H239"/>
    <hyperlink r:id="rId953" ref="K239"/>
    <hyperlink r:id="rId954" ref="C240"/>
    <hyperlink r:id="rId955" ref="E240"/>
    <hyperlink r:id="rId956" ref="H240"/>
    <hyperlink r:id="rId957" ref="K240"/>
    <hyperlink r:id="rId958" ref="C241"/>
    <hyperlink r:id="rId959" ref="E241"/>
    <hyperlink r:id="rId960" ref="H241"/>
    <hyperlink r:id="rId961" ref="K241"/>
    <hyperlink r:id="rId962" ref="C242"/>
    <hyperlink r:id="rId963" ref="E242"/>
    <hyperlink r:id="rId964" ref="H242"/>
    <hyperlink r:id="rId965" ref="K242"/>
    <hyperlink r:id="rId966" ref="C243"/>
    <hyperlink r:id="rId967" ref="E243"/>
    <hyperlink r:id="rId968" ref="H243"/>
    <hyperlink r:id="rId969" ref="K243"/>
    <hyperlink r:id="rId970" ref="C244"/>
    <hyperlink r:id="rId971" ref="E244"/>
    <hyperlink r:id="rId972" ref="H244"/>
    <hyperlink r:id="rId973" ref="K244"/>
    <hyperlink r:id="rId974" ref="C245"/>
    <hyperlink r:id="rId975" ref="E245"/>
    <hyperlink r:id="rId976" ref="H245"/>
    <hyperlink r:id="rId977" ref="K245"/>
    <hyperlink r:id="rId978" ref="C246"/>
    <hyperlink r:id="rId979" ref="E246"/>
    <hyperlink r:id="rId980" ref="H246"/>
    <hyperlink r:id="rId981" ref="K246"/>
    <hyperlink r:id="rId982" ref="C247"/>
    <hyperlink r:id="rId983" ref="E247"/>
    <hyperlink r:id="rId984" ref="H247"/>
    <hyperlink r:id="rId985" ref="K247"/>
    <hyperlink r:id="rId986" ref="C248"/>
    <hyperlink r:id="rId987" ref="E248"/>
    <hyperlink r:id="rId988" ref="H248"/>
    <hyperlink r:id="rId989" ref="K248"/>
    <hyperlink r:id="rId990" ref="C249"/>
    <hyperlink r:id="rId991" ref="E249"/>
    <hyperlink r:id="rId992" ref="H249"/>
    <hyperlink r:id="rId993" ref="K249"/>
    <hyperlink r:id="rId994" ref="C250"/>
    <hyperlink r:id="rId995" ref="E250"/>
    <hyperlink r:id="rId996" ref="H250"/>
    <hyperlink r:id="rId997" ref="K250"/>
    <hyperlink r:id="rId998" ref="C251"/>
    <hyperlink r:id="rId999" ref="E251"/>
    <hyperlink r:id="rId1000" ref="H251"/>
    <hyperlink r:id="rId1001" ref="K251"/>
    <hyperlink r:id="rId1002" ref="C252"/>
    <hyperlink r:id="rId1003" ref="E252"/>
    <hyperlink r:id="rId1004" ref="H252"/>
    <hyperlink r:id="rId1005" ref="K252"/>
    <hyperlink r:id="rId1006" ref="C253"/>
    <hyperlink r:id="rId1007" ref="E253"/>
    <hyperlink r:id="rId1008" ref="H253"/>
    <hyperlink r:id="rId1009" ref="K253"/>
    <hyperlink r:id="rId1010" ref="C254"/>
    <hyperlink r:id="rId1011" ref="E254"/>
    <hyperlink r:id="rId1012" ref="H254"/>
    <hyperlink r:id="rId1013" ref="K254"/>
    <hyperlink r:id="rId1014" ref="C255"/>
    <hyperlink r:id="rId1015" ref="E255"/>
    <hyperlink r:id="rId1016" ref="H255"/>
    <hyperlink r:id="rId1017" ref="K255"/>
    <hyperlink r:id="rId1018" ref="C256"/>
    <hyperlink r:id="rId1019" ref="E256"/>
    <hyperlink r:id="rId1020" ref="H256"/>
    <hyperlink r:id="rId1021" ref="K256"/>
    <hyperlink r:id="rId1022" ref="C257"/>
    <hyperlink r:id="rId1023" ref="E257"/>
    <hyperlink r:id="rId1024" ref="H257"/>
    <hyperlink r:id="rId1025" ref="K257"/>
    <hyperlink r:id="rId1026" ref="C258"/>
    <hyperlink r:id="rId1027" ref="E258"/>
    <hyperlink r:id="rId1028" ref="H258"/>
    <hyperlink r:id="rId1029" ref="K258"/>
    <hyperlink r:id="rId1030" ref="C259"/>
    <hyperlink r:id="rId1031" ref="E259"/>
    <hyperlink r:id="rId1032" ref="H259"/>
    <hyperlink r:id="rId1033" ref="K259"/>
    <hyperlink r:id="rId1034" ref="C260"/>
    <hyperlink r:id="rId1035" ref="E260"/>
    <hyperlink r:id="rId1036" ref="H260"/>
    <hyperlink r:id="rId1037" ref="K260"/>
    <hyperlink r:id="rId1038" ref="C261"/>
    <hyperlink r:id="rId1039" ref="E261"/>
    <hyperlink r:id="rId1040" ref="H261"/>
    <hyperlink r:id="rId1041" ref="K261"/>
    <hyperlink r:id="rId1042" ref="C262"/>
    <hyperlink r:id="rId1043" ref="E262"/>
    <hyperlink r:id="rId1044" ref="H262"/>
    <hyperlink r:id="rId1045" ref="K262"/>
    <hyperlink r:id="rId1046" ref="C263"/>
    <hyperlink r:id="rId1047" ref="E263"/>
    <hyperlink r:id="rId1048" ref="H263"/>
    <hyperlink r:id="rId1049" ref="K263"/>
    <hyperlink r:id="rId1050" ref="C264"/>
    <hyperlink r:id="rId1051" ref="E264"/>
    <hyperlink r:id="rId1052" ref="H264"/>
    <hyperlink r:id="rId1053" ref="K264"/>
    <hyperlink r:id="rId1054" ref="C265"/>
    <hyperlink r:id="rId1055" ref="E265"/>
    <hyperlink r:id="rId1056" ref="H265"/>
    <hyperlink r:id="rId1057" ref="K265"/>
    <hyperlink r:id="rId1058" ref="C266"/>
    <hyperlink r:id="rId1059" ref="E266"/>
    <hyperlink r:id="rId1060" ref="H266"/>
    <hyperlink r:id="rId1061" ref="K266"/>
    <hyperlink r:id="rId1062" ref="C267"/>
    <hyperlink r:id="rId1063" ref="E267"/>
    <hyperlink r:id="rId1064" ref="H267"/>
    <hyperlink r:id="rId1065" ref="K267"/>
    <hyperlink r:id="rId1066" ref="C268"/>
    <hyperlink r:id="rId1067" ref="E268"/>
    <hyperlink r:id="rId1068" ref="H268"/>
    <hyperlink r:id="rId1069" ref="K268"/>
    <hyperlink r:id="rId1070" ref="C269"/>
    <hyperlink r:id="rId1071" ref="E269"/>
    <hyperlink r:id="rId1072" ref="H269"/>
    <hyperlink r:id="rId1073" ref="K269"/>
    <hyperlink r:id="rId1074" ref="C270"/>
    <hyperlink r:id="rId1075" ref="E270"/>
    <hyperlink r:id="rId1076" ref="H270"/>
    <hyperlink r:id="rId1077" ref="K270"/>
    <hyperlink r:id="rId1078" ref="C271"/>
    <hyperlink r:id="rId1079" ref="E271"/>
    <hyperlink r:id="rId1080" ref="H271"/>
    <hyperlink r:id="rId1081" ref="K271"/>
    <hyperlink r:id="rId1082" ref="C272"/>
    <hyperlink r:id="rId1083" ref="E272"/>
    <hyperlink r:id="rId1084" ref="H272"/>
    <hyperlink r:id="rId1085" ref="K272"/>
    <hyperlink r:id="rId1086" ref="C273"/>
    <hyperlink r:id="rId1087" ref="E273"/>
    <hyperlink r:id="rId1088" ref="H273"/>
    <hyperlink r:id="rId1089" ref="K273"/>
    <hyperlink r:id="rId1090" ref="C274"/>
    <hyperlink r:id="rId1091" ref="E274"/>
    <hyperlink r:id="rId1092" ref="H274"/>
    <hyperlink r:id="rId1093" ref="K274"/>
    <hyperlink r:id="rId1094" ref="C275"/>
    <hyperlink r:id="rId1095" ref="E275"/>
    <hyperlink r:id="rId1096" ref="H275"/>
    <hyperlink r:id="rId1097" ref="K275"/>
    <hyperlink r:id="rId1098" ref="C276"/>
    <hyperlink r:id="rId1099" ref="E276"/>
    <hyperlink r:id="rId1100" ref="H276"/>
    <hyperlink r:id="rId1101" ref="K276"/>
    <hyperlink r:id="rId1102" ref="C277"/>
    <hyperlink r:id="rId1103" ref="E277"/>
    <hyperlink r:id="rId1104" ref="H277"/>
    <hyperlink r:id="rId1105" ref="K277"/>
    <hyperlink r:id="rId1106" ref="C278"/>
    <hyperlink r:id="rId1107" ref="E278"/>
    <hyperlink r:id="rId1108" ref="H278"/>
    <hyperlink r:id="rId1109" ref="K278"/>
    <hyperlink r:id="rId1110" ref="C279"/>
    <hyperlink r:id="rId1111" ref="E279"/>
    <hyperlink r:id="rId1112" ref="H279"/>
    <hyperlink r:id="rId1113" ref="K279"/>
    <hyperlink r:id="rId1114" ref="C280"/>
    <hyperlink r:id="rId1115" ref="E280"/>
    <hyperlink r:id="rId1116" ref="H280"/>
    <hyperlink r:id="rId1117" ref="K280"/>
    <hyperlink r:id="rId1118" ref="C281"/>
    <hyperlink r:id="rId1119" ref="E281"/>
    <hyperlink r:id="rId1120" ref="H281"/>
    <hyperlink r:id="rId1121" ref="K281"/>
    <hyperlink r:id="rId1122" ref="C282"/>
    <hyperlink r:id="rId1123" ref="E282"/>
    <hyperlink r:id="rId1124" ref="H282"/>
    <hyperlink r:id="rId1125" ref="K282"/>
    <hyperlink r:id="rId1126" ref="C283"/>
    <hyperlink r:id="rId1127" ref="E283"/>
    <hyperlink r:id="rId1128" ref="H283"/>
    <hyperlink r:id="rId1129" ref="K283"/>
    <hyperlink r:id="rId1130" ref="C284"/>
    <hyperlink r:id="rId1131" ref="E284"/>
    <hyperlink r:id="rId1132" ref="H284"/>
    <hyperlink r:id="rId1133" ref="K284"/>
    <hyperlink r:id="rId1134" ref="C285"/>
    <hyperlink r:id="rId1135" ref="E285"/>
    <hyperlink r:id="rId1136" ref="H285"/>
    <hyperlink r:id="rId1137" ref="K285"/>
    <hyperlink r:id="rId1138" ref="C286"/>
    <hyperlink r:id="rId1139" ref="E286"/>
    <hyperlink r:id="rId1140" ref="H286"/>
    <hyperlink r:id="rId1141" ref="K286"/>
    <hyperlink r:id="rId1142" ref="C287"/>
    <hyperlink r:id="rId1143" ref="E287"/>
    <hyperlink r:id="rId1144" ref="H287"/>
    <hyperlink r:id="rId1145" ref="K287"/>
    <hyperlink r:id="rId1146" ref="C288"/>
    <hyperlink r:id="rId1147" ref="E288"/>
    <hyperlink r:id="rId1148" ref="H288"/>
    <hyperlink r:id="rId1149" ref="K288"/>
    <hyperlink r:id="rId1150" ref="C289"/>
    <hyperlink r:id="rId1151" ref="E289"/>
    <hyperlink r:id="rId1152" ref="H289"/>
    <hyperlink r:id="rId1153" ref="K289"/>
    <hyperlink r:id="rId1154" ref="C290"/>
    <hyperlink r:id="rId1155" ref="E290"/>
    <hyperlink r:id="rId1156" ref="H290"/>
    <hyperlink r:id="rId1157" ref="K290"/>
    <hyperlink r:id="rId1158" ref="C291"/>
    <hyperlink r:id="rId1159" ref="E291"/>
    <hyperlink r:id="rId1160" ref="H291"/>
    <hyperlink r:id="rId1161" ref="K291"/>
    <hyperlink r:id="rId1162" ref="C292"/>
    <hyperlink r:id="rId1163" ref="E292"/>
    <hyperlink r:id="rId1164" ref="H292"/>
    <hyperlink r:id="rId1165" ref="K292"/>
    <hyperlink r:id="rId1166" ref="C293"/>
    <hyperlink r:id="rId1167" ref="E293"/>
    <hyperlink r:id="rId1168" ref="H293"/>
    <hyperlink r:id="rId1169" ref="K293"/>
    <hyperlink r:id="rId1170" ref="C294"/>
    <hyperlink r:id="rId1171" ref="E294"/>
    <hyperlink r:id="rId1172" ref="H294"/>
    <hyperlink r:id="rId1173" ref="K294"/>
    <hyperlink r:id="rId1174" ref="C295"/>
    <hyperlink r:id="rId1175" ref="E295"/>
    <hyperlink r:id="rId1176" ref="H295"/>
    <hyperlink r:id="rId1177" ref="K295"/>
    <hyperlink r:id="rId1178" ref="C296"/>
    <hyperlink r:id="rId1179" ref="E296"/>
    <hyperlink r:id="rId1180" ref="H296"/>
    <hyperlink r:id="rId1181" ref="K296"/>
    <hyperlink r:id="rId1182" ref="C297"/>
    <hyperlink r:id="rId1183" ref="E297"/>
    <hyperlink r:id="rId1184" ref="H297"/>
    <hyperlink r:id="rId1185" ref="K297"/>
    <hyperlink r:id="rId1186" ref="C298"/>
    <hyperlink r:id="rId1187" ref="E298"/>
    <hyperlink r:id="rId1188" ref="H298"/>
    <hyperlink r:id="rId1189" ref="K298"/>
    <hyperlink r:id="rId1190" ref="C299"/>
    <hyperlink r:id="rId1191" ref="E299"/>
    <hyperlink r:id="rId1192" ref="H299"/>
    <hyperlink r:id="rId1193" ref="K299"/>
    <hyperlink r:id="rId1194" ref="C300"/>
    <hyperlink r:id="rId1195" ref="E300"/>
    <hyperlink r:id="rId1196" ref="H300"/>
    <hyperlink r:id="rId1197" ref="K300"/>
    <hyperlink r:id="rId1198" ref="C301"/>
    <hyperlink r:id="rId1199" ref="E301"/>
    <hyperlink r:id="rId1200" ref="H301"/>
    <hyperlink r:id="rId1201" ref="K301"/>
    <hyperlink r:id="rId1202" ref="C302"/>
    <hyperlink r:id="rId1203" ref="E302"/>
    <hyperlink r:id="rId1204" ref="H302"/>
    <hyperlink r:id="rId1205" ref="K302"/>
    <hyperlink r:id="rId1206" ref="C303"/>
    <hyperlink r:id="rId1207" ref="E303"/>
    <hyperlink r:id="rId1208" ref="H303"/>
    <hyperlink r:id="rId1209" ref="K303"/>
    <hyperlink r:id="rId1210" ref="C304"/>
    <hyperlink r:id="rId1211" ref="E304"/>
    <hyperlink r:id="rId1212" ref="H304"/>
    <hyperlink r:id="rId1213" ref="K304"/>
    <hyperlink r:id="rId1214" ref="C305"/>
    <hyperlink r:id="rId1215" ref="E305"/>
    <hyperlink r:id="rId1216" ref="H305"/>
    <hyperlink r:id="rId1217" ref="K305"/>
    <hyperlink r:id="rId1218" ref="C306"/>
    <hyperlink r:id="rId1219" ref="E306"/>
    <hyperlink r:id="rId1220" ref="H306"/>
    <hyperlink r:id="rId1221" ref="K306"/>
    <hyperlink r:id="rId1222" ref="C307"/>
    <hyperlink r:id="rId1223" ref="E307"/>
    <hyperlink r:id="rId1224" ref="H307"/>
    <hyperlink r:id="rId1225" ref="K307"/>
    <hyperlink r:id="rId1226" ref="C308"/>
    <hyperlink r:id="rId1227" ref="E308"/>
    <hyperlink r:id="rId1228" ref="H308"/>
    <hyperlink r:id="rId1229" ref="K308"/>
    <hyperlink r:id="rId1230" ref="C309"/>
    <hyperlink r:id="rId1231" ref="E309"/>
    <hyperlink r:id="rId1232" ref="H309"/>
    <hyperlink r:id="rId1233" ref="K309"/>
    <hyperlink r:id="rId1234" ref="C310"/>
    <hyperlink r:id="rId1235" ref="E310"/>
    <hyperlink r:id="rId1236" ref="H310"/>
    <hyperlink r:id="rId1237" ref="K310"/>
    <hyperlink r:id="rId1238" ref="C311"/>
    <hyperlink r:id="rId1239" ref="E311"/>
    <hyperlink r:id="rId1240" ref="H311"/>
    <hyperlink r:id="rId1241" ref="K311"/>
    <hyperlink r:id="rId1242" ref="C312"/>
    <hyperlink r:id="rId1243" ref="E312"/>
    <hyperlink r:id="rId1244" ref="H312"/>
    <hyperlink r:id="rId1245" ref="K312"/>
    <hyperlink r:id="rId1246" ref="C313"/>
    <hyperlink r:id="rId1247" ref="E313"/>
    <hyperlink r:id="rId1248" ref="H313"/>
    <hyperlink r:id="rId1249" ref="K313"/>
    <hyperlink r:id="rId1250" ref="C314"/>
    <hyperlink r:id="rId1251" ref="E314"/>
    <hyperlink r:id="rId1252" ref="H314"/>
    <hyperlink r:id="rId1253" ref="K314"/>
    <hyperlink r:id="rId1254" ref="C315"/>
    <hyperlink r:id="rId1255" ref="E315"/>
    <hyperlink r:id="rId1256" ref="H315"/>
    <hyperlink r:id="rId1257" ref="K315"/>
    <hyperlink r:id="rId1258" ref="C316"/>
    <hyperlink r:id="rId1259" ref="E316"/>
    <hyperlink r:id="rId1260" ref="H316"/>
    <hyperlink r:id="rId1261" ref="K316"/>
    <hyperlink r:id="rId1262" ref="C317"/>
    <hyperlink r:id="rId1263" ref="E317"/>
    <hyperlink r:id="rId1264" ref="H317"/>
    <hyperlink r:id="rId1265" ref="K317"/>
    <hyperlink r:id="rId1266" ref="C318"/>
    <hyperlink r:id="rId1267" ref="E318"/>
    <hyperlink r:id="rId1268" ref="H318"/>
    <hyperlink r:id="rId1269" ref="K318"/>
    <hyperlink r:id="rId1270" ref="C319"/>
    <hyperlink r:id="rId1271" ref="E319"/>
    <hyperlink r:id="rId1272" ref="H319"/>
    <hyperlink r:id="rId1273" ref="K319"/>
    <hyperlink r:id="rId1274" ref="C320"/>
    <hyperlink r:id="rId1275" ref="E320"/>
    <hyperlink r:id="rId1276" ref="H320"/>
    <hyperlink r:id="rId1277" ref="K320"/>
    <hyperlink r:id="rId1278" ref="C321"/>
    <hyperlink r:id="rId1279" ref="E321"/>
    <hyperlink r:id="rId1280" ref="H321"/>
    <hyperlink r:id="rId1281" ref="K321"/>
    <hyperlink r:id="rId1282" ref="C322"/>
    <hyperlink r:id="rId1283" ref="E322"/>
    <hyperlink r:id="rId1284" ref="H322"/>
    <hyperlink r:id="rId1285" ref="K322"/>
    <hyperlink r:id="rId1286" ref="C323"/>
    <hyperlink r:id="rId1287" ref="E323"/>
    <hyperlink r:id="rId1288" ref="H323"/>
    <hyperlink r:id="rId1289" ref="K323"/>
    <hyperlink r:id="rId1290" ref="C324"/>
    <hyperlink r:id="rId1291" ref="E324"/>
    <hyperlink r:id="rId1292" ref="H324"/>
    <hyperlink r:id="rId1293" ref="K324"/>
    <hyperlink r:id="rId1294" ref="C325"/>
    <hyperlink r:id="rId1295" ref="E325"/>
    <hyperlink r:id="rId1296" ref="H325"/>
    <hyperlink r:id="rId1297" ref="K325"/>
    <hyperlink r:id="rId1298" ref="C326"/>
    <hyperlink r:id="rId1299" ref="E326"/>
    <hyperlink r:id="rId1300" ref="H326"/>
    <hyperlink r:id="rId1301" ref="K326"/>
    <hyperlink r:id="rId1302" ref="C327"/>
    <hyperlink r:id="rId1303" ref="E327"/>
    <hyperlink r:id="rId1304" ref="H327"/>
    <hyperlink r:id="rId1305" ref="K327"/>
    <hyperlink r:id="rId1306" ref="C328"/>
    <hyperlink r:id="rId1307" ref="E328"/>
    <hyperlink r:id="rId1308" ref="H328"/>
    <hyperlink r:id="rId1309" ref="K328"/>
    <hyperlink r:id="rId1310" ref="C329"/>
    <hyperlink r:id="rId1311" ref="E329"/>
    <hyperlink r:id="rId1312" ref="H329"/>
    <hyperlink r:id="rId1313" ref="K329"/>
    <hyperlink r:id="rId1314" ref="C330"/>
    <hyperlink r:id="rId1315" ref="E330"/>
    <hyperlink r:id="rId1316" ref="H330"/>
    <hyperlink r:id="rId1317" ref="K330"/>
    <hyperlink r:id="rId1318" ref="C331"/>
    <hyperlink r:id="rId1319" ref="E331"/>
    <hyperlink r:id="rId1320" ref="H331"/>
    <hyperlink r:id="rId1321" ref="K331"/>
    <hyperlink r:id="rId1322" ref="C332"/>
    <hyperlink r:id="rId1323" ref="E332"/>
    <hyperlink r:id="rId1324" ref="H332"/>
    <hyperlink r:id="rId1325" ref="K332"/>
    <hyperlink r:id="rId1326" ref="C333"/>
    <hyperlink r:id="rId1327" ref="E333"/>
    <hyperlink r:id="rId1328" ref="H333"/>
    <hyperlink r:id="rId1329" ref="K333"/>
    <hyperlink r:id="rId1330" ref="C334"/>
    <hyperlink r:id="rId1331" ref="E334"/>
    <hyperlink r:id="rId1332" ref="H334"/>
    <hyperlink r:id="rId1333" ref="C335"/>
    <hyperlink r:id="rId1334" ref="E335"/>
    <hyperlink r:id="rId1335" ref="H335"/>
    <hyperlink r:id="rId1336" ref="K335"/>
    <hyperlink r:id="rId1337" ref="C336"/>
    <hyperlink r:id="rId1338" ref="E336"/>
    <hyperlink r:id="rId1339" ref="H336"/>
    <hyperlink r:id="rId1340" ref="K336"/>
    <hyperlink r:id="rId1341" ref="C337"/>
    <hyperlink r:id="rId1342" ref="E337"/>
    <hyperlink r:id="rId1343" ref="H337"/>
    <hyperlink r:id="rId1344" ref="K337"/>
    <hyperlink r:id="rId1345" ref="C338"/>
    <hyperlink r:id="rId1346" ref="E338"/>
    <hyperlink r:id="rId1347" ref="H338"/>
    <hyperlink r:id="rId1348" ref="K338"/>
    <hyperlink r:id="rId1349" ref="C339"/>
    <hyperlink r:id="rId1350" ref="E339"/>
    <hyperlink r:id="rId1351" ref="H339"/>
    <hyperlink r:id="rId1352" ref="K339"/>
    <hyperlink r:id="rId1353" ref="C340"/>
    <hyperlink r:id="rId1354" ref="E340"/>
    <hyperlink r:id="rId1355" ref="H340"/>
    <hyperlink r:id="rId1356" ref="K340"/>
    <hyperlink r:id="rId1357" ref="C341"/>
    <hyperlink r:id="rId1358" ref="E341"/>
    <hyperlink r:id="rId1359" ref="H341"/>
    <hyperlink r:id="rId1360" ref="K341"/>
    <hyperlink r:id="rId1361" ref="C342"/>
    <hyperlink r:id="rId1362" ref="E342"/>
    <hyperlink r:id="rId1363" ref="H342"/>
    <hyperlink r:id="rId1364" ref="K342"/>
    <hyperlink r:id="rId1365" ref="C343"/>
    <hyperlink r:id="rId1366" ref="E343"/>
    <hyperlink r:id="rId1367" ref="H343"/>
    <hyperlink r:id="rId1368" ref="K343"/>
  </hyperlinks>
  <drawing r:id="rId1369"/>
</worksheet>
</file>